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GROUP A\"/>
    </mc:Choice>
  </mc:AlternateContent>
  <xr:revisionPtr revIDLastSave="0" documentId="13_ncr:1_{DBA98C05-50BC-4638-9B9C-641D03AEB29F}" xr6:coauthVersionLast="47" xr6:coauthVersionMax="47" xr10:uidLastSave="{00000000-0000-0000-0000-000000000000}"/>
  <workbookProtection workbookAlgorithmName="SHA-512" workbookHashValue="h7akFmAq7frBPNBNqp0JPBajvxKnzr5xCdyacyEJDUGroixe4XDUYaMlyR2H5Xg6R9fMfN/2SLC7CZHI13RldQ==" workbookSaltValue="DLk5AQRcjvz1lB7clipZAQ==" workbookSpinCount="100000" lockStructure="1"/>
  <bookViews>
    <workbookView xWindow="-27150" yWindow="3285" windowWidth="21600" windowHeight="11835" xr2:uid="{9F5BD584-7D3E-461C-A553-1AAD2532FE48}"/>
  </bookViews>
  <sheets>
    <sheet name="Group A Traveler" sheetId="1" r:id="rId1"/>
    <sheet name="GROUP A1" sheetId="2" r:id="rId2"/>
    <sheet name="GROUP A2 25C" sheetId="3" r:id="rId3"/>
    <sheet name="GROUP A3 125C" sheetId="4" r:id="rId4"/>
    <sheet name="GROUP A3 -55C" sheetId="5" r:id="rId5"/>
    <sheet name="GROUP A7 CAPACITANCE" sheetId="6" r:id="rId6"/>
    <sheet name="GROUP A7 GATE CHARGE" sheetId="7" r:id="rId7"/>
  </sheets>
  <definedNames>
    <definedName name="_xlnm._FilterDatabase" localSheetId="2" hidden="1">'GROUP A2 25C'!$A$10:$S$126</definedName>
    <definedName name="_xlnm._FilterDatabase" localSheetId="3" hidden="1">'GROUP A3 125C'!$A$10:$Q$126</definedName>
    <definedName name="_xlnm._FilterDatabase" localSheetId="4" hidden="1">'GROUP A3 -55C'!$A$13:$H$129</definedName>
    <definedName name="_xlnm._FilterDatabase" localSheetId="5" hidden="1">'GROUP A7 CAPACITANCE'!$A$10:$E$10</definedName>
    <definedName name="DELTA_HTGB">#REF!</definedName>
    <definedName name="DELTA_HTGB_IDSS">#REF!</definedName>
    <definedName name="DELTA_HTGB_IGSSF">#REF!</definedName>
    <definedName name="DELTA_HTGB_IGSSR">#REF!</definedName>
    <definedName name="DELTA_HTGB_NAME">#REF!</definedName>
    <definedName name="DELTA_HTGB_RDSON">#REF!</definedName>
    <definedName name="DELTA_HTGB_VTH">#REF!</definedName>
    <definedName name="DELTA_HTRB">#REF!</definedName>
    <definedName name="DELTA_HTRB_IDSS">#REF!</definedName>
    <definedName name="DELTA_HTRB_IGSSF">#REF!</definedName>
    <definedName name="DELTA_HTRB_IGSSR">#REF!</definedName>
    <definedName name="DELTA_HTRB_NAME">#REF!</definedName>
    <definedName name="DELTA_HTRB_RDSON">#REF!</definedName>
    <definedName name="DELTA_HTRB_VTH">#REF!</definedName>
    <definedName name="DRDON_OOF_FINAL_POS">#REF!</definedName>
    <definedName name="DRDON_OOF_FINAL_REQ">#REF!</definedName>
    <definedName name="HTGB_PDA">#REF!</definedName>
    <definedName name="HTRB_PDA">#REF!</definedName>
    <definedName name="IDSS_125">#REF!</definedName>
    <definedName name="IDSS_25">#REF!</definedName>
    <definedName name="IDSS_COLD_OOF_POS">#REF!</definedName>
    <definedName name="IDSS_COLD_OOF_REQ">#REF!</definedName>
    <definedName name="IDSS_DELTA_LIMIT_HTGB">#REF!</definedName>
    <definedName name="IDSS_DELTA_LIMIT_HTRB">#REF!</definedName>
    <definedName name="IDSS_FINAL_OOF_POS">#REF!</definedName>
    <definedName name="IDSS_FINAL_OOF_REQ">#REF!</definedName>
    <definedName name="IDSS_HOT_OOF_POS">#REF!</definedName>
    <definedName name="IDSS_HOT_OOF_REQ">#REF!</definedName>
    <definedName name="IDSS_HTGB_REQ">#REF!</definedName>
    <definedName name="IDSS_HTRB_OOF_POS">#REF!</definedName>
    <definedName name="IDSS_HTRB_OOF_REQ">#REF!</definedName>
    <definedName name="IDSS_HTRB_REQ">#REF!</definedName>
    <definedName name="IDSS_PERCENTAGE_HTGB">#REF!</definedName>
    <definedName name="IDSS_PERCENTAGE_HTRB">#REF!</definedName>
    <definedName name="IDSS_POST_HTGB_OOF_POS">#REF!</definedName>
    <definedName name="IDSS_POST_HTGB_OOF_REQ">#REF!</definedName>
    <definedName name="IDSS_PRE_HTGB_OOF_POS">#REF!</definedName>
    <definedName name="IDSS_PRE_HTGB_OOF_REQ">#REF!</definedName>
    <definedName name="IGSSF1_125">#REF!</definedName>
    <definedName name="IGSSF1_25">#REF!</definedName>
    <definedName name="IGSSF1_COLD_OOF_POS">#REF!</definedName>
    <definedName name="IGSSF1_COLD_OOF_REQ">#REF!</definedName>
    <definedName name="IGSSF1_DELTA_LIMIT_HTGB">#REF!</definedName>
    <definedName name="IGSSF1_DELTA_LIMIT_HTRB">#REF!</definedName>
    <definedName name="IGSSF1_FINAL_OOF_POS">#REF!</definedName>
    <definedName name="IGSSF1_FINAL_OOF_REQ">#REF!</definedName>
    <definedName name="IGSSF1_HOT_FINAL_OOF_LIMIT">#REF!</definedName>
    <definedName name="IGSSF1_HOT_FINAL_OOF_POS">#REF!</definedName>
    <definedName name="IGSSF1_HOT_FINAL_OOF_REQ">#REF!</definedName>
    <definedName name="IGSSF1_HOT_OOF_POS">#REF!</definedName>
    <definedName name="IGSSF1_HOT_OOF_REQ">#REF!</definedName>
    <definedName name="IGSSF1_HTGB_REQ">#REF!</definedName>
    <definedName name="IGSSF1_HTRB_OOF_POS">#REF!</definedName>
    <definedName name="IGSSF1_HTRB_OOF_REQ">#REF!</definedName>
    <definedName name="IGSSF1_HTRB_REQ">#REF!</definedName>
    <definedName name="IGSSF1_PERCENTAGE_HTGB">#REF!</definedName>
    <definedName name="IGSSF1_PERCENTAGE_HTRB">#REF!</definedName>
    <definedName name="IGSSF1_POST_HTGB_OOF_POS">#REF!</definedName>
    <definedName name="IGSSF1_POST_HTGB_OOF_REQ">#REF!</definedName>
    <definedName name="IGSSF1_PRE_HTGB_OOF_POS">#REF!</definedName>
    <definedName name="IGSSF1_PRE_HTGB_OOF_REQ">#REF!</definedName>
    <definedName name="IGSSF2_125">#REF!</definedName>
    <definedName name="IGSSF2_25">#REF!</definedName>
    <definedName name="IGSSF2_COLD_OOF_POS">#REF!</definedName>
    <definedName name="IGSSF2_COLD_OOF_REQ">#REF!</definedName>
    <definedName name="IGSSF2_FINAL_OOF_POS">#REF!</definedName>
    <definedName name="IGSSF2_FINAL_OOF_REQ">#REF!</definedName>
    <definedName name="IGSSF2_HOT_OOF_POS">#REF!</definedName>
    <definedName name="IGSSF2_HOT_OOF_REQ">#REF!</definedName>
    <definedName name="IGSSF2_HTRB_OOF_POS">#REF!</definedName>
    <definedName name="IGSSF2_HTRB_OOF_REQ">#REF!</definedName>
    <definedName name="IGSSF2_POST_HTGB_OOF_POS">#REF!</definedName>
    <definedName name="IGSSF2_POST_HTGB_OOF_REQ">#REF!</definedName>
    <definedName name="IGSSF2_PRE_HTGB_OOF_POS">#REF!</definedName>
    <definedName name="IGSSF2_PRE_HTGB_OOF_REQ">#REF!</definedName>
    <definedName name="IGSSR_125">#REF!</definedName>
    <definedName name="IGSSR_25">#REF!</definedName>
    <definedName name="IGSSR_COLD_OOF_POS">#REF!</definedName>
    <definedName name="IGSSR_COLD_OOF_REQ">#REF!</definedName>
    <definedName name="IGSSR_DELTA_LIMIT_HTGB">#REF!</definedName>
    <definedName name="IGSSR_DELTA_LIMIT_HTRB">#REF!</definedName>
    <definedName name="IGSSR_FINAL_OOF_POS">#REF!</definedName>
    <definedName name="IGSSR_FINAL_OOF_REQ">#REF!</definedName>
    <definedName name="IGSSR_HOT_OOF_POS">#REF!</definedName>
    <definedName name="IGSSR_HOT_OOF_REQ">#REF!</definedName>
    <definedName name="IGSSR_HTGB_REQ">#REF!</definedName>
    <definedName name="IGSSR_HTRB_OOF_POS">#REF!</definedName>
    <definedName name="IGSSR_HTRB_OOF_REQ">#REF!</definedName>
    <definedName name="IGSSR_HTRB_REQ">#REF!</definedName>
    <definedName name="IGSSR_PERCENTAGE_HTGB">#REF!</definedName>
    <definedName name="IGSSR_PERCENTAGE_HTRB">#REF!</definedName>
    <definedName name="IGSSR_POST_HTGB_OOF_POS">#REF!</definedName>
    <definedName name="IGSSR_POST_HTGB_OOF_REQ">#REF!</definedName>
    <definedName name="IGSSR_PRE_HTGB_OOF_POS">#REF!</definedName>
    <definedName name="IGSSR_PRE_HTGB_OOF_REQ">#REF!</definedName>
    <definedName name="PDA_MAX">#REF!</definedName>
    <definedName name="POST_HTGB_HTGB">#REF!</definedName>
    <definedName name="POST_HTRB_HTRB">#REF!</definedName>
    <definedName name="PRE_HTGB_HTGB">#REF!</definedName>
    <definedName name="PRE_HTGB_HTRB">#REF!</definedName>
    <definedName name="RDSON_125">#REF!</definedName>
    <definedName name="RDSON_25">#REF!</definedName>
    <definedName name="RDSON_COLD_OOF_POS">#REF!</definedName>
    <definedName name="RDSON_COLD_OOF_REQ">#REF!</definedName>
    <definedName name="RDSON_DELTA_LIMIT_HTGB">#REF!</definedName>
    <definedName name="RDSON_DELTA_LIMIY_HTRB">#REF!</definedName>
    <definedName name="RDSON_FINAL_OOF_POS">#REF!</definedName>
    <definedName name="RDSON_FINAL_OOF_REQ">#REF!</definedName>
    <definedName name="RDSON_HOT_OOF_POS">#REF!</definedName>
    <definedName name="RDSON_HOT_OOF_REQ">#REF!</definedName>
    <definedName name="RDSON_HTGB_REQ">#REF!</definedName>
    <definedName name="RDSON_HTRB_OOF_POS">#REF!</definedName>
    <definedName name="RDSON_HTRB_OOF_REQ">#REF!</definedName>
    <definedName name="RDSON_HTRB_REQ">#REF!</definedName>
    <definedName name="RDSON_PERCENTAGE_HTGB">#REF!</definedName>
    <definedName name="RDSON_PERCENTAGE_HTRB">#REF!</definedName>
    <definedName name="RDSON_POST_HTGB_OOF_POS">#REF!</definedName>
    <definedName name="RDSON_POST_HTGB_OOF_REQ">#REF!</definedName>
    <definedName name="RDSON_PRE_HTGB_OOF_POS">#REF!</definedName>
    <definedName name="RDSON_PRE_HTGB_OOF_REQ">#REF!</definedName>
    <definedName name="VTH_125">#REF!</definedName>
    <definedName name="VTH_25">#REF!</definedName>
    <definedName name="VTH_55">#REF!</definedName>
    <definedName name="VTH_COLD_OOF_POS">#REF!</definedName>
    <definedName name="VTH_COLD_OOF_REQ">#REF!</definedName>
    <definedName name="VTH_DELTA_LIMIT_HTGB">#REF!</definedName>
    <definedName name="VTH_DELTA_LIMIT_HTRB">#REF!</definedName>
    <definedName name="VTH_FINAL_OOF_POS">#REF!</definedName>
    <definedName name="VTH_FINAL_OOF_REQ">#REF!</definedName>
    <definedName name="VTH_HOT_OOF_POS">#REF!</definedName>
    <definedName name="VTH_HOT_OOF_REQ">#REF!</definedName>
    <definedName name="VTH_HTGB_REQ">#REF!</definedName>
    <definedName name="VTH_HTRB_OOF_POS">#REF!</definedName>
    <definedName name="VTH_HTRB_OOF_REQ">#REF!</definedName>
    <definedName name="VTH_HTRB_REQ">#REF!</definedName>
    <definedName name="VTH_PERCENTAGE_HTGB">#REF!</definedName>
    <definedName name="VTH_PERCENTAGE_HTRB">#REF!</definedName>
    <definedName name="VTH_POST_HTGB_OOF_POS">#REF!</definedName>
    <definedName name="VTH_POST_HTGB_OOF_REQ">#REF!</definedName>
    <definedName name="VTH_PRE_HTGB_OOF_POS">#REF!</definedName>
    <definedName name="VTH_PRE_HTGB_OOF_RE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7" l="1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A5" i="7"/>
  <c r="A4" i="7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A5" i="6"/>
  <c r="A4" i="6"/>
  <c r="B10" i="5"/>
  <c r="B9" i="5"/>
  <c r="B8" i="5"/>
  <c r="B11" i="5" s="1"/>
  <c r="B7" i="4"/>
  <c r="B6" i="4"/>
  <c r="B5" i="4"/>
  <c r="B8" i="4" s="1"/>
  <c r="B7" i="3"/>
  <c r="B6" i="3"/>
  <c r="B5" i="3"/>
  <c r="A4" i="3" s="1"/>
  <c r="B8" i="3" l="1"/>
  <c r="A7" i="5"/>
  <c r="A4" i="4"/>
</calcChain>
</file>

<file path=xl/sharedStrings.xml><?xml version="1.0" encoding="utf-8"?>
<sst xmlns="http://schemas.openxmlformats.org/spreadsheetml/2006/main" count="546" uniqueCount="105">
  <si>
    <t>GROUP A TRAVELER</t>
  </si>
  <si>
    <t>INDEX</t>
  </si>
  <si>
    <t>QCI SAMPLE SELECTION</t>
  </si>
  <si>
    <t>.</t>
  </si>
  <si>
    <t>GROUP A1 PHYSICAL</t>
  </si>
  <si>
    <t>GROUP A2 25C ELECTRICALS</t>
  </si>
  <si>
    <t>SUMMARY</t>
  </si>
  <si>
    <t>SCREENING STATUS</t>
  </si>
  <si>
    <t>N=116 C=0</t>
  </si>
  <si>
    <t>TOTAL SUBMITTED</t>
  </si>
  <si>
    <t>TOTAL PASS</t>
  </si>
  <si>
    <t xml:space="preserve">  1) IDON      [&gt; 10.01MA]</t>
  </si>
  <si>
    <t xml:space="preserve">  2) IGSSF     [&lt; 1.001MA]</t>
  </si>
  <si>
    <t xml:space="preserve">  3) IDSS      [&lt; 400.0UA]</t>
  </si>
  <si>
    <t xml:space="preserve">  4) IGSSF     [&lt; 1.001MA]</t>
  </si>
  <si>
    <t xml:space="preserve">  5) IGSSR     [&lt; 1.001MA]</t>
  </si>
  <si>
    <t xml:space="preserve">  6) VGSTH     [&gt;   800MV]</t>
  </si>
  <si>
    <t xml:space="preserve">  7) VGSTH     [&lt; 2.500]</t>
  </si>
  <si>
    <t xml:space="preserve">  9) RDSON     [&lt;  4.00M]</t>
  </si>
  <si>
    <t xml:space="preserve"> 11) IDSS      [&lt; 400.0UA]</t>
  </si>
  <si>
    <t>TOTAL EMPTY</t>
  </si>
  <si>
    <t xml:space="preserve">   IDON &gt; 10.01MA</t>
  </si>
  <si>
    <t xml:space="preserve">  IGSSF &lt; 1.001MA</t>
  </si>
  <si>
    <t xml:space="preserve">   IDSS &lt; 400.0UA</t>
  </si>
  <si>
    <t xml:space="preserve">  IGSSR &lt; 1.001MA</t>
  </si>
  <si>
    <t xml:space="preserve">  VGSTH &gt; 801.0MV</t>
  </si>
  <si>
    <t xml:space="preserve">VGSTH &lt; 2.500 </t>
  </si>
  <si>
    <t xml:space="preserve">  RDSON &lt; 4.004M </t>
  </si>
  <si>
    <t>TOTAL REJECTS</t>
  </si>
  <si>
    <t xml:space="preserve">    VDS = 19.54MV</t>
  </si>
  <si>
    <t xml:space="preserve">   VGSF = 5.001 V</t>
  </si>
  <si>
    <t xml:space="preserve">    VDS = 10.01 V</t>
  </si>
  <si>
    <t xml:space="preserve">   VGSF = 6.000 V</t>
  </si>
  <si>
    <t xml:space="preserve">   VGSR = 4.000 V</t>
  </si>
  <si>
    <t xml:space="preserve">     ID = 18.00MA</t>
  </si>
  <si>
    <t>VGSTH = S6</t>
  </si>
  <si>
    <t xml:space="preserve">    VGS = 5.001 V</t>
  </si>
  <si>
    <t xml:space="preserve">    VDS = 40.00 V</t>
  </si>
  <si>
    <t>Card-Position</t>
  </si>
  <si>
    <t>Serial No</t>
  </si>
  <si>
    <t>Label</t>
  </si>
  <si>
    <t>Sort</t>
  </si>
  <si>
    <t>Bin</t>
  </si>
  <si>
    <t xml:space="preserve">    VGS = 3.299 V</t>
  </si>
  <si>
    <t xml:space="preserve">     ID = 50.01 A</t>
  </si>
  <si>
    <t>All Pass</t>
  </si>
  <si>
    <t>GROUP A3 125C ELECTRICALS</t>
  </si>
  <si>
    <t xml:space="preserve">  2) IGSSF     [&lt; 9.001MA]</t>
  </si>
  <si>
    <t xml:space="preserve">  3) IDSS      [&lt; 2.000MA]</t>
  </si>
  <si>
    <t xml:space="preserve">  4) IGSSF     [&lt; 3.001MA]</t>
  </si>
  <si>
    <t xml:space="preserve">  5) IGSSR     [&lt; 2.000MA]</t>
  </si>
  <si>
    <t xml:space="preserve">  6) VGSTH     [&lt; 2.500 V]</t>
  </si>
  <si>
    <t xml:space="preserve">  7) VGSTH     [&gt;   749MV]</t>
  </si>
  <si>
    <t xml:space="preserve">  8) RDSON     [&lt;  7.97M]</t>
  </si>
  <si>
    <t xml:space="preserve">  9) RDSON     [&lt;  8.00M]</t>
  </si>
  <si>
    <t xml:space="preserve"> 10) RDSON     [&lt;  8.01M]</t>
  </si>
  <si>
    <t xml:space="preserve"> 11) IDSS      [&lt; 2.000MA]</t>
  </si>
  <si>
    <t xml:space="preserve"> 12) IGSSF     [&lt; 1.001MA]</t>
  </si>
  <si>
    <t xml:space="preserve">  IGSSF &lt; 9.001MA</t>
  </si>
  <si>
    <t xml:space="preserve">   IDSS &lt; 2.000MA</t>
  </si>
  <si>
    <t xml:space="preserve">  IGSSF &lt; 3.001MA</t>
  </si>
  <si>
    <t xml:space="preserve">  IGSSR &lt; 2.000MA</t>
  </si>
  <si>
    <t xml:space="preserve">  VGSTH &lt; 2.501 V</t>
  </si>
  <si>
    <t xml:space="preserve">  VGSTH &gt; 749.7MV</t>
  </si>
  <si>
    <t xml:space="preserve">  RDSON &lt; 7.974M </t>
  </si>
  <si>
    <t xml:space="preserve">  RDSON &lt; 8.008M </t>
  </si>
  <si>
    <t xml:space="preserve">  RDSON &lt; 8.010M </t>
  </si>
  <si>
    <t xml:space="preserve">   VGSF = 4.000 V</t>
  </si>
  <si>
    <t xml:space="preserve">    VGS = 3.001 V</t>
  </si>
  <si>
    <t xml:space="preserve">     ID = 30.01 A</t>
  </si>
  <si>
    <t xml:space="preserve">     ID = 74.99 A</t>
  </si>
  <si>
    <t>GROUP A SUBGROUP 3</t>
  </si>
  <si>
    <t>DC ELECTRICALS 125C</t>
  </si>
  <si>
    <t>A7 CAPACITANCE</t>
  </si>
  <si>
    <t>LMR</t>
  </si>
  <si>
    <t>Conditions:</t>
  </si>
  <si>
    <t>Frequency</t>
  </si>
  <si>
    <t>VDS</t>
  </si>
  <si>
    <t>1 MHz</t>
  </si>
  <si>
    <t>Volts</t>
  </si>
  <si>
    <t>Max Limit</t>
  </si>
  <si>
    <t>Serial #</t>
  </si>
  <si>
    <t>Ciss</t>
  </si>
  <si>
    <t>Coss</t>
  </si>
  <si>
    <t>Crss</t>
  </si>
  <si>
    <t>P/F</t>
  </si>
  <si>
    <t>A7 GATE CHARGE</t>
  </si>
  <si>
    <t>OPERATOR</t>
  </si>
  <si>
    <t>DATE</t>
  </si>
  <si>
    <t>GateCharge-3.0</t>
  </si>
  <si>
    <t>GateCharge-3.1</t>
  </si>
  <si>
    <t>GateCharge-3.2</t>
  </si>
  <si>
    <t>Description</t>
  </si>
  <si>
    <t>Qgs</t>
  </si>
  <si>
    <t>Qgd</t>
  </si>
  <si>
    <t>Qg_ 5.00V</t>
  </si>
  <si>
    <t>UNIT</t>
  </si>
  <si>
    <t>nC</t>
  </si>
  <si>
    <t>MAX LIMIT</t>
  </si>
  <si>
    <t>SCD PART NUMBER</t>
  </si>
  <si>
    <t>EPCS PART NUMBER</t>
  </si>
  <si>
    <t>LOT</t>
  </si>
  <si>
    <t>DATE CODE</t>
  </si>
  <si>
    <t>EPC7019GSH</t>
  </si>
  <si>
    <t>EPC7019GSH   E4121.4   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</si>
</sst>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.0E+00"/>
    <numFmt numFmtId="165" formatCode="###.00E+00"/>
    <numFmt numFmtId="166" formatCode="0.000"/>
    <numFmt numFmtId="167" formatCode="###.000E+00"/>
  </numFmts>
  <fonts count="17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rgb="FF00B05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3" borderId="0" xfId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3" borderId="0" xfId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4" borderId="2" xfId="1" applyFont="1" applyFill="1" applyBorder="1" applyAlignment="1">
      <alignment horizontal="center" vertical="top"/>
    </xf>
    <xf numFmtId="0" fontId="7" fillId="6" borderId="6" xfId="0" applyFont="1" applyFill="1" applyBorder="1"/>
    <xf numFmtId="0" fontId="7" fillId="6" borderId="6" xfId="0" applyFon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right"/>
    </xf>
    <xf numFmtId="0" fontId="7" fillId="6" borderId="2" xfId="0" applyFont="1" applyFill="1" applyBorder="1"/>
    <xf numFmtId="0" fontId="7" fillId="6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2" xfId="0" applyFill="1" applyBorder="1"/>
    <xf numFmtId="0" fontId="0" fillId="8" borderId="2" xfId="0" applyFill="1" applyBorder="1" applyAlignment="1">
      <alignment horizontal="left"/>
    </xf>
    <xf numFmtId="0" fontId="0" fillId="8" borderId="2" xfId="0" applyFill="1" applyBorder="1" applyAlignment="1">
      <alignment horizontal="right"/>
    </xf>
    <xf numFmtId="0" fontId="0" fillId="9" borderId="9" xfId="0" applyFill="1" applyBorder="1" applyAlignment="1">
      <alignment horizontal="center"/>
    </xf>
    <xf numFmtId="0" fontId="8" fillId="0" borderId="0" xfId="0" applyFont="1"/>
    <xf numFmtId="0" fontId="0" fillId="0" borderId="2" xfId="0" applyBorder="1" applyAlignment="1">
      <alignment horizontal="center"/>
    </xf>
    <xf numFmtId="0" fontId="8" fillId="0" borderId="2" xfId="0" applyFont="1" applyBorder="1" applyAlignment="1">
      <alignment horizontal="center"/>
    </xf>
    <xf numFmtId="11" fontId="0" fillId="0" borderId="2" xfId="0" applyNumberFormat="1" applyBorder="1"/>
    <xf numFmtId="11" fontId="8" fillId="0" borderId="2" xfId="0" applyNumberFormat="1" applyFont="1" applyBorder="1"/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1" fontId="9" fillId="3" borderId="0" xfId="0" applyNumberFormat="1" applyFont="1" applyFill="1" applyAlignment="1">
      <alignment vertical="center"/>
    </xf>
    <xf numFmtId="0" fontId="0" fillId="10" borderId="2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164" fontId="0" fillId="10" borderId="9" xfId="0" applyNumberFormat="1" applyFill="1" applyBorder="1" applyAlignment="1">
      <alignment horizontal="center"/>
    </xf>
    <xf numFmtId="165" fontId="0" fillId="10" borderId="9" xfId="0" applyNumberFormat="1" applyFill="1" applyBorder="1" applyAlignment="1">
      <alignment horizontal="center"/>
    </xf>
    <xf numFmtId="165" fontId="0" fillId="10" borderId="9" xfId="0" applyNumberFormat="1" applyFill="1" applyBorder="1"/>
    <xf numFmtId="164" fontId="0" fillId="10" borderId="9" xfId="0" applyNumberFormat="1" applyFill="1" applyBorder="1"/>
    <xf numFmtId="166" fontId="0" fillId="10" borderId="9" xfId="0" applyNumberFormat="1" applyFill="1" applyBorder="1"/>
    <xf numFmtId="167" fontId="0" fillId="10" borderId="9" xfId="0" applyNumberFormat="1" applyFill="1" applyBorder="1"/>
    <xf numFmtId="0" fontId="8" fillId="10" borderId="9" xfId="0" applyFont="1" applyFill="1" applyBorder="1"/>
    <xf numFmtId="0" fontId="4" fillId="4" borderId="2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vertical="top"/>
    </xf>
    <xf numFmtId="0" fontId="4" fillId="4" borderId="6" xfId="1" applyFont="1" applyFill="1" applyBorder="1" applyAlignment="1">
      <alignment horizontal="center" vertical="top"/>
    </xf>
    <xf numFmtId="0" fontId="2" fillId="11" borderId="0" xfId="1" quotePrefix="1" applyFill="1" applyBorder="1" applyAlignment="1">
      <alignment horizontal="left" vertical="top"/>
    </xf>
    <xf numFmtId="0" fontId="10" fillId="6" borderId="7" xfId="0" applyFont="1" applyFill="1" applyBorder="1" applyAlignment="1">
      <alignment horizontal="center" vertical="top"/>
    </xf>
    <xf numFmtId="0" fontId="10" fillId="6" borderId="11" xfId="0" applyFont="1" applyFill="1" applyBorder="1" applyAlignment="1">
      <alignment horizontal="center" vertical="top"/>
    </xf>
    <xf numFmtId="0" fontId="11" fillId="12" borderId="2" xfId="0" applyFont="1" applyFill="1" applyBorder="1" applyAlignment="1">
      <alignment horizontal="center"/>
    </xf>
    <xf numFmtId="0" fontId="12" fillId="13" borderId="2" xfId="0" applyFont="1" applyFill="1" applyBorder="1" applyAlignment="1">
      <alignment horizontal="left"/>
    </xf>
    <xf numFmtId="0" fontId="12" fillId="13" borderId="2" xfId="0" applyFont="1" applyFill="1" applyBorder="1" applyAlignment="1">
      <alignment horizontal="center"/>
    </xf>
    <xf numFmtId="0" fontId="12" fillId="11" borderId="0" xfId="0" applyFont="1" applyFill="1" applyAlignment="1">
      <alignment horizontal="center"/>
    </xf>
    <xf numFmtId="0" fontId="6" fillId="0" borderId="2" xfId="0" applyFont="1" applyBorder="1" applyAlignment="1">
      <alignment horizontal="center"/>
    </xf>
    <xf numFmtId="14" fontId="12" fillId="13" borderId="2" xfId="0" applyNumberFormat="1" applyFont="1" applyFill="1" applyBorder="1"/>
    <xf numFmtId="0" fontId="13" fillId="14" borderId="2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vertical="center"/>
    </xf>
    <xf numFmtId="0" fontId="12" fillId="11" borderId="0" xfId="0" applyFont="1" applyFill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14" borderId="9" xfId="0" applyFont="1" applyFill="1" applyBorder="1" applyAlignment="1">
      <alignment vertical="center"/>
    </xf>
    <xf numFmtId="0" fontId="14" fillId="14" borderId="2" xfId="0" applyFont="1" applyFill="1" applyBorder="1" applyAlignment="1">
      <alignment horizontal="center" vertical="center"/>
    </xf>
    <xf numFmtId="0" fontId="14" fillId="14" borderId="9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5" fillId="14" borderId="7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15" borderId="6" xfId="0" applyFont="1" applyFill="1" applyBorder="1" applyAlignment="1">
      <alignment horizontal="center" vertical="center"/>
    </xf>
    <xf numFmtId="0" fontId="16" fillId="15" borderId="10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1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0" borderId="5" xfId="0" applyBorder="1"/>
    <xf numFmtId="0" fontId="0" fillId="16" borderId="0" xfId="0" applyFill="1"/>
    <xf numFmtId="0" fontId="0" fillId="16" borderId="12" xfId="0" applyFill="1" applyBorder="1"/>
    <xf numFmtId="2" fontId="14" fillId="14" borderId="2" xfId="0" applyNumberFormat="1" applyFont="1" applyFill="1" applyBorder="1" applyAlignment="1">
      <alignment horizontal="center" vertical="center"/>
    </xf>
    <xf numFmtId="2" fontId="16" fillId="15" borderId="6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top"/>
    </xf>
    <xf numFmtId="0" fontId="5" fillId="5" borderId="3" xfId="1" applyFont="1" applyFill="1" applyBorder="1" applyAlignment="1">
      <alignment horizontal="center" vertical="top"/>
    </xf>
    <xf numFmtId="0" fontId="5" fillId="5" borderId="0" xfId="1" applyFont="1" applyFill="1" applyBorder="1" applyAlignment="1">
      <alignment horizontal="center" vertical="top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5" borderId="4" xfId="1" applyFont="1" applyFill="1" applyBorder="1" applyAlignment="1">
      <alignment horizontal="center" vertical="top"/>
    </xf>
    <xf numFmtId="0" fontId="5" fillId="5" borderId="5" xfId="1" applyFont="1" applyFill="1" applyBorder="1" applyAlignment="1">
      <alignment horizontal="center" vertical="top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5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52</xdr:row>
      <xdr:rowOff>123444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219B9C-E46F-4340-A687-BDAE1042E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432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102</xdr:row>
      <xdr:rowOff>123444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2CF228-CB73-4FE5-8AD3-01159C238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39325"/>
          <a:ext cx="6705600" cy="9838944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57</xdr:row>
      <xdr:rowOff>114300</xdr:rowOff>
    </xdr:from>
    <xdr:to>
      <xdr:col>2</xdr:col>
      <xdr:colOff>428625</xdr:colOff>
      <xdr:row>58</xdr:row>
      <xdr:rowOff>66675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49C4696-739F-0425-B74B-582DA18D937A}"/>
            </a:ext>
          </a:extLst>
        </xdr:cNvPr>
        <xdr:cNvSpPr/>
      </xdr:nvSpPr>
      <xdr:spPr>
        <a:xfrm>
          <a:off x="1228725" y="11096625"/>
          <a:ext cx="419100" cy="1428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19050</xdr:colOff>
      <xdr:row>7</xdr:row>
      <xdr:rowOff>85725</xdr:rowOff>
    </xdr:from>
    <xdr:to>
      <xdr:col>2</xdr:col>
      <xdr:colOff>457200</xdr:colOff>
      <xdr:row>8</xdr:row>
      <xdr:rowOff>85725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6FEE676-5AF4-2018-2DE0-0E4D0E2B8F77}"/>
            </a:ext>
          </a:extLst>
        </xdr:cNvPr>
        <xdr:cNvSpPr/>
      </xdr:nvSpPr>
      <xdr:spPr>
        <a:xfrm>
          <a:off x="1238250" y="1543050"/>
          <a:ext cx="438150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991E94-75AE-4AB4-8B1D-57A61A6D8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275"/>
          <a:ext cx="6705600" cy="3448050"/>
        </a:xfrm>
        <a:prstGeom prst="rect">
          <a:avLst/>
        </a:prstGeom>
      </xdr:spPr>
    </xdr:pic>
    <xdr:clientData/>
  </xdr:twoCellAnchor>
  <xdr:twoCellAnchor>
    <xdr:from>
      <xdr:col>1</xdr:col>
      <xdr:colOff>533400</xdr:colOff>
      <xdr:row>8</xdr:row>
      <xdr:rowOff>171450</xdr:rowOff>
    </xdr:from>
    <xdr:to>
      <xdr:col>2</xdr:col>
      <xdr:colOff>466725</xdr:colOff>
      <xdr:row>9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9772E08-C82E-3026-E3FE-EDE7764A67B3}"/>
            </a:ext>
          </a:extLst>
        </xdr:cNvPr>
        <xdr:cNvSpPr/>
      </xdr:nvSpPr>
      <xdr:spPr>
        <a:xfrm>
          <a:off x="1143000" y="1619250"/>
          <a:ext cx="54292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4A4D6-9E74-4F6B-8F2F-A8A7A2B111AF}">
  <sheetPr>
    <tabColor theme="4" tint="-0.249977111117893"/>
  </sheetPr>
  <dimension ref="A1:K103"/>
  <sheetViews>
    <sheetView tabSelected="1"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.75" customHeight="1" x14ac:dyDescent="0.25">
      <c r="A1" s="74" t="s">
        <v>0</v>
      </c>
      <c r="B1" s="74"/>
      <c r="C1" s="74"/>
      <c r="D1" s="74"/>
      <c r="E1" s="2" t="s">
        <v>1</v>
      </c>
      <c r="F1" s="2"/>
      <c r="G1" s="2"/>
      <c r="H1" s="2"/>
      <c r="I1" s="75" t="s">
        <v>2</v>
      </c>
      <c r="J1" s="75"/>
      <c r="K1" s="75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</sheetData>
  <sheetProtection algorithmName="SHA-512" hashValue="ERT+qmwC1YQU2IlPSn4ZOj6/eNOg4M4YD9Io0nPnfb1oETNgVxTlsVTckXK8kcs3JpyQJDb7zMboXyRec6B/Xg==" saltValue="CoTdmIFwM5BHtqzWPHGemg==" spinCount="100000" sheet="1" objects="1" scenarios="1" sort="0" autoFilter="0"/>
  <mergeCells count="2">
    <mergeCell ref="A1:D1"/>
    <mergeCell ref="I1:K1"/>
  </mergeCells>
  <hyperlinks>
    <hyperlink ref="E1" location="INDEX!A1" display="RETURN TO INDEX" xr:uid="{DAEE43AF-3949-44C1-B99E-7F26C5CB6D8A}"/>
    <hyperlink ref="E1:F1" location="INDEX!A1" display="RETURN TO INDEX" xr:uid="{8BF22DF5-D138-4DCE-8745-E5804304AF48}"/>
    <hyperlink ref="I1:K1" location="'QCI Sample Selection'!A1" display="QCI SAMPLE SELECTION" xr:uid="{10D424DD-0026-43E5-BD4C-79A5A06CDB3B}"/>
  </hyperlinks>
  <pageMargins left="0.25" right="0.25" top="0.25" bottom="0.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FFF7-0A9D-4369-AF37-ABBC03314F46}">
  <sheetPr>
    <tabColor theme="4" tint="-0.249977111117893"/>
  </sheetPr>
  <dimension ref="A1:K20"/>
  <sheetViews>
    <sheetView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74" t="s">
        <v>4</v>
      </c>
      <c r="B1" s="74"/>
      <c r="C1" s="74"/>
      <c r="D1" s="74"/>
      <c r="E1" s="2" t="s">
        <v>1</v>
      </c>
      <c r="F1" s="2"/>
      <c r="G1" s="2"/>
      <c r="H1" s="3"/>
      <c r="I1" s="75" t="s">
        <v>2</v>
      </c>
      <c r="J1" s="75"/>
      <c r="K1" s="75"/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</sheetData>
  <sheetProtection algorithmName="SHA-512" hashValue="J4LTqtvqO7jf8Skx9db5FvHwFvHVC/4LWe8Pi9jmQkgDI9t3wYFkAkMi3LQAdM0QI4VoSK4LyGLLc3vmn8a6dA==" saltValue="s8B6nk1MZ3/OOECuBwlk/w==" spinCount="100000" sheet="1" objects="1" scenarios="1" sort="0" autoFilter="0"/>
  <mergeCells count="2">
    <mergeCell ref="A1:D1"/>
    <mergeCell ref="I1:K1"/>
  </mergeCells>
  <hyperlinks>
    <hyperlink ref="E1" location="INDEX!A1" display="RETURN TO INDEX" xr:uid="{C61C7C89-9B47-49F0-BCE9-D09796FAB4BC}"/>
    <hyperlink ref="I1:K1" location="'QCI Sample Selection'!A1" display="QCI SAMPLE SELECTION" xr:uid="{68263AC6-C961-42F7-8997-7E2EA270BD4E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AF49D-1101-4E38-9210-B8F6CC0E89A0}">
  <sheetPr>
    <tabColor theme="4" tint="-0.249977111117893"/>
  </sheetPr>
  <dimension ref="A1:S126"/>
  <sheetViews>
    <sheetView zoomScale="95" zoomScaleNormal="95" workbookViewId="0">
      <pane xSplit="3" ySplit="10" topLeftCell="D11" activePane="bottomRight" state="frozen"/>
      <selection activeCell="A2" sqref="A2:XFD2"/>
      <selection pane="topRight" activeCell="A2" sqref="A2:XFD2"/>
      <selection pane="bottomLeft" activeCell="A2" sqref="A2:XFD2"/>
      <selection pane="bottomRight" activeCell="D11" sqref="D11"/>
    </sheetView>
  </sheetViews>
  <sheetFormatPr defaultColWidth="0" defaultRowHeight="15" zeroHeight="1" x14ac:dyDescent="0.25"/>
  <cols>
    <col min="1" max="1" width="18.85546875" style="6" customWidth="1"/>
    <col min="2" max="2" width="12.28515625" style="6" customWidth="1"/>
    <col min="3" max="3" width="13.5703125" style="6" customWidth="1"/>
    <col min="4" max="4" width="5.5703125" style="6" customWidth="1"/>
    <col min="5" max="5" width="3.85546875" style="6" customWidth="1"/>
    <col min="6" max="14" width="18.7109375" customWidth="1"/>
    <col min="19" max="19" width="9.140625" hidden="1"/>
  </cols>
  <sheetData>
    <row r="1" spans="1:17" ht="24" x14ac:dyDescent="0.25">
      <c r="A1" s="81" t="s">
        <v>5</v>
      </c>
      <c r="B1" s="81"/>
      <c r="C1" s="81"/>
      <c r="D1" s="81"/>
      <c r="E1" s="81"/>
      <c r="F1" s="81"/>
      <c r="G1" s="4"/>
      <c r="H1" s="2" t="s">
        <v>1</v>
      </c>
      <c r="I1" s="2"/>
      <c r="J1" s="5" t="s">
        <v>6</v>
      </c>
      <c r="K1" s="75" t="s">
        <v>7</v>
      </c>
      <c r="L1" s="75"/>
      <c r="M1" s="75" t="s">
        <v>2</v>
      </c>
      <c r="N1" s="75"/>
      <c r="O1" s="82"/>
      <c r="P1" s="82"/>
    </row>
    <row r="2" spans="1:17" ht="24" x14ac:dyDescent="0.25">
      <c r="A2" s="76" t="s">
        <v>99</v>
      </c>
      <c r="B2" s="76"/>
      <c r="C2" s="76" t="s">
        <v>100</v>
      </c>
      <c r="D2" s="76"/>
      <c r="E2" s="76" t="s">
        <v>101</v>
      </c>
      <c r="F2" s="76"/>
      <c r="G2" s="7" t="s">
        <v>102</v>
      </c>
      <c r="H2" s="77" t="s">
        <v>8</v>
      </c>
      <c r="I2" s="78"/>
      <c r="J2" s="78"/>
      <c r="K2" s="78"/>
      <c r="L2" s="78"/>
      <c r="M2" s="78"/>
      <c r="N2" s="78"/>
      <c r="O2" s="78"/>
      <c r="P2" s="78"/>
      <c r="Q2" s="78"/>
    </row>
    <row r="3" spans="1:17" ht="24" x14ac:dyDescent="0.25">
      <c r="A3" s="76" t="s">
        <v>103</v>
      </c>
      <c r="B3" s="76"/>
      <c r="C3" s="76" t="s">
        <v>103</v>
      </c>
      <c r="D3" s="76"/>
      <c r="E3" s="76"/>
      <c r="F3" s="76"/>
      <c r="G3" s="7">
        <v>2346</v>
      </c>
      <c r="H3" s="77"/>
      <c r="I3" s="78"/>
      <c r="J3" s="78"/>
      <c r="K3" s="78"/>
      <c r="L3" s="78"/>
      <c r="M3" s="78"/>
      <c r="N3" s="78"/>
      <c r="O3" s="78"/>
      <c r="P3" s="78"/>
      <c r="Q3" s="78"/>
    </row>
    <row r="4" spans="1:17" ht="24" x14ac:dyDescent="0.4">
      <c r="A4" s="79" t="str">
        <f>IF($B$5=$B$6,"PASS","FAIL")</f>
        <v>PASS</v>
      </c>
      <c r="B4" s="80"/>
      <c r="C4" s="80"/>
      <c r="D4" s="80"/>
      <c r="E4" s="80"/>
      <c r="F4" s="80"/>
      <c r="G4" s="80"/>
      <c r="H4" s="78"/>
      <c r="I4" s="78"/>
      <c r="J4" s="78"/>
      <c r="K4" s="78"/>
      <c r="L4" s="78"/>
      <c r="M4" s="78"/>
      <c r="N4" s="78"/>
      <c r="O4" s="78"/>
      <c r="P4" s="78"/>
      <c r="Q4" s="78"/>
    </row>
    <row r="5" spans="1:17" x14ac:dyDescent="0.25">
      <c r="A5" s="8" t="s">
        <v>9</v>
      </c>
      <c r="B5" s="9">
        <f>COUNTA(C$11:C$2000)-COUNTIF(C11:C$2000,"ND")</f>
        <v>116</v>
      </c>
      <c r="C5" s="10"/>
      <c r="D5" s="11"/>
      <c r="E5" s="11"/>
      <c r="F5" s="12"/>
      <c r="G5" s="12"/>
      <c r="H5" s="13"/>
      <c r="I5" s="12"/>
      <c r="J5" s="12"/>
      <c r="K5" s="12"/>
      <c r="L5" s="12"/>
      <c r="M5" s="12"/>
      <c r="N5" s="12"/>
    </row>
    <row r="6" spans="1:17" x14ac:dyDescent="0.25">
      <c r="A6" s="14" t="s">
        <v>10</v>
      </c>
      <c r="B6" s="15">
        <f>COUNTIF(C11:C$2000,"All Pass")</f>
        <v>116</v>
      </c>
      <c r="C6" s="16"/>
      <c r="D6" s="16"/>
      <c r="E6" s="16"/>
      <c r="F6" s="16" t="s">
        <v>11</v>
      </c>
      <c r="G6" s="17" t="s">
        <v>12</v>
      </c>
      <c r="H6" s="18" t="s">
        <v>13</v>
      </c>
      <c r="I6" s="17" t="s">
        <v>14</v>
      </c>
      <c r="J6" s="17" t="s">
        <v>15</v>
      </c>
      <c r="K6" s="17" t="s">
        <v>16</v>
      </c>
      <c r="L6" s="17" t="s">
        <v>17</v>
      </c>
      <c r="M6" s="17" t="s">
        <v>18</v>
      </c>
      <c r="N6" s="17" t="s">
        <v>19</v>
      </c>
    </row>
    <row r="7" spans="1:17" x14ac:dyDescent="0.25">
      <c r="A7" s="14" t="s">
        <v>20</v>
      </c>
      <c r="B7" s="15">
        <f>COUNTIF(C11:C$2000,"ND")</f>
        <v>0</v>
      </c>
      <c r="C7" s="16"/>
      <c r="D7" s="16"/>
      <c r="E7" s="16"/>
      <c r="F7" s="16" t="s">
        <v>21</v>
      </c>
      <c r="G7" s="17" t="s">
        <v>22</v>
      </c>
      <c r="H7" s="18" t="s">
        <v>23</v>
      </c>
      <c r="I7" s="17" t="s">
        <v>22</v>
      </c>
      <c r="J7" s="17" t="s">
        <v>24</v>
      </c>
      <c r="K7" s="17" t="s">
        <v>25</v>
      </c>
      <c r="L7" s="17" t="s">
        <v>26</v>
      </c>
      <c r="M7" s="17" t="s">
        <v>27</v>
      </c>
      <c r="N7" s="17" t="s">
        <v>23</v>
      </c>
    </row>
    <row r="8" spans="1:17" x14ac:dyDescent="0.25">
      <c r="A8" s="14" t="s">
        <v>28</v>
      </c>
      <c r="B8" s="15">
        <f>B5-B6</f>
        <v>0</v>
      </c>
      <c r="C8" s="16"/>
      <c r="D8" s="16"/>
      <c r="E8" s="16"/>
      <c r="F8" s="16" t="s">
        <v>29</v>
      </c>
      <c r="G8" s="17" t="s">
        <v>30</v>
      </c>
      <c r="H8" s="18" t="s">
        <v>31</v>
      </c>
      <c r="I8" s="17" t="s">
        <v>32</v>
      </c>
      <c r="J8" s="17" t="s">
        <v>33</v>
      </c>
      <c r="K8" s="17" t="s">
        <v>34</v>
      </c>
      <c r="L8" s="17" t="s">
        <v>35</v>
      </c>
      <c r="M8" s="17" t="s">
        <v>36</v>
      </c>
      <c r="N8" s="17" t="s">
        <v>37</v>
      </c>
    </row>
    <row r="9" spans="1:17" x14ac:dyDescent="0.25">
      <c r="A9" s="16" t="s">
        <v>38</v>
      </c>
      <c r="B9" s="16" t="s">
        <v>39</v>
      </c>
      <c r="C9" s="16" t="s">
        <v>40</v>
      </c>
      <c r="D9" s="16" t="s">
        <v>41</v>
      </c>
      <c r="E9" s="16" t="s">
        <v>42</v>
      </c>
      <c r="F9" s="16" t="s">
        <v>43</v>
      </c>
      <c r="G9" s="17"/>
      <c r="H9" s="19"/>
      <c r="I9" s="17"/>
      <c r="J9" s="17"/>
      <c r="K9" s="17"/>
      <c r="L9" s="17"/>
      <c r="M9" s="17" t="s">
        <v>44</v>
      </c>
      <c r="N9" s="17"/>
    </row>
    <row r="10" spans="1:17" s="21" customForma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7" s="21" customFormat="1" x14ac:dyDescent="0.25">
      <c r="A11" s="6"/>
      <c r="B11" s="22">
        <v>2</v>
      </c>
      <c r="C11" s="23" t="s">
        <v>45</v>
      </c>
      <c r="D11" s="23"/>
      <c r="E11" s="22">
        <v>1</v>
      </c>
      <c r="F11" s="22">
        <v>4.9359999999999999</v>
      </c>
      <c r="G11" s="24">
        <v>3.8919999999999993E-6</v>
      </c>
      <c r="H11" s="24">
        <v>4.1100000000000004E-8</v>
      </c>
      <c r="I11" s="24">
        <v>1.6350000000000001E-5</v>
      </c>
      <c r="J11" s="24">
        <v>4.4400000000000001E-8</v>
      </c>
      <c r="K11" s="24">
        <v>1.55</v>
      </c>
      <c r="L11" s="24">
        <v>1.55</v>
      </c>
      <c r="M11" s="24">
        <v>2.6099999999999999E-3</v>
      </c>
      <c r="N11" s="25">
        <v>2.48E-3</v>
      </c>
      <c r="O11" s="21">
        <v>2.5299999999999997E-3</v>
      </c>
      <c r="P11" s="21">
        <v>2.8970000000000001E-7</v>
      </c>
    </row>
    <row r="12" spans="1:17" s="21" customFormat="1" x14ac:dyDescent="0.25">
      <c r="A12" s="6"/>
      <c r="B12" s="22">
        <v>6</v>
      </c>
      <c r="C12" s="26" t="s">
        <v>45</v>
      </c>
      <c r="D12" s="27"/>
      <c r="E12" s="22">
        <v>1</v>
      </c>
      <c r="F12" s="22">
        <v>4.7770000000000001</v>
      </c>
      <c r="G12" s="24">
        <v>7.4880000000000003E-7</v>
      </c>
      <c r="H12" s="24">
        <v>3.5000000000000002E-8</v>
      </c>
      <c r="I12" s="24">
        <v>5.9839999999999998E-6</v>
      </c>
      <c r="J12" s="24">
        <v>2.4900000000000001E-8</v>
      </c>
      <c r="K12" s="24">
        <v>1.5409999999999999</v>
      </c>
      <c r="L12" s="24">
        <v>1.5409999999999999</v>
      </c>
      <c r="M12" s="24">
        <v>2.6200000000000004E-3</v>
      </c>
      <c r="N12" s="25">
        <v>2.4900000000000005E-3</v>
      </c>
      <c r="O12" s="21">
        <v>2.5699999999999998E-3</v>
      </c>
      <c r="P12" s="21">
        <v>2.216E-7</v>
      </c>
    </row>
    <row r="13" spans="1:17" s="21" customFormat="1" x14ac:dyDescent="0.25">
      <c r="A13" s="6"/>
      <c r="B13" s="22">
        <v>9</v>
      </c>
      <c r="C13" s="26" t="s">
        <v>45</v>
      </c>
      <c r="D13" s="26"/>
      <c r="E13" s="22">
        <v>1</v>
      </c>
      <c r="F13" s="22">
        <v>4.6890000000000001</v>
      </c>
      <c r="G13" s="24">
        <v>1.0759999999999999E-6</v>
      </c>
      <c r="H13" s="24">
        <v>4.1000000000000003E-8</v>
      </c>
      <c r="I13" s="24">
        <v>6.6289999999999996E-6</v>
      </c>
      <c r="J13" s="24">
        <v>4.9700000000000008E-8</v>
      </c>
      <c r="K13" s="24">
        <v>1.573</v>
      </c>
      <c r="L13" s="24">
        <v>1.573</v>
      </c>
      <c r="M13" s="24">
        <v>2.6700000000000001E-3</v>
      </c>
      <c r="N13" s="25">
        <v>2.5200000000000001E-3</v>
      </c>
      <c r="O13" s="21">
        <v>2.5800000000000003E-3</v>
      </c>
      <c r="P13" s="21">
        <v>2.5280000000000004E-7</v>
      </c>
    </row>
    <row r="14" spans="1:17" x14ac:dyDescent="0.25">
      <c r="B14" s="22">
        <v>13</v>
      </c>
      <c r="C14" s="26" t="s">
        <v>45</v>
      </c>
      <c r="D14" s="26"/>
      <c r="E14" s="22">
        <v>1</v>
      </c>
      <c r="F14" s="22">
        <v>4.8979999999999997</v>
      </c>
      <c r="G14" s="24">
        <v>2.774E-6</v>
      </c>
      <c r="H14" s="24">
        <v>5.2700000000000009E-8</v>
      </c>
      <c r="I14" s="24">
        <v>1.8600000000000001E-5</v>
      </c>
      <c r="J14" s="24">
        <v>4.4700000000000003E-8</v>
      </c>
      <c r="K14" s="24">
        <v>1.4910000000000001</v>
      </c>
      <c r="L14" s="24">
        <v>1.4910000000000001</v>
      </c>
      <c r="M14" s="24">
        <v>2.7100000000000002E-3</v>
      </c>
      <c r="N14" s="24">
        <v>2.5899999999999999E-3</v>
      </c>
      <c r="O14">
        <v>2.66E-3</v>
      </c>
      <c r="P14">
        <v>3.3700000000000001E-7</v>
      </c>
    </row>
    <row r="15" spans="1:17" s="21" customFormat="1" x14ac:dyDescent="0.25">
      <c r="A15" s="6"/>
      <c r="B15" s="22">
        <v>16</v>
      </c>
      <c r="C15" s="26" t="s">
        <v>45</v>
      </c>
      <c r="D15" s="26"/>
      <c r="E15" s="22">
        <v>1</v>
      </c>
      <c r="F15" s="22">
        <v>4.891</v>
      </c>
      <c r="G15" s="24">
        <v>1.491E-6</v>
      </c>
      <c r="H15" s="24">
        <v>3.7700000000000007E-8</v>
      </c>
      <c r="I15" s="24">
        <v>8.8569999999999984E-6</v>
      </c>
      <c r="J15" s="24">
        <v>3.6500000000000003E-8</v>
      </c>
      <c r="K15" s="24">
        <v>1.5489999999999999</v>
      </c>
      <c r="L15" s="24">
        <v>1.5489999999999999</v>
      </c>
      <c r="M15" s="24">
        <v>2.5299999999999997E-3</v>
      </c>
      <c r="N15" s="25">
        <v>2.4199999999999998E-3</v>
      </c>
      <c r="O15" s="21">
        <v>2.48E-3</v>
      </c>
      <c r="P15" s="21">
        <v>2.4890000000000001E-7</v>
      </c>
    </row>
    <row r="16" spans="1:17" s="21" customFormat="1" x14ac:dyDescent="0.25">
      <c r="A16" s="6"/>
      <c r="B16" s="22">
        <v>17</v>
      </c>
      <c r="C16" s="26" t="s">
        <v>45</v>
      </c>
      <c r="D16" s="26"/>
      <c r="E16" s="22">
        <v>1</v>
      </c>
      <c r="F16" s="22">
        <v>4.8090000000000002</v>
      </c>
      <c r="G16" s="24">
        <v>2.1169999999999998E-6</v>
      </c>
      <c r="H16" s="24">
        <v>3.9700000000000005E-8</v>
      </c>
      <c r="I16" s="24">
        <v>1.2319999999999999E-5</v>
      </c>
      <c r="J16" s="24">
        <v>4.4400000000000001E-8</v>
      </c>
      <c r="K16" s="24">
        <v>1.5409999999999999</v>
      </c>
      <c r="L16" s="24">
        <v>1.5409999999999999</v>
      </c>
      <c r="M16" s="24">
        <v>2.5899999999999999E-3</v>
      </c>
      <c r="N16" s="25">
        <v>2.4599999999999999E-3</v>
      </c>
      <c r="O16" s="21">
        <v>2.5299999999999997E-3</v>
      </c>
      <c r="P16" s="21">
        <v>3.0240000000000001E-7</v>
      </c>
    </row>
    <row r="17" spans="1:16" s="21" customFormat="1" x14ac:dyDescent="0.25">
      <c r="A17" s="6"/>
      <c r="B17" s="22">
        <v>18</v>
      </c>
      <c r="C17" s="26" t="s">
        <v>45</v>
      </c>
      <c r="D17" s="26"/>
      <c r="E17" s="22">
        <v>1</v>
      </c>
      <c r="F17" s="22">
        <v>4.87</v>
      </c>
      <c r="G17" s="24">
        <v>8.3770000000000015E-7</v>
      </c>
      <c r="H17" s="24">
        <v>4.0299999999999997E-8</v>
      </c>
      <c r="I17" s="24">
        <v>1.096E-5</v>
      </c>
      <c r="J17" s="24">
        <v>3.6799999999999999E-8</v>
      </c>
      <c r="K17" s="24">
        <v>1.55</v>
      </c>
      <c r="L17" s="24">
        <v>1.55</v>
      </c>
      <c r="M17" s="24">
        <v>2.5499999999999997E-3</v>
      </c>
      <c r="N17" s="25">
        <v>2.4300000000000003E-3</v>
      </c>
      <c r="O17" s="21">
        <v>2.5099999999999996E-3</v>
      </c>
      <c r="P17" s="21">
        <v>2.3730000000000001E-7</v>
      </c>
    </row>
    <row r="18" spans="1:16" s="21" customFormat="1" x14ac:dyDescent="0.25">
      <c r="A18" s="6"/>
      <c r="B18" s="22">
        <v>20</v>
      </c>
      <c r="C18" s="26" t="s">
        <v>45</v>
      </c>
      <c r="D18" s="26"/>
      <c r="E18" s="22">
        <v>1</v>
      </c>
      <c r="F18" s="22">
        <v>4.7930000000000001</v>
      </c>
      <c r="G18" s="24">
        <v>4.7539999999999997E-6</v>
      </c>
      <c r="H18" s="24">
        <v>4.9100000000000003E-8</v>
      </c>
      <c r="I18" s="24">
        <v>2.2039999999999999E-5</v>
      </c>
      <c r="J18" s="24">
        <v>4.6900000000000003E-8</v>
      </c>
      <c r="K18" s="24">
        <v>1.532</v>
      </c>
      <c r="L18" s="24">
        <v>1.532</v>
      </c>
      <c r="M18" s="24">
        <v>2.6800000000000001E-3</v>
      </c>
      <c r="N18" s="25">
        <v>2.5800000000000003E-3</v>
      </c>
      <c r="O18" s="21">
        <v>2.66E-3</v>
      </c>
      <c r="P18" s="21">
        <v>3.5600000000000001E-7</v>
      </c>
    </row>
    <row r="19" spans="1:16" s="21" customFormat="1" x14ac:dyDescent="0.25">
      <c r="A19" s="6"/>
      <c r="B19" s="22">
        <v>21</v>
      </c>
      <c r="C19" s="26" t="s">
        <v>45</v>
      </c>
      <c r="D19" s="26"/>
      <c r="E19" s="22">
        <v>1</v>
      </c>
      <c r="F19" s="22">
        <v>4.8070000000000004</v>
      </c>
      <c r="G19" s="24">
        <v>1.11E-6</v>
      </c>
      <c r="H19" s="24">
        <v>3.5799999999999996E-8</v>
      </c>
      <c r="I19" s="24">
        <v>7.3949999999999995E-6</v>
      </c>
      <c r="J19" s="24">
        <v>2.8700000000000002E-8</v>
      </c>
      <c r="K19" s="24">
        <v>1.55</v>
      </c>
      <c r="L19" s="24">
        <v>1.55</v>
      </c>
      <c r="M19" s="24">
        <v>2.5800000000000003E-3</v>
      </c>
      <c r="N19" s="25">
        <v>2.4500000000000004E-3</v>
      </c>
      <c r="O19" s="21">
        <v>2.5499999999999997E-3</v>
      </c>
      <c r="P19" s="21">
        <v>2.1970000000000002E-7</v>
      </c>
    </row>
    <row r="20" spans="1:16" s="21" customFormat="1" x14ac:dyDescent="0.25">
      <c r="A20" s="6"/>
      <c r="B20" s="22">
        <v>23</v>
      </c>
      <c r="C20" s="26" t="s">
        <v>45</v>
      </c>
      <c r="D20" s="26"/>
      <c r="E20" s="22">
        <v>1</v>
      </c>
      <c r="F20" s="22">
        <v>4.8650000000000002</v>
      </c>
      <c r="G20" s="24">
        <v>1.9709999999999998E-6</v>
      </c>
      <c r="H20" s="24">
        <v>4.6500000000000006E-8</v>
      </c>
      <c r="I20" s="24">
        <v>1.2799999999999999E-5</v>
      </c>
      <c r="J20" s="24">
        <v>5.7700000000000007E-8</v>
      </c>
      <c r="K20" s="24">
        <v>1.599</v>
      </c>
      <c r="L20" s="24">
        <v>1.599</v>
      </c>
      <c r="M20" s="24">
        <v>2.5499999999999997E-3</v>
      </c>
      <c r="N20" s="25">
        <v>2.4300000000000003E-3</v>
      </c>
      <c r="O20" s="21">
        <v>2.5200000000000001E-3</v>
      </c>
      <c r="P20" s="21">
        <v>3.0390000000000001E-7</v>
      </c>
    </row>
    <row r="21" spans="1:16" s="21" customFormat="1" x14ac:dyDescent="0.25">
      <c r="A21" s="6"/>
      <c r="B21" s="22">
        <v>24</v>
      </c>
      <c r="C21" s="26" t="s">
        <v>45</v>
      </c>
      <c r="D21" s="26"/>
      <c r="E21" s="22">
        <v>1</v>
      </c>
      <c r="F21" s="22">
        <v>4.6710000000000003</v>
      </c>
      <c r="G21" s="24">
        <v>8.920000000000001E-7</v>
      </c>
      <c r="H21" s="24">
        <v>4.14E-8</v>
      </c>
      <c r="I21" s="24">
        <v>5.8869999999999997E-6</v>
      </c>
      <c r="J21" s="24">
        <v>2.4699999999999999E-8</v>
      </c>
      <c r="K21" s="24">
        <v>1.518</v>
      </c>
      <c r="L21" s="24">
        <v>1.518</v>
      </c>
      <c r="M21" s="24">
        <v>2.8900000000000002E-3</v>
      </c>
      <c r="N21" s="25">
        <v>2.7799999999999999E-3</v>
      </c>
      <c r="O21" s="21">
        <v>2.8300000000000001E-3</v>
      </c>
      <c r="P21" s="21">
        <v>2.5410000000000003E-7</v>
      </c>
    </row>
    <row r="22" spans="1:16" s="21" customFormat="1" x14ac:dyDescent="0.25">
      <c r="A22" s="6"/>
      <c r="B22" s="22">
        <v>25</v>
      </c>
      <c r="C22" s="26" t="s">
        <v>45</v>
      </c>
      <c r="D22" s="26"/>
      <c r="E22" s="22">
        <v>1</v>
      </c>
      <c r="F22" s="22">
        <v>4.83</v>
      </c>
      <c r="G22" s="24">
        <v>7.5510000000000008E-7</v>
      </c>
      <c r="H22" s="24">
        <v>3.8700000000000002E-8</v>
      </c>
      <c r="I22" s="24">
        <v>4.2209999999999999E-6</v>
      </c>
      <c r="J22" s="24">
        <v>2.55E-8</v>
      </c>
      <c r="K22" s="24">
        <v>1.5029999999999999</v>
      </c>
      <c r="L22" s="24">
        <v>1.5029999999999999</v>
      </c>
      <c r="M22" s="24">
        <v>2.5899999999999999E-3</v>
      </c>
      <c r="N22" s="25">
        <v>2.4500000000000004E-3</v>
      </c>
      <c r="O22" s="21">
        <v>2.5400000000000002E-3</v>
      </c>
      <c r="P22" s="21">
        <v>2.4069999999999998E-7</v>
      </c>
    </row>
    <row r="23" spans="1:16" s="21" customFormat="1" x14ac:dyDescent="0.25">
      <c r="A23" s="6"/>
      <c r="B23" s="22">
        <v>26</v>
      </c>
      <c r="C23" s="26" t="s">
        <v>45</v>
      </c>
      <c r="D23" s="27"/>
      <c r="E23" s="22">
        <v>1</v>
      </c>
      <c r="F23" s="22">
        <v>4.9379999999999997</v>
      </c>
      <c r="G23" s="24">
        <v>1.996E-6</v>
      </c>
      <c r="H23" s="24">
        <v>4.6500000000000006E-8</v>
      </c>
      <c r="I23" s="24">
        <v>1.243E-5</v>
      </c>
      <c r="J23" s="24">
        <v>5.0500000000000002E-8</v>
      </c>
      <c r="K23" s="24">
        <v>1.544</v>
      </c>
      <c r="L23" s="24">
        <v>1.544</v>
      </c>
      <c r="M23" s="24">
        <v>2.66E-3</v>
      </c>
      <c r="N23" s="25">
        <v>2.5499999999999997E-3</v>
      </c>
      <c r="O23" s="21">
        <v>2.6099999999999999E-3</v>
      </c>
      <c r="P23" s="21">
        <v>3.22E-7</v>
      </c>
    </row>
    <row r="24" spans="1:16" s="21" customFormat="1" x14ac:dyDescent="0.25">
      <c r="A24" s="6"/>
      <c r="B24" s="22">
        <v>29</v>
      </c>
      <c r="C24" s="26" t="s">
        <v>45</v>
      </c>
      <c r="D24" s="27"/>
      <c r="E24" s="22">
        <v>1</v>
      </c>
      <c r="F24" s="22">
        <v>4.7610000000000001</v>
      </c>
      <c r="G24" s="24">
        <v>3.1809999999999997E-6</v>
      </c>
      <c r="H24" s="24">
        <v>5.3100000000000006E-8</v>
      </c>
      <c r="I24" s="24">
        <v>1.9399999999999997E-5</v>
      </c>
      <c r="J24" s="24">
        <v>3.2700000000000002E-8</v>
      </c>
      <c r="K24" s="24">
        <v>1.538</v>
      </c>
      <c r="L24" s="24">
        <v>1.538</v>
      </c>
      <c r="M24" s="24">
        <v>2.7000000000000001E-3</v>
      </c>
      <c r="N24" s="25">
        <v>2.5899999999999999E-3</v>
      </c>
      <c r="O24" s="21">
        <v>2.6700000000000001E-3</v>
      </c>
      <c r="P24" s="21">
        <v>3.1100000000000002E-7</v>
      </c>
    </row>
    <row r="25" spans="1:16" s="21" customFormat="1" x14ac:dyDescent="0.25">
      <c r="A25" s="6"/>
      <c r="B25" s="22">
        <v>31</v>
      </c>
      <c r="C25" s="26" t="s">
        <v>45</v>
      </c>
      <c r="D25" s="26"/>
      <c r="E25" s="22">
        <v>1</v>
      </c>
      <c r="F25" s="22">
        <v>4.8689999999999998</v>
      </c>
      <c r="G25" s="24">
        <v>2.7240000000000001E-6</v>
      </c>
      <c r="H25" s="24">
        <v>3.8200000000000005E-8</v>
      </c>
      <c r="I25" s="24">
        <v>1.1619999999999999E-5</v>
      </c>
      <c r="J25" s="24">
        <v>3.7500000000000005E-8</v>
      </c>
      <c r="K25" s="24">
        <v>1.5489999999999999</v>
      </c>
      <c r="L25" s="24">
        <v>1.5489999999999999</v>
      </c>
      <c r="M25" s="24">
        <v>2.5699999999999998E-3</v>
      </c>
      <c r="N25" s="25">
        <v>2.3999999999999998E-3</v>
      </c>
      <c r="O25" s="21">
        <v>2.4500000000000004E-3</v>
      </c>
      <c r="P25" s="21">
        <v>2.6510000000000006E-7</v>
      </c>
    </row>
    <row r="26" spans="1:16" s="21" customFormat="1" x14ac:dyDescent="0.25">
      <c r="A26" s="6"/>
      <c r="B26" s="22">
        <v>33</v>
      </c>
      <c r="C26" s="26" t="s">
        <v>45</v>
      </c>
      <c r="D26" s="27"/>
      <c r="E26" s="22">
        <v>1</v>
      </c>
      <c r="F26" s="22">
        <v>4.7850000000000001</v>
      </c>
      <c r="G26" s="24">
        <v>2.2109999999999997E-6</v>
      </c>
      <c r="H26" s="24">
        <v>3.4900000000000001E-8</v>
      </c>
      <c r="I26" s="24">
        <v>1.1699999999999998E-5</v>
      </c>
      <c r="J26" s="24">
        <v>2.5600000000000004E-8</v>
      </c>
      <c r="K26" s="24">
        <v>1.5269999999999999</v>
      </c>
      <c r="L26" s="24">
        <v>1.5269999999999999</v>
      </c>
      <c r="M26" s="24">
        <v>2.6000000000000003E-3</v>
      </c>
      <c r="N26" s="25">
        <v>2.48E-3</v>
      </c>
      <c r="O26" s="21">
        <v>2.5699999999999998E-3</v>
      </c>
      <c r="P26" s="21">
        <v>2.2840000000000001E-7</v>
      </c>
    </row>
    <row r="27" spans="1:16" s="21" customFormat="1" x14ac:dyDescent="0.25">
      <c r="A27" s="6"/>
      <c r="B27" s="22">
        <v>40</v>
      </c>
      <c r="C27" s="26" t="s">
        <v>45</v>
      </c>
      <c r="D27" s="26"/>
      <c r="E27" s="22">
        <v>1</v>
      </c>
      <c r="F27" s="22">
        <v>4.7300000000000004</v>
      </c>
      <c r="G27" s="24">
        <v>6.9459999999999992E-6</v>
      </c>
      <c r="H27" s="24">
        <v>3.7400000000000004E-8</v>
      </c>
      <c r="I27" s="24">
        <v>2.2969999999999999E-5</v>
      </c>
      <c r="J27" s="24">
        <v>3.6600000000000003E-8</v>
      </c>
      <c r="K27" s="24">
        <v>1.5680000000000001</v>
      </c>
      <c r="L27" s="24">
        <v>1.5680000000000001</v>
      </c>
      <c r="M27" s="24">
        <v>2.5600000000000002E-3</v>
      </c>
      <c r="N27" s="25">
        <v>2.4399999999999999E-3</v>
      </c>
      <c r="O27" s="21">
        <v>2.4900000000000005E-3</v>
      </c>
      <c r="P27" s="21">
        <v>2.5870000000000001E-7</v>
      </c>
    </row>
    <row r="28" spans="1:16" s="21" customFormat="1" x14ac:dyDescent="0.25">
      <c r="A28" s="6"/>
      <c r="B28" s="22">
        <v>41</v>
      </c>
      <c r="C28" s="26" t="s">
        <v>45</v>
      </c>
      <c r="D28" s="26"/>
      <c r="E28" s="22">
        <v>1</v>
      </c>
      <c r="F28" s="22">
        <v>4.7</v>
      </c>
      <c r="G28" s="24">
        <v>1.0489999999999998E-6</v>
      </c>
      <c r="H28" s="24">
        <v>3.8000000000000003E-8</v>
      </c>
      <c r="I28" s="24">
        <v>6.3150000000000005E-6</v>
      </c>
      <c r="J28" s="24">
        <v>4.8200000000000008E-8</v>
      </c>
      <c r="K28" s="24">
        <v>1.569</v>
      </c>
      <c r="L28" s="24">
        <v>1.569</v>
      </c>
      <c r="M28" s="24">
        <v>2.5600000000000002E-3</v>
      </c>
      <c r="N28" s="25">
        <v>2.4300000000000003E-3</v>
      </c>
      <c r="O28" s="21">
        <v>2.5000000000000001E-3</v>
      </c>
      <c r="P28" s="21">
        <v>2.5340000000000003E-7</v>
      </c>
    </row>
    <row r="29" spans="1:16" s="21" customFormat="1" x14ac:dyDescent="0.25">
      <c r="A29" s="6"/>
      <c r="B29" s="22">
        <v>42</v>
      </c>
      <c r="C29" s="26" t="s">
        <v>45</v>
      </c>
      <c r="D29" s="26"/>
      <c r="E29" s="22">
        <v>1</v>
      </c>
      <c r="F29" s="22">
        <v>4.8230000000000004</v>
      </c>
      <c r="G29" s="24">
        <v>1.381E-6</v>
      </c>
      <c r="H29" s="24">
        <v>4.2600000000000004E-8</v>
      </c>
      <c r="I29" s="24">
        <v>7.2849999999999997E-6</v>
      </c>
      <c r="J29" s="24">
        <v>5.1300000000000003E-8</v>
      </c>
      <c r="K29" s="24">
        <v>1.5640000000000001</v>
      </c>
      <c r="L29" s="24">
        <v>1.5640000000000001</v>
      </c>
      <c r="M29" s="24">
        <v>2.6000000000000003E-3</v>
      </c>
      <c r="N29" s="25">
        <v>2.48E-3</v>
      </c>
      <c r="O29" s="21">
        <v>2.5699999999999998E-3</v>
      </c>
      <c r="P29" s="21">
        <v>2.6010000000000006E-7</v>
      </c>
    </row>
    <row r="30" spans="1:16" s="21" customFormat="1" x14ac:dyDescent="0.25">
      <c r="A30" s="6"/>
      <c r="B30" s="22">
        <v>44</v>
      </c>
      <c r="C30" s="26" t="s">
        <v>45</v>
      </c>
      <c r="D30" s="26"/>
      <c r="E30" s="22">
        <v>1</v>
      </c>
      <c r="F30" s="22">
        <v>4.875</v>
      </c>
      <c r="G30" s="24">
        <v>2.1869999999999996E-6</v>
      </c>
      <c r="H30" s="24">
        <v>4.9399999999999999E-8</v>
      </c>
      <c r="I30" s="24">
        <v>1.309E-5</v>
      </c>
      <c r="J30" s="24">
        <v>5.5299999999999999E-8</v>
      </c>
      <c r="K30" s="24">
        <v>1.5569999999999999</v>
      </c>
      <c r="L30" s="24">
        <v>1.5569999999999999</v>
      </c>
      <c r="M30" s="24">
        <v>2.5000000000000001E-3</v>
      </c>
      <c r="N30" s="25">
        <v>2.3700000000000001E-3</v>
      </c>
      <c r="O30" s="21">
        <v>2.4500000000000004E-3</v>
      </c>
      <c r="P30" s="21">
        <v>3.537E-7</v>
      </c>
    </row>
    <row r="31" spans="1:16" s="21" customFormat="1" x14ac:dyDescent="0.25">
      <c r="A31" s="6"/>
      <c r="B31" s="22">
        <v>47</v>
      </c>
      <c r="C31" s="26" t="s">
        <v>45</v>
      </c>
      <c r="D31" s="26"/>
      <c r="E31" s="22">
        <v>1</v>
      </c>
      <c r="F31" s="22">
        <v>4.7880000000000003</v>
      </c>
      <c r="G31" s="24">
        <v>8.4200000000000005E-7</v>
      </c>
      <c r="H31" s="24">
        <v>3.9000000000000005E-8</v>
      </c>
      <c r="I31" s="24">
        <v>4.1879999999999995E-6</v>
      </c>
      <c r="J31" s="24">
        <v>3.2399999999999999E-8</v>
      </c>
      <c r="K31" s="24">
        <v>1.55</v>
      </c>
      <c r="L31" s="24">
        <v>1.55</v>
      </c>
      <c r="M31" s="24">
        <v>2.5600000000000002E-3</v>
      </c>
      <c r="N31" s="25">
        <v>2.4500000000000004E-3</v>
      </c>
      <c r="O31" s="21">
        <v>2.5000000000000001E-3</v>
      </c>
      <c r="P31" s="21">
        <v>2.241E-7</v>
      </c>
    </row>
    <row r="32" spans="1:16" s="21" customFormat="1" x14ac:dyDescent="0.25">
      <c r="A32" s="6"/>
      <c r="B32" s="22">
        <v>48</v>
      </c>
      <c r="C32" s="26" t="s">
        <v>45</v>
      </c>
      <c r="D32" s="26"/>
      <c r="E32" s="22">
        <v>1</v>
      </c>
      <c r="F32" s="22">
        <v>4.9169999999999998</v>
      </c>
      <c r="G32" s="24">
        <v>9.2230000000000005E-7</v>
      </c>
      <c r="H32" s="24">
        <v>3.6000000000000005E-8</v>
      </c>
      <c r="I32" s="24">
        <v>5.9719999999999997E-6</v>
      </c>
      <c r="J32" s="24">
        <v>2.5700000000000002E-8</v>
      </c>
      <c r="K32" s="24">
        <v>1.5149999999999999</v>
      </c>
      <c r="L32" s="24">
        <v>1.5149999999999999</v>
      </c>
      <c r="M32" s="24">
        <v>2.6900000000000001E-3</v>
      </c>
      <c r="N32" s="25">
        <v>2.5600000000000002E-3</v>
      </c>
      <c r="O32" s="21">
        <v>2.63E-3</v>
      </c>
      <c r="P32" s="21">
        <v>2.3800000000000001E-7</v>
      </c>
    </row>
    <row r="33" spans="1:16" s="21" customFormat="1" x14ac:dyDescent="0.25">
      <c r="A33" s="6"/>
      <c r="B33" s="22">
        <v>50</v>
      </c>
      <c r="C33" s="26" t="s">
        <v>45</v>
      </c>
      <c r="D33" s="27"/>
      <c r="E33" s="22">
        <v>1</v>
      </c>
      <c r="F33" s="22">
        <v>4.7990000000000004</v>
      </c>
      <c r="G33" s="24">
        <v>1.5940000000000001E-6</v>
      </c>
      <c r="H33" s="24">
        <v>3.7100000000000001E-8</v>
      </c>
      <c r="I33" s="24">
        <v>8.103999999999999E-6</v>
      </c>
      <c r="J33" s="24">
        <v>3.2799999999999996E-8</v>
      </c>
      <c r="K33" s="24">
        <v>1.536</v>
      </c>
      <c r="L33" s="24">
        <v>1.536</v>
      </c>
      <c r="M33" s="24">
        <v>2.7300000000000002E-3</v>
      </c>
      <c r="N33" s="25">
        <v>2.5899999999999999E-3</v>
      </c>
      <c r="O33" s="21">
        <v>2.6800000000000001E-3</v>
      </c>
      <c r="P33" s="21">
        <v>2.4120000000000002E-7</v>
      </c>
    </row>
    <row r="34" spans="1:16" x14ac:dyDescent="0.25">
      <c r="B34" s="22">
        <v>54</v>
      </c>
      <c r="C34" s="26" t="s">
        <v>45</v>
      </c>
      <c r="D34" s="26"/>
      <c r="E34" s="22">
        <v>1</v>
      </c>
      <c r="F34" s="22">
        <v>4.8319999999999999</v>
      </c>
      <c r="G34" s="24">
        <v>1.804E-6</v>
      </c>
      <c r="H34" s="24">
        <v>4.4600000000000002E-8</v>
      </c>
      <c r="I34" s="24">
        <v>1.1229999999999999E-5</v>
      </c>
      <c r="J34" s="24">
        <v>5.8700000000000009E-8</v>
      </c>
      <c r="K34" s="24">
        <v>1.5880000000000001</v>
      </c>
      <c r="L34" s="24">
        <v>1.5880000000000001</v>
      </c>
      <c r="M34" s="24">
        <v>2.5400000000000002E-3</v>
      </c>
      <c r="N34" s="24">
        <v>2.4199999999999998E-3</v>
      </c>
      <c r="O34">
        <v>2.5000000000000001E-3</v>
      </c>
      <c r="P34">
        <v>2.9569999999999998E-7</v>
      </c>
    </row>
    <row r="35" spans="1:16" x14ac:dyDescent="0.25">
      <c r="B35" s="22">
        <v>57</v>
      </c>
      <c r="C35" s="26" t="s">
        <v>45</v>
      </c>
      <c r="D35" s="26"/>
      <c r="E35" s="22">
        <v>1</v>
      </c>
      <c r="F35" s="22">
        <v>4.827</v>
      </c>
      <c r="G35" s="24">
        <v>1.962E-6</v>
      </c>
      <c r="H35" s="24">
        <v>4.3200000000000003E-8</v>
      </c>
      <c r="I35" s="24">
        <v>1.3560000000000001E-5</v>
      </c>
      <c r="J35" s="24">
        <v>5.2100000000000003E-8</v>
      </c>
      <c r="K35" s="24">
        <v>1.5960000000000001</v>
      </c>
      <c r="L35" s="24">
        <v>1.5960000000000001</v>
      </c>
      <c r="M35" s="24">
        <v>2.4599999999999999E-3</v>
      </c>
      <c r="N35" s="24">
        <v>2.3600000000000001E-3</v>
      </c>
      <c r="O35">
        <v>2.4399999999999999E-3</v>
      </c>
      <c r="P35">
        <v>3.03E-7</v>
      </c>
    </row>
    <row r="36" spans="1:16" x14ac:dyDescent="0.25">
      <c r="B36" s="22">
        <v>58</v>
      </c>
      <c r="C36" s="26" t="s">
        <v>45</v>
      </c>
      <c r="D36" s="27"/>
      <c r="E36" s="22">
        <v>1</v>
      </c>
      <c r="F36" s="22">
        <v>4.8949999999999996</v>
      </c>
      <c r="G36" s="24">
        <v>1.778E-6</v>
      </c>
      <c r="H36" s="24">
        <v>4.3200000000000003E-8</v>
      </c>
      <c r="I36" s="24">
        <v>1.0009999999999999E-5</v>
      </c>
      <c r="J36" s="24">
        <v>3.8000000000000003E-8</v>
      </c>
      <c r="K36" s="24">
        <v>1.49</v>
      </c>
      <c r="L36" s="24">
        <v>1.49</v>
      </c>
      <c r="M36" s="24">
        <v>2.7100000000000002E-3</v>
      </c>
      <c r="N36" s="24">
        <v>2.5800000000000003E-3</v>
      </c>
      <c r="O36">
        <v>2.6700000000000001E-3</v>
      </c>
      <c r="P36">
        <v>2.9400000000000001E-7</v>
      </c>
    </row>
    <row r="37" spans="1:16" x14ac:dyDescent="0.25">
      <c r="B37" s="22">
        <v>60</v>
      </c>
      <c r="C37" s="26" t="s">
        <v>45</v>
      </c>
      <c r="D37" s="26"/>
      <c r="E37" s="22">
        <v>1</v>
      </c>
      <c r="F37" s="22">
        <v>4.8869999999999996</v>
      </c>
      <c r="G37" s="24">
        <v>1.4139999999999999E-6</v>
      </c>
      <c r="H37" s="24">
        <v>3.7100000000000001E-8</v>
      </c>
      <c r="I37" s="24">
        <v>5.7419999999999994E-6</v>
      </c>
      <c r="J37" s="24">
        <v>3.0700000000000004E-8</v>
      </c>
      <c r="K37" s="24">
        <v>1.5009999999999999</v>
      </c>
      <c r="L37" s="24">
        <v>1.5009999999999999</v>
      </c>
      <c r="M37" s="24">
        <v>2.5699999999999998E-3</v>
      </c>
      <c r="N37" s="24">
        <v>2.4399999999999999E-3</v>
      </c>
      <c r="O37">
        <v>2.5400000000000002E-3</v>
      </c>
      <c r="P37">
        <v>2.3730000000000001E-7</v>
      </c>
    </row>
    <row r="38" spans="1:16" x14ac:dyDescent="0.25">
      <c r="B38" s="22">
        <v>65</v>
      </c>
      <c r="C38" s="26" t="s">
        <v>45</v>
      </c>
      <c r="D38" s="26"/>
      <c r="E38" s="22">
        <v>1</v>
      </c>
      <c r="F38" s="22">
        <v>4.9279999999999999</v>
      </c>
      <c r="G38" s="24">
        <v>2.9519999999999999E-6</v>
      </c>
      <c r="H38" s="24">
        <v>3.8000000000000003E-8</v>
      </c>
      <c r="I38" s="24">
        <v>1.1369999999999998E-5</v>
      </c>
      <c r="J38" s="24">
        <v>4.7500000000000002E-8</v>
      </c>
      <c r="K38" s="24">
        <v>1.554</v>
      </c>
      <c r="L38" s="24">
        <v>1.554</v>
      </c>
      <c r="M38" s="24">
        <v>2.4599999999999999E-3</v>
      </c>
      <c r="N38" s="24">
        <v>2.3400000000000001E-3</v>
      </c>
      <c r="O38">
        <v>2.4399999999999999E-3</v>
      </c>
      <c r="P38">
        <v>2.7160000000000002E-7</v>
      </c>
    </row>
    <row r="39" spans="1:16" x14ac:dyDescent="0.25">
      <c r="B39" s="22">
        <v>67</v>
      </c>
      <c r="C39" s="26" t="s">
        <v>45</v>
      </c>
      <c r="D39" s="26"/>
      <c r="E39" s="22">
        <v>1</v>
      </c>
      <c r="F39" s="22">
        <v>4.649</v>
      </c>
      <c r="G39" s="24">
        <v>9.0060000000000011E-7</v>
      </c>
      <c r="H39" s="24">
        <v>3.8100000000000004E-8</v>
      </c>
      <c r="I39" s="24">
        <v>5.623999999999999E-6</v>
      </c>
      <c r="J39" s="24">
        <v>2.4500000000000001E-8</v>
      </c>
      <c r="K39" s="24">
        <v>1.514</v>
      </c>
      <c r="L39" s="24">
        <v>1.514</v>
      </c>
      <c r="M39" s="24">
        <v>2.8600000000000001E-3</v>
      </c>
      <c r="N39" s="24">
        <v>2.7300000000000002E-3</v>
      </c>
      <c r="O39">
        <v>2.81E-3</v>
      </c>
      <c r="P39">
        <v>2.4930000000000004E-7</v>
      </c>
    </row>
    <row r="40" spans="1:16" x14ac:dyDescent="0.25">
      <c r="B40" s="22">
        <v>70</v>
      </c>
      <c r="C40" s="26" t="s">
        <v>45</v>
      </c>
      <c r="D40" s="26"/>
      <c r="E40" s="22">
        <v>1</v>
      </c>
      <c r="F40" s="22">
        <v>4.8879999999999999</v>
      </c>
      <c r="G40" s="24">
        <v>1.539E-5</v>
      </c>
      <c r="H40" s="24">
        <v>3.9600000000000004E-8</v>
      </c>
      <c r="I40" s="24">
        <v>3.2200000000000003E-5</v>
      </c>
      <c r="J40" s="24">
        <v>5.7500000000000005E-8</v>
      </c>
      <c r="K40" s="24">
        <v>1.544</v>
      </c>
      <c r="L40" s="24">
        <v>1.544</v>
      </c>
      <c r="M40" s="24">
        <v>2.4900000000000005E-3</v>
      </c>
      <c r="N40" s="24">
        <v>2.3799999999999997E-3</v>
      </c>
      <c r="O40">
        <v>2.4599999999999999E-3</v>
      </c>
      <c r="P40">
        <v>2.6550000000000004E-7</v>
      </c>
    </row>
    <row r="41" spans="1:16" x14ac:dyDescent="0.25">
      <c r="B41" s="22">
        <v>74</v>
      </c>
      <c r="C41" s="26" t="s">
        <v>45</v>
      </c>
      <c r="D41" s="26"/>
      <c r="E41" s="22">
        <v>1</v>
      </c>
      <c r="F41" s="22">
        <v>4.8079999999999998</v>
      </c>
      <c r="G41" s="24">
        <v>2.2799999999999998E-6</v>
      </c>
      <c r="H41" s="24">
        <v>4.2200000000000007E-8</v>
      </c>
      <c r="I41" s="24">
        <v>8.5339999999999999E-6</v>
      </c>
      <c r="J41" s="24">
        <v>2.6000000000000001E-8</v>
      </c>
      <c r="K41" s="24">
        <v>1.5129999999999999</v>
      </c>
      <c r="L41" s="24">
        <v>1.5129999999999999</v>
      </c>
      <c r="M41" s="24">
        <v>2.66E-3</v>
      </c>
      <c r="N41" s="24">
        <v>2.5699999999999998E-3</v>
      </c>
      <c r="O41">
        <v>2.64E-3</v>
      </c>
      <c r="P41">
        <v>2.5680000000000002E-7</v>
      </c>
    </row>
    <row r="42" spans="1:16" x14ac:dyDescent="0.25">
      <c r="B42" s="22">
        <v>76</v>
      </c>
      <c r="C42" s="26" t="s">
        <v>45</v>
      </c>
      <c r="D42" s="26"/>
      <c r="E42" s="22">
        <v>1</v>
      </c>
      <c r="F42" s="22">
        <v>4.7869999999999999</v>
      </c>
      <c r="G42" s="24">
        <v>1.8409999999999998E-6</v>
      </c>
      <c r="H42" s="24">
        <v>4.1700000000000003E-8</v>
      </c>
      <c r="I42" s="24">
        <v>1.448E-5</v>
      </c>
      <c r="J42" s="24">
        <v>5.39E-8</v>
      </c>
      <c r="K42" s="24">
        <v>1.5620000000000001</v>
      </c>
      <c r="L42" s="24">
        <v>1.5620000000000001</v>
      </c>
      <c r="M42" s="24">
        <v>2.63E-3</v>
      </c>
      <c r="N42" s="24">
        <v>2.5299999999999997E-3</v>
      </c>
      <c r="O42">
        <v>2.6099999999999999E-3</v>
      </c>
      <c r="P42">
        <v>2.8420000000000002E-7</v>
      </c>
    </row>
    <row r="43" spans="1:16" x14ac:dyDescent="0.25">
      <c r="B43" s="22">
        <v>77</v>
      </c>
      <c r="C43" s="26" t="s">
        <v>45</v>
      </c>
      <c r="D43" s="27"/>
      <c r="E43" s="22">
        <v>1</v>
      </c>
      <c r="F43" s="22">
        <v>4.8460000000000001</v>
      </c>
      <c r="G43" s="24">
        <v>2.6000000000000001E-6</v>
      </c>
      <c r="H43" s="24">
        <v>4.1799999999999997E-8</v>
      </c>
      <c r="I43" s="24">
        <v>1.9230000000000001E-5</v>
      </c>
      <c r="J43" s="24">
        <v>4.2000000000000006E-8</v>
      </c>
      <c r="K43" s="24">
        <v>1.538</v>
      </c>
      <c r="L43" s="24">
        <v>1.538</v>
      </c>
      <c r="M43" s="24">
        <v>2.6099999999999999E-3</v>
      </c>
      <c r="N43" s="24">
        <v>2.5000000000000001E-3</v>
      </c>
      <c r="O43">
        <v>2.5699999999999998E-3</v>
      </c>
      <c r="P43">
        <v>3.1480000000000004E-7</v>
      </c>
    </row>
    <row r="44" spans="1:16" x14ac:dyDescent="0.25">
      <c r="B44" s="22">
        <v>80</v>
      </c>
      <c r="C44" s="26" t="s">
        <v>45</v>
      </c>
      <c r="D44" s="26"/>
      <c r="E44" s="22">
        <v>1</v>
      </c>
      <c r="F44" s="22">
        <v>4.83</v>
      </c>
      <c r="G44" s="24">
        <v>1.243E-6</v>
      </c>
      <c r="H44" s="24">
        <v>4.0800000000000001E-8</v>
      </c>
      <c r="I44" s="24">
        <v>7.6219999999999992E-6</v>
      </c>
      <c r="J44" s="24">
        <v>2.6100000000000002E-8</v>
      </c>
      <c r="K44" s="24">
        <v>1.5189999999999999</v>
      </c>
      <c r="L44" s="24">
        <v>1.5189999999999999</v>
      </c>
      <c r="M44" s="24">
        <v>2.63E-3</v>
      </c>
      <c r="N44" s="24">
        <v>2.5099999999999996E-3</v>
      </c>
      <c r="O44">
        <v>2.6200000000000004E-3</v>
      </c>
      <c r="P44">
        <v>2.5839999999999998E-7</v>
      </c>
    </row>
    <row r="45" spans="1:16" x14ac:dyDescent="0.25">
      <c r="B45" s="22">
        <v>81</v>
      </c>
      <c r="C45" s="26" t="s">
        <v>45</v>
      </c>
      <c r="D45" s="27"/>
      <c r="E45" s="22">
        <v>1</v>
      </c>
      <c r="F45" s="22">
        <v>4.8849999999999998</v>
      </c>
      <c r="G45" s="24">
        <v>1.7529999999999998E-6</v>
      </c>
      <c r="H45" s="24">
        <v>4.5000000000000006E-8</v>
      </c>
      <c r="I45" s="24">
        <v>1.025E-5</v>
      </c>
      <c r="J45" s="24">
        <v>6.0399999999999998E-8</v>
      </c>
      <c r="K45" s="24">
        <v>1.589</v>
      </c>
      <c r="L45" s="24">
        <v>1.589</v>
      </c>
      <c r="M45" s="24">
        <v>2.48E-3</v>
      </c>
      <c r="N45" s="24">
        <v>2.3700000000000001E-3</v>
      </c>
      <c r="O45">
        <v>2.4500000000000004E-3</v>
      </c>
      <c r="P45">
        <v>2.9630000000000003E-7</v>
      </c>
    </row>
    <row r="46" spans="1:16" x14ac:dyDescent="0.25">
      <c r="B46" s="22">
        <v>82</v>
      </c>
      <c r="C46" s="26" t="s">
        <v>45</v>
      </c>
      <c r="D46" s="26"/>
      <c r="E46" s="22">
        <v>1</v>
      </c>
      <c r="F46" s="22">
        <v>4.8220000000000001</v>
      </c>
      <c r="G46" s="24">
        <v>5.9050000000000002E-6</v>
      </c>
      <c r="H46" s="24">
        <v>4.4400000000000001E-8</v>
      </c>
      <c r="I46" s="24">
        <v>1.508E-5</v>
      </c>
      <c r="J46" s="24">
        <v>5.4600000000000006E-8</v>
      </c>
      <c r="K46" s="24">
        <v>1.554</v>
      </c>
      <c r="L46" s="24">
        <v>1.554</v>
      </c>
      <c r="M46" s="24">
        <v>2.5800000000000003E-3</v>
      </c>
      <c r="N46" s="24">
        <v>2.4599999999999999E-3</v>
      </c>
      <c r="O46">
        <v>2.5499999999999997E-3</v>
      </c>
      <c r="P46">
        <v>2.6950000000000002E-7</v>
      </c>
    </row>
    <row r="47" spans="1:16" x14ac:dyDescent="0.25">
      <c r="B47" s="22">
        <v>83</v>
      </c>
      <c r="C47" s="26" t="s">
        <v>45</v>
      </c>
      <c r="D47" s="27"/>
      <c r="E47" s="22">
        <v>1</v>
      </c>
      <c r="F47" s="22">
        <v>4.8849999999999998</v>
      </c>
      <c r="G47" s="24">
        <v>7.1420000000000004E-6</v>
      </c>
      <c r="H47" s="24">
        <v>4.5300000000000002E-8</v>
      </c>
      <c r="I47" s="24">
        <v>2.9149999999999997E-5</v>
      </c>
      <c r="J47" s="24">
        <v>5.2700000000000009E-8</v>
      </c>
      <c r="K47" s="24">
        <v>1.59</v>
      </c>
      <c r="L47" s="24">
        <v>1.59</v>
      </c>
      <c r="M47" s="24">
        <v>2.4700000000000004E-3</v>
      </c>
      <c r="N47" s="24">
        <v>2.3700000000000001E-3</v>
      </c>
      <c r="O47">
        <v>2.4599999999999999E-3</v>
      </c>
      <c r="P47">
        <v>3.4050000000000001E-7</v>
      </c>
    </row>
    <row r="48" spans="1:16" x14ac:dyDescent="0.25">
      <c r="B48" s="22">
        <v>87</v>
      </c>
      <c r="C48" s="26" t="s">
        <v>45</v>
      </c>
      <c r="D48" s="26"/>
      <c r="E48" s="22">
        <v>1</v>
      </c>
      <c r="F48" s="22">
        <v>4.9809999999999999</v>
      </c>
      <c r="G48" s="24">
        <v>1.7490000000000001E-6</v>
      </c>
      <c r="H48" s="24">
        <v>4.4100000000000004E-8</v>
      </c>
      <c r="I48" s="24">
        <v>1.1E-5</v>
      </c>
      <c r="J48" s="24">
        <v>5.2399999999999999E-8</v>
      </c>
      <c r="K48" s="24">
        <v>1.56</v>
      </c>
      <c r="L48" s="24">
        <v>1.56</v>
      </c>
      <c r="M48" s="24">
        <v>2.4700000000000004E-3</v>
      </c>
      <c r="N48" s="24">
        <v>2.3600000000000001E-3</v>
      </c>
      <c r="O48">
        <v>2.3900000000000002E-3</v>
      </c>
      <c r="P48">
        <v>2.9690000000000002E-7</v>
      </c>
    </row>
    <row r="49" spans="2:16" x14ac:dyDescent="0.25">
      <c r="B49" s="22">
        <v>88</v>
      </c>
      <c r="C49" s="26" t="s">
        <v>45</v>
      </c>
      <c r="D49" s="26"/>
      <c r="E49" s="22">
        <v>1</v>
      </c>
      <c r="F49" s="22">
        <v>4.8769999999999998</v>
      </c>
      <c r="G49" s="24">
        <v>5.4729999999999999E-6</v>
      </c>
      <c r="H49" s="24">
        <v>5.7200000000000009E-8</v>
      </c>
      <c r="I49" s="24">
        <v>3.078E-5</v>
      </c>
      <c r="J49" s="24">
        <v>7.6700000000000005E-8</v>
      </c>
      <c r="K49" s="24">
        <v>1.5369999999999999</v>
      </c>
      <c r="L49" s="24">
        <v>1.5369999999999999</v>
      </c>
      <c r="M49" s="24">
        <v>2.5899999999999999E-3</v>
      </c>
      <c r="N49" s="24">
        <v>2.4700000000000004E-3</v>
      </c>
      <c r="O49">
        <v>2.5299999999999997E-3</v>
      </c>
      <c r="P49">
        <v>4.5710000000000004E-7</v>
      </c>
    </row>
    <row r="50" spans="2:16" x14ac:dyDescent="0.25">
      <c r="B50" s="22">
        <v>89</v>
      </c>
      <c r="C50" s="26" t="s">
        <v>45</v>
      </c>
      <c r="D50" s="27"/>
      <c r="E50" s="22">
        <v>1</v>
      </c>
      <c r="F50" s="22">
        <v>4.9539999999999997</v>
      </c>
      <c r="G50" s="24">
        <v>2.063E-6</v>
      </c>
      <c r="H50" s="24">
        <v>4.7400000000000001E-8</v>
      </c>
      <c r="I50" s="24">
        <v>1.3589999999999999E-5</v>
      </c>
      <c r="J50" s="24">
        <v>5.4400000000000004E-8</v>
      </c>
      <c r="K50" s="24">
        <v>1.589</v>
      </c>
      <c r="L50" s="24">
        <v>1.589</v>
      </c>
      <c r="M50" s="24">
        <v>2.4700000000000004E-3</v>
      </c>
      <c r="N50" s="24">
        <v>2.3700000000000001E-3</v>
      </c>
      <c r="O50">
        <v>2.4500000000000004E-3</v>
      </c>
      <c r="P50">
        <v>3.1050000000000003E-7</v>
      </c>
    </row>
    <row r="51" spans="2:16" x14ac:dyDescent="0.25">
      <c r="B51" s="22">
        <v>90</v>
      </c>
      <c r="C51" s="26" t="s">
        <v>45</v>
      </c>
      <c r="D51" s="26"/>
      <c r="E51" s="22">
        <v>1</v>
      </c>
      <c r="F51" s="22">
        <v>4.8899999999999997</v>
      </c>
      <c r="G51" s="24">
        <v>9.3920000000000015E-7</v>
      </c>
      <c r="H51" s="24">
        <v>3.8799999999999997E-8</v>
      </c>
      <c r="I51" s="24">
        <v>5.0089999999999998E-6</v>
      </c>
      <c r="J51" s="24">
        <v>2.44E-8</v>
      </c>
      <c r="K51" s="24">
        <v>1.47</v>
      </c>
      <c r="L51" s="24">
        <v>1.47</v>
      </c>
      <c r="M51" s="24">
        <v>2.64E-3</v>
      </c>
      <c r="N51" s="24">
        <v>2.4900000000000005E-3</v>
      </c>
      <c r="O51">
        <v>2.4599999999999999E-3</v>
      </c>
      <c r="P51">
        <v>2.5460000000000002E-7</v>
      </c>
    </row>
    <row r="52" spans="2:16" x14ac:dyDescent="0.25">
      <c r="B52" s="22">
        <v>91</v>
      </c>
      <c r="C52" s="26" t="s">
        <v>45</v>
      </c>
      <c r="D52" s="26"/>
      <c r="E52" s="22">
        <v>1</v>
      </c>
      <c r="F52" s="22">
        <v>4.84</v>
      </c>
      <c r="G52" s="24">
        <v>1.657E-6</v>
      </c>
      <c r="H52" s="24">
        <v>3.9700000000000005E-8</v>
      </c>
      <c r="I52" s="24">
        <v>1.027E-5</v>
      </c>
      <c r="J52" s="24">
        <v>4.4700000000000003E-8</v>
      </c>
      <c r="K52" s="24">
        <v>1.542</v>
      </c>
      <c r="L52" s="24">
        <v>1.542</v>
      </c>
      <c r="M52" s="24">
        <v>2.5899999999999999E-3</v>
      </c>
      <c r="N52" s="24">
        <v>2.4700000000000004E-3</v>
      </c>
      <c r="O52">
        <v>2.5400000000000002E-3</v>
      </c>
      <c r="P52">
        <v>2.952E-7</v>
      </c>
    </row>
    <row r="53" spans="2:16" x14ac:dyDescent="0.25">
      <c r="B53" s="22">
        <v>92</v>
      </c>
      <c r="C53" s="26" t="s">
        <v>45</v>
      </c>
      <c r="D53" s="26"/>
      <c r="E53" s="22">
        <v>1</v>
      </c>
      <c r="F53" s="22">
        <v>4.8739999999999997</v>
      </c>
      <c r="G53" s="24">
        <v>8.7030000000000006E-7</v>
      </c>
      <c r="H53" s="24">
        <v>3.5399999999999999E-8</v>
      </c>
      <c r="I53" s="24">
        <v>5.2610000000000001E-6</v>
      </c>
      <c r="J53" s="24">
        <v>2.5300000000000002E-8</v>
      </c>
      <c r="K53" s="24">
        <v>1.5289999999999999</v>
      </c>
      <c r="L53" s="24">
        <v>1.5289999999999999</v>
      </c>
      <c r="M53" s="24">
        <v>2.5499999999999997E-3</v>
      </c>
      <c r="N53" s="24">
        <v>2.4300000000000003E-3</v>
      </c>
      <c r="O53">
        <v>2.5299999999999997E-3</v>
      </c>
      <c r="P53">
        <v>2.2360000000000002E-7</v>
      </c>
    </row>
    <row r="54" spans="2:16" x14ac:dyDescent="0.25">
      <c r="B54" s="22">
        <v>98</v>
      </c>
      <c r="C54" s="26" t="s">
        <v>45</v>
      </c>
      <c r="D54" s="26"/>
      <c r="E54" s="22">
        <v>1</v>
      </c>
      <c r="F54" s="22">
        <v>4.9429999999999996</v>
      </c>
      <c r="G54" s="24">
        <v>1.082E-6</v>
      </c>
      <c r="H54" s="24">
        <v>3.8900000000000004E-8</v>
      </c>
      <c r="I54" s="24">
        <v>5.9749999999999995E-6</v>
      </c>
      <c r="J54" s="24">
        <v>3.7100000000000001E-8</v>
      </c>
      <c r="K54" s="24">
        <v>1.5549999999999999</v>
      </c>
      <c r="L54" s="24">
        <v>1.5549999999999999</v>
      </c>
      <c r="M54" s="24">
        <v>2.4700000000000004E-3</v>
      </c>
      <c r="N54" s="24">
        <v>2.3600000000000001E-3</v>
      </c>
      <c r="O54">
        <v>2.4399999999999999E-3</v>
      </c>
      <c r="P54">
        <v>2.3680000000000003E-7</v>
      </c>
    </row>
    <row r="55" spans="2:16" x14ac:dyDescent="0.25">
      <c r="B55" s="22">
        <v>100</v>
      </c>
      <c r="C55" s="26" t="s">
        <v>45</v>
      </c>
      <c r="D55" s="26"/>
      <c r="E55" s="22">
        <v>1</v>
      </c>
      <c r="F55" s="22">
        <v>4.8310000000000004</v>
      </c>
      <c r="G55" s="24">
        <v>4.3899999999999995E-6</v>
      </c>
      <c r="H55" s="24">
        <v>4.2600000000000004E-8</v>
      </c>
      <c r="I55" s="24">
        <v>1.38E-5</v>
      </c>
      <c r="J55" s="24">
        <v>4.1899999999999998E-8</v>
      </c>
      <c r="K55" s="24">
        <v>1.522</v>
      </c>
      <c r="L55" s="24">
        <v>1.522</v>
      </c>
      <c r="M55" s="24">
        <v>2.5899999999999999E-3</v>
      </c>
      <c r="N55" s="24">
        <v>2.48E-3</v>
      </c>
      <c r="O55">
        <v>2.5699999999999998E-3</v>
      </c>
      <c r="P55">
        <v>2.5400000000000002E-7</v>
      </c>
    </row>
    <row r="56" spans="2:16" x14ac:dyDescent="0.25">
      <c r="B56" s="22">
        <v>103</v>
      </c>
      <c r="C56" s="26" t="s">
        <v>45</v>
      </c>
      <c r="D56" s="27"/>
      <c r="E56" s="22">
        <v>1</v>
      </c>
      <c r="F56" s="22">
        <v>4.8570000000000002</v>
      </c>
      <c r="G56" s="24">
        <v>6.9620000000000011E-7</v>
      </c>
      <c r="H56" s="24">
        <v>3.8500000000000001E-8</v>
      </c>
      <c r="I56" s="24">
        <v>3.8539999999999999E-6</v>
      </c>
      <c r="J56" s="24">
        <v>3.4E-8</v>
      </c>
      <c r="K56" s="24">
        <v>1.548</v>
      </c>
      <c r="L56" s="24">
        <v>1.548</v>
      </c>
      <c r="M56" s="24">
        <v>2.5499999999999997E-3</v>
      </c>
      <c r="N56" s="24">
        <v>2.4399999999999999E-3</v>
      </c>
      <c r="O56">
        <v>2.5299999999999997E-3</v>
      </c>
      <c r="P56">
        <v>2.2469999999999999E-7</v>
      </c>
    </row>
    <row r="57" spans="2:16" x14ac:dyDescent="0.25">
      <c r="B57" s="22">
        <v>104</v>
      </c>
      <c r="C57" s="26" t="s">
        <v>45</v>
      </c>
      <c r="D57" s="27"/>
      <c r="E57" s="22">
        <v>1</v>
      </c>
      <c r="F57" s="22">
        <v>4.8710000000000004</v>
      </c>
      <c r="G57" s="24">
        <v>2.452E-6</v>
      </c>
      <c r="H57" s="24">
        <v>3.8000000000000003E-8</v>
      </c>
      <c r="I57" s="24">
        <v>9.7249999999999992E-6</v>
      </c>
      <c r="J57" s="24">
        <v>3.3200000000000006E-8</v>
      </c>
      <c r="K57" s="24">
        <v>1.5489999999999999</v>
      </c>
      <c r="L57" s="24">
        <v>1.5489999999999999</v>
      </c>
      <c r="M57" s="24">
        <v>2.5099999999999996E-3</v>
      </c>
      <c r="N57" s="24">
        <v>2.4199999999999998E-3</v>
      </c>
      <c r="O57">
        <v>2.5000000000000001E-3</v>
      </c>
      <c r="P57">
        <v>2.5940000000000001E-7</v>
      </c>
    </row>
    <row r="58" spans="2:16" x14ac:dyDescent="0.25">
      <c r="B58" s="22">
        <v>106</v>
      </c>
      <c r="C58" s="26" t="s">
        <v>45</v>
      </c>
      <c r="D58" s="26"/>
      <c r="E58" s="22">
        <v>1</v>
      </c>
      <c r="F58" s="22">
        <v>4.7629999999999999</v>
      </c>
      <c r="G58" s="24">
        <v>1.221E-6</v>
      </c>
      <c r="H58" s="24">
        <v>3.8600000000000002E-8</v>
      </c>
      <c r="I58" s="24">
        <v>6.0000000000000002E-6</v>
      </c>
      <c r="J58" s="24">
        <v>3.33E-8</v>
      </c>
      <c r="K58" s="24">
        <v>1.546</v>
      </c>
      <c r="L58" s="24">
        <v>1.546</v>
      </c>
      <c r="M58" s="24">
        <v>2.66E-3</v>
      </c>
      <c r="N58" s="24">
        <v>2.5499999999999997E-3</v>
      </c>
      <c r="O58">
        <v>2.63E-3</v>
      </c>
      <c r="P58">
        <v>2.3680000000000003E-7</v>
      </c>
    </row>
    <row r="59" spans="2:16" x14ac:dyDescent="0.25">
      <c r="B59" s="22">
        <v>109</v>
      </c>
      <c r="C59" s="26" t="s">
        <v>45</v>
      </c>
      <c r="D59" s="26"/>
      <c r="E59" s="22">
        <v>1</v>
      </c>
      <c r="F59" s="22">
        <v>4.8789999999999996</v>
      </c>
      <c r="G59" s="24">
        <v>9.5100000000000009E-7</v>
      </c>
      <c r="H59" s="24">
        <v>3.4200000000000002E-8</v>
      </c>
      <c r="I59" s="24">
        <v>5.4889999999999995E-6</v>
      </c>
      <c r="J59" s="24">
        <v>3.03E-8</v>
      </c>
      <c r="K59" s="24">
        <v>1.53</v>
      </c>
      <c r="L59" s="24">
        <v>1.53</v>
      </c>
      <c r="M59" s="24">
        <v>2.5600000000000002E-3</v>
      </c>
      <c r="N59" s="24">
        <v>2.4599999999999999E-3</v>
      </c>
      <c r="O59">
        <v>2.5400000000000002E-3</v>
      </c>
      <c r="P59">
        <v>2.315E-7</v>
      </c>
    </row>
    <row r="60" spans="2:16" x14ac:dyDescent="0.25">
      <c r="B60" s="22">
        <v>111</v>
      </c>
      <c r="C60" s="26" t="s">
        <v>45</v>
      </c>
      <c r="D60" s="26"/>
      <c r="E60" s="22">
        <v>1</v>
      </c>
      <c r="F60" s="22">
        <v>4.992</v>
      </c>
      <c r="G60" s="24">
        <v>8.7569999999999993E-6</v>
      </c>
      <c r="H60" s="24">
        <v>5.3800000000000008E-7</v>
      </c>
      <c r="I60" s="24">
        <v>3.1640000000000002E-5</v>
      </c>
      <c r="J60" s="24">
        <v>5.3200000000000007E-8</v>
      </c>
      <c r="K60" s="24">
        <v>1.546</v>
      </c>
      <c r="L60" s="24">
        <v>1.546</v>
      </c>
      <c r="M60" s="24">
        <v>2.5099999999999996E-3</v>
      </c>
      <c r="N60" s="24">
        <v>2.4199999999999998E-3</v>
      </c>
      <c r="O60">
        <v>2.5000000000000001E-3</v>
      </c>
      <c r="P60">
        <v>1.3829999999999999E-6</v>
      </c>
    </row>
    <row r="61" spans="2:16" x14ac:dyDescent="0.25">
      <c r="B61" s="22">
        <v>112</v>
      </c>
      <c r="C61" s="26" t="s">
        <v>45</v>
      </c>
      <c r="D61" s="26"/>
      <c r="E61" s="22">
        <v>1</v>
      </c>
      <c r="F61" s="22">
        <v>4.9279999999999999</v>
      </c>
      <c r="G61" s="24">
        <v>2.2819999999999999E-6</v>
      </c>
      <c r="H61" s="24">
        <v>5.0000000000000004E-8</v>
      </c>
      <c r="I61" s="24">
        <v>1.2859999999999999E-5</v>
      </c>
      <c r="J61" s="24">
        <v>5.7900000000000002E-8</v>
      </c>
      <c r="K61" s="24">
        <v>1.5640000000000001</v>
      </c>
      <c r="L61" s="24">
        <v>1.5640000000000001</v>
      </c>
      <c r="M61" s="24">
        <v>2.5400000000000002E-3</v>
      </c>
      <c r="N61" s="24">
        <v>2.4500000000000004E-3</v>
      </c>
      <c r="O61">
        <v>2.5200000000000001E-3</v>
      </c>
      <c r="P61">
        <v>3.5070000000000004E-7</v>
      </c>
    </row>
    <row r="62" spans="2:16" x14ac:dyDescent="0.25">
      <c r="B62" s="22">
        <v>114</v>
      </c>
      <c r="C62" s="26" t="s">
        <v>45</v>
      </c>
      <c r="D62" s="26"/>
      <c r="E62" s="22">
        <v>1</v>
      </c>
      <c r="F62" s="22">
        <v>4.9130000000000003</v>
      </c>
      <c r="G62" s="24">
        <v>5.1580000000000004E-6</v>
      </c>
      <c r="H62" s="24">
        <v>4.0399999999999998E-8</v>
      </c>
      <c r="I62" s="24">
        <v>1.9829999999999998E-5</v>
      </c>
      <c r="J62" s="24">
        <v>4.6200000000000003E-8</v>
      </c>
      <c r="K62" s="24">
        <v>1.5529999999999999</v>
      </c>
      <c r="L62" s="24">
        <v>1.5529999999999999</v>
      </c>
      <c r="M62" s="24">
        <v>2.4300000000000003E-3</v>
      </c>
      <c r="N62" s="24">
        <v>2.32E-3</v>
      </c>
      <c r="O62">
        <v>2.3999999999999998E-3</v>
      </c>
      <c r="P62">
        <v>2.7910000000000006E-7</v>
      </c>
    </row>
    <row r="63" spans="2:16" x14ac:dyDescent="0.25">
      <c r="B63" s="22">
        <v>119</v>
      </c>
      <c r="C63" s="26" t="s">
        <v>45</v>
      </c>
      <c r="D63" s="26"/>
      <c r="E63" s="22">
        <v>1</v>
      </c>
      <c r="F63" s="22">
        <v>4.7370000000000001</v>
      </c>
      <c r="G63" s="24">
        <v>1.8049999999999999E-6</v>
      </c>
      <c r="H63" s="24">
        <v>4.4799999999999997E-8</v>
      </c>
      <c r="I63" s="24">
        <v>1.057E-5</v>
      </c>
      <c r="J63" s="24">
        <v>5.6200000000000007E-8</v>
      </c>
      <c r="K63" s="24">
        <v>1.615</v>
      </c>
      <c r="L63" s="24">
        <v>1.615</v>
      </c>
      <c r="M63" s="24">
        <v>2.6099999999999999E-3</v>
      </c>
      <c r="N63" s="24">
        <v>2.48E-3</v>
      </c>
      <c r="O63">
        <v>2.5600000000000002E-3</v>
      </c>
      <c r="P63">
        <v>2.9300000000000004E-7</v>
      </c>
    </row>
    <row r="64" spans="2:16" x14ac:dyDescent="0.25">
      <c r="B64" s="22">
        <v>120</v>
      </c>
      <c r="C64" s="26" t="s">
        <v>45</v>
      </c>
      <c r="D64" s="26"/>
      <c r="E64" s="22">
        <v>1</v>
      </c>
      <c r="F64" s="22">
        <v>4.851</v>
      </c>
      <c r="G64" s="24">
        <v>2.0430000000000002E-6</v>
      </c>
      <c r="H64" s="24">
        <v>4.6000000000000002E-8</v>
      </c>
      <c r="I64" s="24">
        <v>1.022E-5</v>
      </c>
      <c r="J64" s="24">
        <v>5.3000000000000005E-8</v>
      </c>
      <c r="K64" s="24">
        <v>1.577</v>
      </c>
      <c r="L64" s="24">
        <v>1.577</v>
      </c>
      <c r="M64" s="24">
        <v>2.5499999999999997E-3</v>
      </c>
      <c r="N64" s="24">
        <v>2.4500000000000004E-3</v>
      </c>
      <c r="O64">
        <v>2.5200000000000001E-3</v>
      </c>
      <c r="P64">
        <v>2.8710000000000002E-7</v>
      </c>
    </row>
    <row r="65" spans="2:16" x14ac:dyDescent="0.25">
      <c r="B65" s="22">
        <v>124</v>
      </c>
      <c r="C65" s="26" t="s">
        <v>45</v>
      </c>
      <c r="D65" s="27"/>
      <c r="E65" s="22">
        <v>1</v>
      </c>
      <c r="F65" s="22">
        <v>4.843</v>
      </c>
      <c r="G65" s="24">
        <v>1.4670000000000001E-6</v>
      </c>
      <c r="H65" s="24">
        <v>4.1700000000000003E-8</v>
      </c>
      <c r="I65" s="24">
        <v>8.6889999999999993E-6</v>
      </c>
      <c r="J65" s="24">
        <v>5.3300000000000001E-8</v>
      </c>
      <c r="K65" s="24">
        <v>1.5640000000000001</v>
      </c>
      <c r="L65" s="24">
        <v>1.5640000000000001</v>
      </c>
      <c r="M65" s="24">
        <v>2.5099999999999996E-3</v>
      </c>
      <c r="N65" s="24">
        <v>2.4100000000000002E-3</v>
      </c>
      <c r="O65">
        <v>2.48E-3</v>
      </c>
      <c r="P65">
        <v>2.7410000000000005E-7</v>
      </c>
    </row>
    <row r="66" spans="2:16" x14ac:dyDescent="0.25">
      <c r="B66" s="22">
        <v>127</v>
      </c>
      <c r="C66" s="26" t="s">
        <v>45</v>
      </c>
      <c r="D66" s="26"/>
      <c r="E66" s="22">
        <v>1</v>
      </c>
      <c r="F66" s="22">
        <v>4.8250000000000002</v>
      </c>
      <c r="G66" s="24">
        <v>1.0219999999999999E-6</v>
      </c>
      <c r="H66" s="24">
        <v>4.0700000000000007E-8</v>
      </c>
      <c r="I66" s="24">
        <v>5.3819999999999995E-6</v>
      </c>
      <c r="J66" s="24">
        <v>2.3899999999999999E-8</v>
      </c>
      <c r="K66" s="24">
        <v>1.506</v>
      </c>
      <c r="L66" s="24">
        <v>1.506</v>
      </c>
      <c r="M66" s="24">
        <v>2.7100000000000002E-3</v>
      </c>
      <c r="N66" s="24">
        <v>2.6000000000000003E-3</v>
      </c>
      <c r="O66">
        <v>2.6800000000000001E-3</v>
      </c>
      <c r="P66">
        <v>2.5460000000000002E-7</v>
      </c>
    </row>
    <row r="67" spans="2:16" x14ac:dyDescent="0.25">
      <c r="B67" s="22">
        <v>128</v>
      </c>
      <c r="C67" s="26" t="s">
        <v>45</v>
      </c>
      <c r="D67" s="27"/>
      <c r="E67" s="22">
        <v>1</v>
      </c>
      <c r="F67" s="22">
        <v>4.92</v>
      </c>
      <c r="G67" s="24">
        <v>2.1880000000000001E-6</v>
      </c>
      <c r="H67" s="24">
        <v>4.3700000000000007E-8</v>
      </c>
      <c r="I67" s="24">
        <v>1.238E-5</v>
      </c>
      <c r="J67" s="24">
        <v>5.4500000000000005E-8</v>
      </c>
      <c r="K67" s="24">
        <v>1.5720000000000001</v>
      </c>
      <c r="L67" s="24">
        <v>1.5720000000000001</v>
      </c>
      <c r="M67" s="24">
        <v>2.5299999999999997E-3</v>
      </c>
      <c r="N67" s="24">
        <v>2.4199999999999998E-3</v>
      </c>
      <c r="O67">
        <v>2.5099999999999996E-3</v>
      </c>
      <c r="P67">
        <v>2.8840000000000001E-7</v>
      </c>
    </row>
    <row r="68" spans="2:16" x14ac:dyDescent="0.25">
      <c r="B68" s="22">
        <v>133</v>
      </c>
      <c r="C68" s="22" t="s">
        <v>45</v>
      </c>
      <c r="D68" s="22"/>
      <c r="E68" s="22">
        <v>1</v>
      </c>
      <c r="F68" s="22">
        <v>4.798</v>
      </c>
      <c r="G68" s="24">
        <v>8.5760000000000006E-7</v>
      </c>
      <c r="H68" s="24">
        <v>8.9900000000000018E-8</v>
      </c>
      <c r="I68" s="24">
        <v>4.6489999999999999E-6</v>
      </c>
      <c r="J68" s="24">
        <v>7.4000000000000001E-8</v>
      </c>
      <c r="K68" s="24">
        <v>1.5529999999999999</v>
      </c>
      <c r="L68" s="24">
        <v>1.5529999999999999</v>
      </c>
      <c r="M68" s="24">
        <v>2.5000000000000001E-3</v>
      </c>
      <c r="N68" s="24">
        <v>2.3999999999999998E-3</v>
      </c>
      <c r="O68">
        <v>2.48E-3</v>
      </c>
      <c r="P68">
        <v>2.9770000000000003E-7</v>
      </c>
    </row>
    <row r="69" spans="2:16" x14ac:dyDescent="0.25">
      <c r="B69" s="22">
        <v>135</v>
      </c>
      <c r="C69" s="22" t="s">
        <v>45</v>
      </c>
      <c r="D69" s="22"/>
      <c r="E69" s="22">
        <v>1</v>
      </c>
      <c r="F69" s="22">
        <v>4.8540000000000001</v>
      </c>
      <c r="G69" s="24">
        <v>5.4530000000000001E-6</v>
      </c>
      <c r="H69" s="24">
        <v>4.0299999999999997E-8</v>
      </c>
      <c r="I69" s="24">
        <v>1.6289999999999998E-5</v>
      </c>
      <c r="J69" s="24">
        <v>4.2200000000000007E-8</v>
      </c>
      <c r="K69" s="24">
        <v>1.5549999999999999</v>
      </c>
      <c r="L69" s="24">
        <v>1.5549999999999999</v>
      </c>
      <c r="M69" s="24">
        <v>2.5099999999999996E-3</v>
      </c>
      <c r="N69" s="24">
        <v>2.3700000000000001E-3</v>
      </c>
      <c r="O69">
        <v>2.48E-3</v>
      </c>
      <c r="P69">
        <v>2.5400000000000002E-7</v>
      </c>
    </row>
    <row r="70" spans="2:16" x14ac:dyDescent="0.25">
      <c r="B70" s="22">
        <v>136</v>
      </c>
      <c r="C70" s="22" t="s">
        <v>45</v>
      </c>
      <c r="D70" s="22"/>
      <c r="E70" s="22">
        <v>1</v>
      </c>
      <c r="F70" s="22">
        <v>4.851</v>
      </c>
      <c r="G70" s="24">
        <v>9.4360000000000006E-7</v>
      </c>
      <c r="H70" s="24">
        <v>3.84E-8</v>
      </c>
      <c r="I70" s="24">
        <v>6.7479999999999996E-6</v>
      </c>
      <c r="J70" s="24">
        <v>3.6400000000000002E-8</v>
      </c>
      <c r="K70" s="24">
        <v>1.552</v>
      </c>
      <c r="L70" s="24">
        <v>1.552</v>
      </c>
      <c r="M70" s="24">
        <v>2.5299999999999997E-3</v>
      </c>
      <c r="N70" s="24">
        <v>2.4300000000000003E-3</v>
      </c>
      <c r="O70">
        <v>2.5200000000000001E-3</v>
      </c>
      <c r="P70">
        <v>2.2930000000000002E-7</v>
      </c>
    </row>
    <row r="71" spans="2:16" x14ac:dyDescent="0.25">
      <c r="B71" s="22">
        <v>137</v>
      </c>
      <c r="C71" s="22" t="s">
        <v>45</v>
      </c>
      <c r="D71" s="22"/>
      <c r="E71" s="22">
        <v>1</v>
      </c>
      <c r="F71" s="22">
        <v>4.8689999999999998</v>
      </c>
      <c r="G71" s="24">
        <v>5.6679999999999998E-6</v>
      </c>
      <c r="H71" s="24">
        <v>4.0200000000000003E-8</v>
      </c>
      <c r="I71" s="24">
        <v>1.5480000000000001E-5</v>
      </c>
      <c r="J71" s="24">
        <v>3.9700000000000005E-8</v>
      </c>
      <c r="K71" s="24">
        <v>1.5389999999999999</v>
      </c>
      <c r="L71" s="24">
        <v>1.5389999999999999</v>
      </c>
      <c r="M71" s="24">
        <v>2.4599999999999999E-3</v>
      </c>
      <c r="N71" s="24">
        <v>2.3500000000000001E-3</v>
      </c>
      <c r="O71">
        <v>2.4399999999999999E-3</v>
      </c>
      <c r="P71">
        <v>2.4480000000000002E-7</v>
      </c>
    </row>
    <row r="72" spans="2:16" x14ac:dyDescent="0.25">
      <c r="B72" s="22">
        <v>139</v>
      </c>
      <c r="C72" s="22" t="s">
        <v>45</v>
      </c>
      <c r="D72" s="22"/>
      <c r="E72" s="22">
        <v>1</v>
      </c>
      <c r="F72" s="22">
        <v>4.8929999999999998</v>
      </c>
      <c r="G72" s="24">
        <v>1.5049999999999998E-6</v>
      </c>
      <c r="H72" s="24">
        <v>4.2700000000000005E-8</v>
      </c>
      <c r="I72" s="24">
        <v>8.3409999999999986E-6</v>
      </c>
      <c r="J72" s="24">
        <v>5.7100000000000002E-8</v>
      </c>
      <c r="K72" s="24">
        <v>1.5780000000000001</v>
      </c>
      <c r="L72" s="24">
        <v>1.5780000000000001</v>
      </c>
      <c r="M72" s="24">
        <v>2.5800000000000003E-3</v>
      </c>
      <c r="N72" s="24">
        <v>2.4599999999999999E-3</v>
      </c>
      <c r="O72">
        <v>2.5499999999999997E-3</v>
      </c>
      <c r="P72">
        <v>2.8460000000000005E-7</v>
      </c>
    </row>
    <row r="73" spans="2:16" x14ac:dyDescent="0.25">
      <c r="B73" s="22">
        <v>140</v>
      </c>
      <c r="C73" s="22" t="s">
        <v>45</v>
      </c>
      <c r="D73" s="22"/>
      <c r="E73" s="22">
        <v>1</v>
      </c>
      <c r="F73" s="22">
        <v>5.0049999999999999</v>
      </c>
      <c r="G73" s="24">
        <v>1.1359999999999998E-6</v>
      </c>
      <c r="H73" s="24">
        <v>4.3700000000000007E-8</v>
      </c>
      <c r="I73" s="24">
        <v>7.272E-6</v>
      </c>
      <c r="J73" s="24">
        <v>4.7600000000000003E-8</v>
      </c>
      <c r="K73" s="24">
        <v>1.5640000000000001</v>
      </c>
      <c r="L73" s="24">
        <v>1.5640000000000001</v>
      </c>
      <c r="M73" s="24">
        <v>2.5000000000000001E-3</v>
      </c>
      <c r="N73" s="24">
        <v>2.3799999999999997E-3</v>
      </c>
      <c r="O73">
        <v>2.4700000000000004E-3</v>
      </c>
      <c r="P73">
        <v>2.6030000000000002E-7</v>
      </c>
    </row>
    <row r="74" spans="2:16" x14ac:dyDescent="0.25">
      <c r="B74" s="22">
        <v>141</v>
      </c>
      <c r="C74" s="22" t="s">
        <v>45</v>
      </c>
      <c r="D74" s="22"/>
      <c r="E74" s="22">
        <v>1</v>
      </c>
      <c r="F74" s="22">
        <v>4.8600000000000003</v>
      </c>
      <c r="G74" s="24">
        <v>8.991000000000001E-7</v>
      </c>
      <c r="H74" s="24">
        <v>3.8900000000000004E-8</v>
      </c>
      <c r="I74" s="24">
        <v>6.0129999999999999E-6</v>
      </c>
      <c r="J74" s="24">
        <v>4.2400000000000002E-8</v>
      </c>
      <c r="K74" s="24">
        <v>1.5529999999999999</v>
      </c>
      <c r="L74" s="24">
        <v>1.5529999999999999</v>
      </c>
      <c r="M74" s="24">
        <v>2.5099999999999996E-3</v>
      </c>
      <c r="N74" s="24">
        <v>2.3900000000000002E-3</v>
      </c>
      <c r="O74">
        <v>2.48E-3</v>
      </c>
      <c r="P74">
        <v>2.4780000000000004E-7</v>
      </c>
    </row>
    <row r="75" spans="2:16" x14ac:dyDescent="0.25">
      <c r="B75" s="22">
        <v>143</v>
      </c>
      <c r="C75" s="22" t="s">
        <v>45</v>
      </c>
      <c r="D75" s="22"/>
      <c r="E75" s="22">
        <v>1</v>
      </c>
      <c r="F75" s="22">
        <v>4.9180000000000001</v>
      </c>
      <c r="G75" s="24">
        <v>2.0559999999999999E-6</v>
      </c>
      <c r="H75" s="24">
        <v>4.4700000000000003E-8</v>
      </c>
      <c r="I75" s="24">
        <v>1.0789999999999998E-5</v>
      </c>
      <c r="J75" s="24">
        <v>3.8600000000000002E-8</v>
      </c>
      <c r="K75" s="24">
        <v>1.4910000000000001</v>
      </c>
      <c r="L75" s="24">
        <v>1.4910000000000001</v>
      </c>
      <c r="M75" s="24">
        <v>2.6000000000000003E-3</v>
      </c>
      <c r="N75" s="24">
        <v>2.4900000000000005E-3</v>
      </c>
      <c r="O75">
        <v>2.5699999999999998E-3</v>
      </c>
      <c r="P75">
        <v>2.9839999999999997E-7</v>
      </c>
    </row>
    <row r="76" spans="2:16" x14ac:dyDescent="0.25">
      <c r="B76" s="22">
        <v>145</v>
      </c>
      <c r="C76" s="22" t="s">
        <v>45</v>
      </c>
      <c r="D76" s="22"/>
      <c r="E76" s="22">
        <v>1</v>
      </c>
      <c r="F76" s="22">
        <v>4.78</v>
      </c>
      <c r="G76" s="24">
        <v>1.3109999999999998E-6</v>
      </c>
      <c r="H76" s="24">
        <v>4.6800000000000002E-8</v>
      </c>
      <c r="I76" s="24">
        <v>5.6619999999999993E-6</v>
      </c>
      <c r="J76" s="24">
        <v>2.4500000000000001E-8</v>
      </c>
      <c r="K76" s="24">
        <v>1.518</v>
      </c>
      <c r="L76" s="24">
        <v>1.518</v>
      </c>
      <c r="M76" s="24">
        <v>2.7300000000000002E-3</v>
      </c>
      <c r="N76" s="24">
        <v>2.6200000000000004E-3</v>
      </c>
      <c r="O76">
        <v>2.6900000000000001E-3</v>
      </c>
      <c r="P76">
        <v>2.6370000000000001E-7</v>
      </c>
    </row>
    <row r="77" spans="2:16" x14ac:dyDescent="0.25">
      <c r="B77" s="22">
        <v>146</v>
      </c>
      <c r="C77" s="22" t="s">
        <v>45</v>
      </c>
      <c r="D77" s="22"/>
      <c r="E77" s="22">
        <v>1</v>
      </c>
      <c r="F77" s="22">
        <v>4.9480000000000004</v>
      </c>
      <c r="G77" s="24">
        <v>1.336E-6</v>
      </c>
      <c r="H77" s="24">
        <v>4.0800000000000001E-8</v>
      </c>
      <c r="I77" s="24">
        <v>7.5679999999999994E-6</v>
      </c>
      <c r="J77" s="24">
        <v>3.7400000000000004E-8</v>
      </c>
      <c r="K77" s="24">
        <v>1.532</v>
      </c>
      <c r="L77" s="24">
        <v>1.532</v>
      </c>
      <c r="M77" s="24">
        <v>2.4900000000000005E-3</v>
      </c>
      <c r="N77" s="24">
        <v>2.3799999999999997E-3</v>
      </c>
      <c r="O77">
        <v>2.48E-3</v>
      </c>
      <c r="P77">
        <v>2.5559999999999999E-7</v>
      </c>
    </row>
    <row r="78" spans="2:16" x14ac:dyDescent="0.25">
      <c r="B78" s="22">
        <v>148</v>
      </c>
      <c r="C78" s="22" t="s">
        <v>45</v>
      </c>
      <c r="D78" s="22"/>
      <c r="E78" s="22">
        <v>1</v>
      </c>
      <c r="F78" s="22">
        <v>4.92</v>
      </c>
      <c r="G78" s="24">
        <v>2.7460000000000001E-6</v>
      </c>
      <c r="H78" s="24">
        <v>5.4900000000000002E-8</v>
      </c>
      <c r="I78" s="24">
        <v>1.4429999999999999E-5</v>
      </c>
      <c r="J78" s="24">
        <v>5.3400000000000002E-8</v>
      </c>
      <c r="K78" s="24">
        <v>1.508</v>
      </c>
      <c r="L78" s="24">
        <v>1.508</v>
      </c>
      <c r="M78" s="24">
        <v>2.7200000000000002E-3</v>
      </c>
      <c r="N78" s="24">
        <v>2.6000000000000003E-3</v>
      </c>
      <c r="O78">
        <v>2.6800000000000001E-3</v>
      </c>
      <c r="P78">
        <v>4.4589999999999999E-7</v>
      </c>
    </row>
    <row r="79" spans="2:16" x14ac:dyDescent="0.25">
      <c r="B79" s="22">
        <v>149</v>
      </c>
      <c r="C79" s="22" t="s">
        <v>45</v>
      </c>
      <c r="D79" s="22"/>
      <c r="E79" s="22">
        <v>1</v>
      </c>
      <c r="F79" s="22">
        <v>4.8090000000000002</v>
      </c>
      <c r="G79" s="24">
        <v>1.8779999999999998E-6</v>
      </c>
      <c r="H79" s="24">
        <v>4.1899999999999998E-8</v>
      </c>
      <c r="I79" s="24">
        <v>1.2479999999999999E-5</v>
      </c>
      <c r="J79" s="24">
        <v>2.9700000000000001E-8</v>
      </c>
      <c r="K79" s="24">
        <v>1.52</v>
      </c>
      <c r="L79" s="24">
        <v>1.52</v>
      </c>
      <c r="M79" s="24">
        <v>2.63E-3</v>
      </c>
      <c r="N79" s="24">
        <v>2.4900000000000005E-3</v>
      </c>
      <c r="O79">
        <v>2.5800000000000003E-3</v>
      </c>
      <c r="P79">
        <v>2.8880000000000004E-7</v>
      </c>
    </row>
    <row r="80" spans="2:16" x14ac:dyDescent="0.25">
      <c r="B80" s="22">
        <v>152</v>
      </c>
      <c r="C80" s="22" t="s">
        <v>45</v>
      </c>
      <c r="D80" s="22"/>
      <c r="E80" s="22">
        <v>1</v>
      </c>
      <c r="F80" s="22">
        <v>4.9379999999999997</v>
      </c>
      <c r="G80" s="24">
        <v>7.043999999999999E-6</v>
      </c>
      <c r="H80" s="24">
        <v>4.4000000000000004E-8</v>
      </c>
      <c r="I80" s="24">
        <v>1.8369999999999999E-5</v>
      </c>
      <c r="J80" s="24">
        <v>5.39E-8</v>
      </c>
      <c r="K80" s="24">
        <v>1.548</v>
      </c>
      <c r="L80" s="24">
        <v>1.548</v>
      </c>
      <c r="M80" s="24">
        <v>2.4900000000000005E-3</v>
      </c>
      <c r="N80" s="24">
        <v>2.3900000000000002E-3</v>
      </c>
      <c r="O80">
        <v>2.4700000000000004E-3</v>
      </c>
      <c r="P80">
        <v>2.952E-7</v>
      </c>
    </row>
    <row r="81" spans="2:16" x14ac:dyDescent="0.25">
      <c r="B81" s="22">
        <v>154</v>
      </c>
      <c r="C81" s="22" t="s">
        <v>45</v>
      </c>
      <c r="D81" s="22"/>
      <c r="E81" s="22">
        <v>1</v>
      </c>
      <c r="F81" s="22">
        <v>4.8410000000000002</v>
      </c>
      <c r="G81" s="24">
        <v>1.2839999999999999E-6</v>
      </c>
      <c r="H81" s="24">
        <v>3.9300000000000001E-8</v>
      </c>
      <c r="I81" s="24">
        <v>8.813999999999999E-6</v>
      </c>
      <c r="J81" s="24">
        <v>4.3200000000000003E-8</v>
      </c>
      <c r="K81" s="24">
        <v>1.5529999999999999</v>
      </c>
      <c r="L81" s="24">
        <v>1.5529999999999999</v>
      </c>
      <c r="M81" s="24">
        <v>2.5299999999999997E-3</v>
      </c>
      <c r="N81" s="24">
        <v>2.4300000000000003E-3</v>
      </c>
      <c r="O81">
        <v>2.5099999999999996E-3</v>
      </c>
      <c r="P81">
        <v>2.643E-7</v>
      </c>
    </row>
    <row r="82" spans="2:16" x14ac:dyDescent="0.25">
      <c r="B82" s="22">
        <v>155</v>
      </c>
      <c r="C82" s="22" t="s">
        <v>45</v>
      </c>
      <c r="D82" s="22"/>
      <c r="E82" s="22">
        <v>1</v>
      </c>
      <c r="F82" s="22">
        <v>4.8129999999999997</v>
      </c>
      <c r="G82" s="24">
        <v>3.2289999999999999E-6</v>
      </c>
      <c r="H82" s="24">
        <v>5.5700000000000009E-8</v>
      </c>
      <c r="I82" s="24">
        <v>1.8510000000000001E-5</v>
      </c>
      <c r="J82" s="24">
        <v>5.9500000000000003E-8</v>
      </c>
      <c r="K82" s="24">
        <v>1.5920000000000001</v>
      </c>
      <c r="L82" s="24">
        <v>1.5920000000000001</v>
      </c>
      <c r="M82" s="24">
        <v>2.6200000000000004E-3</v>
      </c>
      <c r="N82" s="24">
        <v>2.5200000000000001E-3</v>
      </c>
      <c r="O82">
        <v>2.5899999999999999E-3</v>
      </c>
      <c r="P82">
        <v>3.7610000000000004E-7</v>
      </c>
    </row>
    <row r="83" spans="2:16" x14ac:dyDescent="0.25">
      <c r="B83" s="22">
        <v>161</v>
      </c>
      <c r="C83" s="22" t="s">
        <v>45</v>
      </c>
      <c r="D83" s="22"/>
      <c r="E83" s="22">
        <v>1</v>
      </c>
      <c r="F83" s="22">
        <v>4.9119999999999999</v>
      </c>
      <c r="G83" s="24">
        <v>1.3939999999999999E-6</v>
      </c>
      <c r="H83" s="24">
        <v>4.0100000000000002E-8</v>
      </c>
      <c r="I83" s="24">
        <v>8.4829999999999999E-6</v>
      </c>
      <c r="J83" s="24">
        <v>4.1299999999999999E-8</v>
      </c>
      <c r="K83" s="24">
        <v>1.5489999999999999</v>
      </c>
      <c r="L83" s="24">
        <v>1.5489999999999999</v>
      </c>
      <c r="M83" s="24">
        <v>2.4900000000000005E-3</v>
      </c>
      <c r="N83" s="24">
        <v>2.3700000000000001E-3</v>
      </c>
      <c r="O83">
        <v>2.4599999999999999E-3</v>
      </c>
      <c r="P83">
        <v>2.734E-7</v>
      </c>
    </row>
    <row r="84" spans="2:16" x14ac:dyDescent="0.25">
      <c r="B84" s="22">
        <v>162</v>
      </c>
      <c r="C84" s="22" t="s">
        <v>45</v>
      </c>
      <c r="D84" s="22"/>
      <c r="E84" s="22">
        <v>1</v>
      </c>
      <c r="F84" s="22">
        <v>4.899</v>
      </c>
      <c r="G84" s="24">
        <v>2.1909999999999999E-6</v>
      </c>
      <c r="H84" s="24">
        <v>4.1899999999999998E-8</v>
      </c>
      <c r="I84" s="24">
        <v>1.384E-5</v>
      </c>
      <c r="J84" s="24">
        <v>5.7600000000000006E-8</v>
      </c>
      <c r="K84" s="24">
        <v>1.5740000000000001</v>
      </c>
      <c r="L84" s="24">
        <v>1.5740000000000001</v>
      </c>
      <c r="M84" s="24">
        <v>2.4100000000000002E-3</v>
      </c>
      <c r="N84" s="24">
        <v>2.31E-3</v>
      </c>
      <c r="O84">
        <v>2.3900000000000002E-3</v>
      </c>
      <c r="P84">
        <v>2.8550000000000001E-7</v>
      </c>
    </row>
    <row r="85" spans="2:16" x14ac:dyDescent="0.25">
      <c r="B85" s="22">
        <v>165</v>
      </c>
      <c r="C85" s="22" t="s">
        <v>45</v>
      </c>
      <c r="D85" s="22"/>
      <c r="E85" s="22">
        <v>1</v>
      </c>
      <c r="F85" s="22">
        <v>4.827</v>
      </c>
      <c r="G85" s="24">
        <v>2.6859999999999998E-6</v>
      </c>
      <c r="H85" s="24">
        <v>4.4899999999999998E-8</v>
      </c>
      <c r="I85" s="24">
        <v>1.4199999999999998E-5</v>
      </c>
      <c r="J85" s="24">
        <v>4.5200000000000008E-8</v>
      </c>
      <c r="K85" s="24">
        <v>1.538</v>
      </c>
      <c r="L85" s="24">
        <v>1.538</v>
      </c>
      <c r="M85" s="24">
        <v>2.6099999999999999E-3</v>
      </c>
      <c r="N85" s="24">
        <v>2.5099999999999996E-3</v>
      </c>
      <c r="O85">
        <v>2.5800000000000003E-3</v>
      </c>
      <c r="P85">
        <v>3.1619999999999999E-7</v>
      </c>
    </row>
    <row r="86" spans="2:16" x14ac:dyDescent="0.25">
      <c r="B86" s="22">
        <v>167</v>
      </c>
      <c r="C86" s="22" t="s">
        <v>45</v>
      </c>
      <c r="D86" s="22"/>
      <c r="E86" s="22">
        <v>1</v>
      </c>
      <c r="F86" s="22">
        <v>4.8410000000000002</v>
      </c>
      <c r="G86" s="24">
        <v>1.1679999999999999E-6</v>
      </c>
      <c r="H86" s="24">
        <v>3.7100000000000001E-8</v>
      </c>
      <c r="I86" s="24">
        <v>8.7289999999999989E-6</v>
      </c>
      <c r="J86" s="24">
        <v>3.3500000000000002E-8</v>
      </c>
      <c r="K86" s="24">
        <v>1.544</v>
      </c>
      <c r="L86" s="24">
        <v>1.544</v>
      </c>
      <c r="M86" s="24">
        <v>2.5099999999999996E-3</v>
      </c>
      <c r="N86" s="24">
        <v>2.4100000000000002E-3</v>
      </c>
      <c r="O86">
        <v>2.4900000000000005E-3</v>
      </c>
      <c r="P86">
        <v>2.558E-7</v>
      </c>
    </row>
    <row r="87" spans="2:16" x14ac:dyDescent="0.25">
      <c r="B87" s="22">
        <v>170</v>
      </c>
      <c r="C87" s="22" t="s">
        <v>45</v>
      </c>
      <c r="D87" s="22"/>
      <c r="E87" s="22">
        <v>1</v>
      </c>
      <c r="F87" s="22">
        <v>4.8490000000000002</v>
      </c>
      <c r="G87" s="24">
        <v>1.122E-6</v>
      </c>
      <c r="H87" s="24">
        <v>3.9500000000000003E-8</v>
      </c>
      <c r="I87" s="24">
        <v>7.2359999999999998E-6</v>
      </c>
      <c r="J87" s="24">
        <v>3.3600000000000003E-8</v>
      </c>
      <c r="K87" s="24">
        <v>1.552</v>
      </c>
      <c r="L87" s="24">
        <v>1.552</v>
      </c>
      <c r="M87" s="24">
        <v>2.5000000000000001E-3</v>
      </c>
      <c r="N87" s="24">
        <v>2.3700000000000001E-3</v>
      </c>
      <c r="O87">
        <v>2.4599999999999999E-3</v>
      </c>
      <c r="P87">
        <v>2.5000000000000004E-7</v>
      </c>
    </row>
    <row r="88" spans="2:16" x14ac:dyDescent="0.25">
      <c r="B88" s="22">
        <v>173</v>
      </c>
      <c r="C88" s="22" t="s">
        <v>45</v>
      </c>
      <c r="D88" s="22"/>
      <c r="E88" s="22">
        <v>1</v>
      </c>
      <c r="F88" s="22">
        <v>4.9109999999999996</v>
      </c>
      <c r="G88" s="24">
        <v>2.4889999999999998E-6</v>
      </c>
      <c r="H88" s="24">
        <v>4.7799999999999998E-8</v>
      </c>
      <c r="I88" s="24">
        <v>1.7159999999999998E-5</v>
      </c>
      <c r="J88" s="24">
        <v>5.1600000000000005E-8</v>
      </c>
      <c r="K88" s="24">
        <v>1.583</v>
      </c>
      <c r="L88" s="24">
        <v>1.583</v>
      </c>
      <c r="M88" s="24">
        <v>2.48E-3</v>
      </c>
      <c r="N88" s="24">
        <v>2.3400000000000001E-3</v>
      </c>
      <c r="O88">
        <v>2.4399999999999999E-3</v>
      </c>
      <c r="P88">
        <v>3.9700000000000002E-7</v>
      </c>
    </row>
    <row r="89" spans="2:16" x14ac:dyDescent="0.25">
      <c r="B89" s="22">
        <v>174</v>
      </c>
      <c r="C89" s="22" t="s">
        <v>45</v>
      </c>
      <c r="D89" s="22"/>
      <c r="E89" s="22">
        <v>1</v>
      </c>
      <c r="F89" s="22">
        <v>4.7880000000000003</v>
      </c>
      <c r="G89" s="24">
        <v>1.131E-5</v>
      </c>
      <c r="H89" s="24">
        <v>3.99E-8</v>
      </c>
      <c r="I89" s="24">
        <v>3.129E-5</v>
      </c>
      <c r="J89" s="24">
        <v>3.3400000000000001E-8</v>
      </c>
      <c r="K89" s="24">
        <v>1.4810000000000001</v>
      </c>
      <c r="L89" s="24">
        <v>1.4810000000000001</v>
      </c>
      <c r="M89" s="24">
        <v>2.7000000000000001E-3</v>
      </c>
      <c r="N89" s="24">
        <v>2.5800000000000003E-3</v>
      </c>
      <c r="O89">
        <v>2.6900000000000001E-3</v>
      </c>
      <c r="P89">
        <v>2.6969999999999999E-7</v>
      </c>
    </row>
    <row r="90" spans="2:16" x14ac:dyDescent="0.25">
      <c r="B90" s="22">
        <v>175</v>
      </c>
      <c r="C90" s="22" t="s">
        <v>45</v>
      </c>
      <c r="D90" s="22"/>
      <c r="E90" s="22">
        <v>1</v>
      </c>
      <c r="F90" s="22">
        <v>4.875</v>
      </c>
      <c r="G90" s="24">
        <v>1.5389999999999998E-6</v>
      </c>
      <c r="H90" s="24">
        <v>4.4799999999999997E-8</v>
      </c>
      <c r="I90" s="24">
        <v>1.0689999999999999E-5</v>
      </c>
      <c r="J90" s="24">
        <v>5.6000000000000005E-8</v>
      </c>
      <c r="K90" s="24">
        <v>1.5569999999999999</v>
      </c>
      <c r="L90" s="24">
        <v>1.5569999999999999</v>
      </c>
      <c r="M90" s="24">
        <v>2.5299999999999997E-3</v>
      </c>
      <c r="N90" s="24">
        <v>2.4100000000000002E-3</v>
      </c>
      <c r="O90">
        <v>2.48E-3</v>
      </c>
      <c r="P90">
        <v>2.8210000000000002E-7</v>
      </c>
    </row>
    <row r="91" spans="2:16" x14ac:dyDescent="0.25">
      <c r="B91" s="22">
        <v>178</v>
      </c>
      <c r="C91" s="22" t="s">
        <v>45</v>
      </c>
      <c r="D91" s="22"/>
      <c r="E91" s="22">
        <v>1</v>
      </c>
      <c r="F91" s="22">
        <v>4.7450000000000001</v>
      </c>
      <c r="G91" s="24">
        <v>1.093E-6</v>
      </c>
      <c r="H91" s="24">
        <v>4.4899999999999998E-8</v>
      </c>
      <c r="I91" s="24">
        <v>6.3249999999999996E-6</v>
      </c>
      <c r="J91" s="24">
        <v>2.6300000000000004E-8</v>
      </c>
      <c r="K91" s="24">
        <v>1.5269999999999999</v>
      </c>
      <c r="L91" s="24">
        <v>1.5269999999999999</v>
      </c>
      <c r="M91" s="24">
        <v>2.6700000000000001E-3</v>
      </c>
      <c r="N91" s="24">
        <v>2.5200000000000001E-3</v>
      </c>
      <c r="O91">
        <v>2.64E-3</v>
      </c>
      <c r="P91">
        <v>2.7310000000000003E-7</v>
      </c>
    </row>
    <row r="92" spans="2:16" x14ac:dyDescent="0.25">
      <c r="B92" s="22">
        <v>180</v>
      </c>
      <c r="C92" s="22" t="s">
        <v>45</v>
      </c>
      <c r="D92" s="22"/>
      <c r="E92" s="22">
        <v>1</v>
      </c>
      <c r="F92" s="22">
        <v>4.9589999999999996</v>
      </c>
      <c r="G92" s="24">
        <v>8.8740000000000001E-6</v>
      </c>
      <c r="H92" s="24">
        <v>4.3800000000000002E-8</v>
      </c>
      <c r="I92" s="24">
        <v>1.7620000000000001E-5</v>
      </c>
      <c r="J92" s="24">
        <v>5.7900000000000002E-8</v>
      </c>
      <c r="K92" s="24">
        <v>1.5640000000000001</v>
      </c>
      <c r="L92" s="24">
        <v>1.5640000000000001</v>
      </c>
      <c r="M92" s="24">
        <v>2.5299999999999997E-3</v>
      </c>
      <c r="N92" s="24">
        <v>2.4100000000000002E-3</v>
      </c>
      <c r="O92">
        <v>2.4900000000000005E-3</v>
      </c>
      <c r="P92">
        <v>2.7389999999999998E-7</v>
      </c>
    </row>
    <row r="93" spans="2:16" x14ac:dyDescent="0.25">
      <c r="B93" s="22">
        <v>181</v>
      </c>
      <c r="C93" s="22" t="s">
        <v>45</v>
      </c>
      <c r="D93" s="22"/>
      <c r="E93" s="22">
        <v>1</v>
      </c>
      <c r="F93" s="22">
        <v>4.9009999999999998</v>
      </c>
      <c r="G93" s="24">
        <v>1.756E-6</v>
      </c>
      <c r="H93" s="24">
        <v>4.0800000000000001E-8</v>
      </c>
      <c r="I93" s="24">
        <v>1.0519999999999999E-5</v>
      </c>
      <c r="J93" s="24">
        <v>5.0100000000000005E-8</v>
      </c>
      <c r="K93" s="24">
        <v>1.5529999999999999</v>
      </c>
      <c r="L93" s="24">
        <v>1.5529999999999999</v>
      </c>
      <c r="M93" s="24">
        <v>2.5099999999999996E-3</v>
      </c>
      <c r="N93" s="24">
        <v>2.3999999999999998E-3</v>
      </c>
      <c r="O93">
        <v>2.4900000000000005E-3</v>
      </c>
      <c r="P93">
        <v>2.7860000000000002E-7</v>
      </c>
    </row>
    <row r="94" spans="2:16" x14ac:dyDescent="0.25">
      <c r="B94" s="22">
        <v>182</v>
      </c>
      <c r="C94" s="22" t="s">
        <v>45</v>
      </c>
      <c r="D94" s="22"/>
      <c r="E94" s="22">
        <v>1</v>
      </c>
      <c r="F94" s="22">
        <v>4.9669999999999996</v>
      </c>
      <c r="G94" s="24">
        <v>8.7290000000000004E-7</v>
      </c>
      <c r="H94" s="24">
        <v>3.5600000000000001E-8</v>
      </c>
      <c r="I94" s="24">
        <v>4.1130000000000003E-6</v>
      </c>
      <c r="J94" s="24">
        <v>2.6700000000000001E-8</v>
      </c>
      <c r="K94" s="24">
        <v>1.552</v>
      </c>
      <c r="L94" s="24">
        <v>1.552</v>
      </c>
      <c r="M94" s="24">
        <v>2.6000000000000003E-3</v>
      </c>
      <c r="N94" s="24">
        <v>2.4900000000000005E-3</v>
      </c>
      <c r="O94">
        <v>2.5699999999999998E-3</v>
      </c>
      <c r="P94">
        <v>2.1090000000000002E-7</v>
      </c>
    </row>
    <row r="95" spans="2:16" x14ac:dyDescent="0.25">
      <c r="B95" s="22">
        <v>183</v>
      </c>
      <c r="C95" s="22" t="s">
        <v>45</v>
      </c>
      <c r="D95" s="22"/>
      <c r="E95" s="22">
        <v>1</v>
      </c>
      <c r="F95" s="22">
        <v>4.8600000000000003</v>
      </c>
      <c r="G95" s="24">
        <v>1.3969999999999999E-6</v>
      </c>
      <c r="H95" s="24">
        <v>4.3800000000000002E-8</v>
      </c>
      <c r="I95" s="24">
        <v>9.0610000000000002E-6</v>
      </c>
      <c r="J95" s="24">
        <v>5.7300000000000004E-8</v>
      </c>
      <c r="K95" s="24">
        <v>1.5669999999999999</v>
      </c>
      <c r="L95" s="24">
        <v>1.5669999999999999</v>
      </c>
      <c r="M95" s="24">
        <v>2.5499999999999997E-3</v>
      </c>
      <c r="N95" s="24">
        <v>2.4199999999999998E-3</v>
      </c>
      <c r="O95">
        <v>2.5099999999999996E-3</v>
      </c>
      <c r="P95">
        <v>2.7700000000000001E-7</v>
      </c>
    </row>
    <row r="96" spans="2:16" x14ac:dyDescent="0.25">
      <c r="B96" s="22">
        <v>184</v>
      </c>
      <c r="C96" s="22" t="s">
        <v>45</v>
      </c>
      <c r="D96" s="22"/>
      <c r="E96" s="22">
        <v>1</v>
      </c>
      <c r="F96" s="22">
        <v>4.8929999999999998</v>
      </c>
      <c r="G96" s="24">
        <v>2.6920000000000002E-6</v>
      </c>
      <c r="H96" s="24">
        <v>4.7600000000000003E-8</v>
      </c>
      <c r="I96" s="24">
        <v>1.6509999999999999E-5</v>
      </c>
      <c r="J96" s="24">
        <v>4.1899999999999998E-8</v>
      </c>
      <c r="K96" s="24">
        <v>1.5309999999999999</v>
      </c>
      <c r="L96" s="24">
        <v>1.5309999999999999</v>
      </c>
      <c r="M96" s="24">
        <v>2.5600000000000002E-3</v>
      </c>
      <c r="N96" s="24">
        <v>2.4199999999999998E-3</v>
      </c>
      <c r="O96">
        <v>2.5299999999999997E-3</v>
      </c>
      <c r="P96">
        <v>3.4530000000000005E-7</v>
      </c>
    </row>
    <row r="97" spans="2:16" x14ac:dyDescent="0.25">
      <c r="B97" s="22">
        <v>187</v>
      </c>
      <c r="C97" s="22" t="s">
        <v>45</v>
      </c>
      <c r="D97" s="22"/>
      <c r="E97" s="22">
        <v>1</v>
      </c>
      <c r="F97" s="22">
        <v>4.8680000000000003</v>
      </c>
      <c r="G97" s="24">
        <v>1.0289999999999998E-6</v>
      </c>
      <c r="H97" s="24">
        <v>3.9799999999999999E-8</v>
      </c>
      <c r="I97" s="24">
        <v>6.1630000000000001E-6</v>
      </c>
      <c r="J97" s="24">
        <v>4.3600000000000007E-8</v>
      </c>
      <c r="K97" s="24">
        <v>1.5549999999999999</v>
      </c>
      <c r="L97" s="24">
        <v>1.5549999999999999</v>
      </c>
      <c r="M97" s="24">
        <v>2.48E-3</v>
      </c>
      <c r="N97" s="24">
        <v>2.3600000000000001E-3</v>
      </c>
      <c r="O97">
        <v>2.4500000000000004E-3</v>
      </c>
      <c r="P97">
        <v>2.5730000000000001E-7</v>
      </c>
    </row>
    <row r="98" spans="2:16" x14ac:dyDescent="0.25">
      <c r="B98" s="22">
        <v>191</v>
      </c>
      <c r="C98" s="22" t="s">
        <v>45</v>
      </c>
      <c r="D98" s="22"/>
      <c r="E98" s="22">
        <v>1</v>
      </c>
      <c r="F98" s="22">
        <v>4.8959999999999999</v>
      </c>
      <c r="G98" s="24">
        <v>2.492E-6</v>
      </c>
      <c r="H98" s="24">
        <v>4.73E-8</v>
      </c>
      <c r="I98" s="24">
        <v>1.5500000000000001E-5</v>
      </c>
      <c r="J98" s="24">
        <v>5.3100000000000006E-8</v>
      </c>
      <c r="K98" s="24">
        <v>1.556</v>
      </c>
      <c r="L98" s="24">
        <v>1.556</v>
      </c>
      <c r="M98" s="24">
        <v>2.48E-3</v>
      </c>
      <c r="N98" s="24">
        <v>2.3700000000000001E-3</v>
      </c>
      <c r="O98">
        <v>2.4500000000000004E-3</v>
      </c>
      <c r="P98">
        <v>3.9000000000000002E-7</v>
      </c>
    </row>
    <row r="99" spans="2:16" x14ac:dyDescent="0.25">
      <c r="B99" s="22">
        <v>192</v>
      </c>
      <c r="C99" s="22" t="s">
        <v>45</v>
      </c>
      <c r="D99" s="22"/>
      <c r="E99" s="22">
        <v>1</v>
      </c>
      <c r="F99" s="22">
        <v>4.9509999999999996</v>
      </c>
      <c r="G99" s="24">
        <v>2.2739999999999997E-6</v>
      </c>
      <c r="H99" s="24">
        <v>4.6700000000000008E-8</v>
      </c>
      <c r="I99" s="24">
        <v>1.3569999999999999E-5</v>
      </c>
      <c r="J99" s="24">
        <v>4.8700000000000006E-8</v>
      </c>
      <c r="K99" s="24">
        <v>1.5309999999999999</v>
      </c>
      <c r="L99" s="24">
        <v>1.5309999999999999</v>
      </c>
      <c r="M99" s="24">
        <v>2.5000000000000001E-3</v>
      </c>
      <c r="N99" s="24">
        <v>2.3600000000000001E-3</v>
      </c>
      <c r="O99">
        <v>2.4700000000000004E-3</v>
      </c>
      <c r="P99">
        <v>3.5460000000000007E-7</v>
      </c>
    </row>
    <row r="100" spans="2:16" x14ac:dyDescent="0.25">
      <c r="B100" s="22">
        <v>193</v>
      </c>
      <c r="C100" s="22" t="s">
        <v>45</v>
      </c>
      <c r="D100" s="22"/>
      <c r="E100" s="22">
        <v>1</v>
      </c>
      <c r="F100" s="22">
        <v>4.766</v>
      </c>
      <c r="G100" s="24">
        <v>2.9519999999999999E-6</v>
      </c>
      <c r="H100" s="24">
        <v>4.6500000000000006E-8</v>
      </c>
      <c r="I100" s="24">
        <v>1.6989999999999998E-5</v>
      </c>
      <c r="J100" s="24">
        <v>3.0400000000000001E-8</v>
      </c>
      <c r="K100" s="24">
        <v>1.53</v>
      </c>
      <c r="L100" s="24">
        <v>1.53</v>
      </c>
      <c r="M100" s="24">
        <v>2.7599999999999999E-3</v>
      </c>
      <c r="N100" s="24">
        <v>2.6200000000000004E-3</v>
      </c>
      <c r="O100">
        <v>2.7300000000000002E-3</v>
      </c>
      <c r="P100">
        <v>2.9880000000000006E-7</v>
      </c>
    </row>
    <row r="101" spans="2:16" x14ac:dyDescent="0.25">
      <c r="B101" s="22">
        <v>194</v>
      </c>
      <c r="C101" s="22" t="s">
        <v>45</v>
      </c>
      <c r="D101" s="22"/>
      <c r="E101" s="22">
        <v>1</v>
      </c>
      <c r="F101" s="22">
        <v>4.8209999999999997</v>
      </c>
      <c r="G101" s="24">
        <v>5.5399999999999995E-6</v>
      </c>
      <c r="H101" s="24">
        <v>5.0500000000000002E-8</v>
      </c>
      <c r="I101" s="24">
        <v>2.3559999999999998E-5</v>
      </c>
      <c r="J101" s="24">
        <v>4.88E-8</v>
      </c>
      <c r="K101" s="24">
        <v>1.476</v>
      </c>
      <c r="L101" s="24">
        <v>1.476</v>
      </c>
      <c r="M101" s="24">
        <v>2.7300000000000002E-3</v>
      </c>
      <c r="N101" s="24">
        <v>2.6000000000000003E-3</v>
      </c>
      <c r="O101">
        <v>2.7000000000000001E-3</v>
      </c>
      <c r="P101">
        <v>2.7080000000000002E-7</v>
      </c>
    </row>
    <row r="102" spans="2:16" x14ac:dyDescent="0.25">
      <c r="B102" s="22">
        <v>196</v>
      </c>
      <c r="C102" s="22" t="s">
        <v>45</v>
      </c>
      <c r="D102" s="22"/>
      <c r="E102" s="22">
        <v>1</v>
      </c>
      <c r="F102" s="22">
        <v>4.96</v>
      </c>
      <c r="G102" s="24">
        <v>2.8149999999999997E-6</v>
      </c>
      <c r="H102" s="24">
        <v>5.4100000000000008E-8</v>
      </c>
      <c r="I102" s="24">
        <v>1.473E-5</v>
      </c>
      <c r="J102" s="24">
        <v>5.6000000000000005E-8</v>
      </c>
      <c r="K102" s="24">
        <v>1.5289999999999999</v>
      </c>
      <c r="L102" s="24">
        <v>1.5289999999999999</v>
      </c>
      <c r="M102" s="24">
        <v>2.6000000000000003E-3</v>
      </c>
      <c r="N102" s="24">
        <v>2.4900000000000005E-3</v>
      </c>
      <c r="O102">
        <v>2.5800000000000003E-3</v>
      </c>
      <c r="P102">
        <v>4.0580000000000005E-7</v>
      </c>
    </row>
    <row r="103" spans="2:16" x14ac:dyDescent="0.25">
      <c r="B103" s="22">
        <v>200</v>
      </c>
      <c r="C103" s="22" t="s">
        <v>45</v>
      </c>
      <c r="D103" s="22"/>
      <c r="E103" s="22">
        <v>1</v>
      </c>
      <c r="F103" s="22">
        <v>4.9630000000000001</v>
      </c>
      <c r="G103" s="24">
        <v>9.4970000000000009E-7</v>
      </c>
      <c r="H103" s="24">
        <v>3.9700000000000005E-8</v>
      </c>
      <c r="I103" s="24">
        <v>6.5219999999999996E-6</v>
      </c>
      <c r="J103" s="24">
        <v>4.9399999999999999E-8</v>
      </c>
      <c r="K103" s="24">
        <v>1.556</v>
      </c>
      <c r="L103" s="24">
        <v>1.556</v>
      </c>
      <c r="M103" s="24">
        <v>2.5200000000000001E-3</v>
      </c>
      <c r="N103" s="24">
        <v>2.3900000000000002E-3</v>
      </c>
      <c r="O103">
        <v>2.48E-3</v>
      </c>
      <c r="P103">
        <v>2.6199999999999999E-7</v>
      </c>
    </row>
    <row r="104" spans="2:16" x14ac:dyDescent="0.25">
      <c r="B104" s="22">
        <v>201</v>
      </c>
      <c r="C104" s="22" t="s">
        <v>45</v>
      </c>
      <c r="D104" s="22"/>
      <c r="E104" s="22">
        <v>1</v>
      </c>
      <c r="F104" s="22">
        <v>4.9379999999999997</v>
      </c>
      <c r="G104" s="24">
        <v>1.4929999999999999E-6</v>
      </c>
      <c r="H104" s="24">
        <v>4.6200000000000003E-8</v>
      </c>
      <c r="I104" s="24">
        <v>1.2029999999999998E-5</v>
      </c>
      <c r="J104" s="24">
        <v>5.7900000000000002E-8</v>
      </c>
      <c r="K104" s="24">
        <v>1.5780000000000001</v>
      </c>
      <c r="L104" s="24">
        <v>1.5780000000000001</v>
      </c>
      <c r="M104" s="24">
        <v>2.5299999999999997E-3</v>
      </c>
      <c r="N104" s="24">
        <v>2.3999999999999998E-3</v>
      </c>
      <c r="O104">
        <v>2.5000000000000001E-3</v>
      </c>
      <c r="P104">
        <v>2.952E-7</v>
      </c>
    </row>
    <row r="105" spans="2:16" x14ac:dyDescent="0.25">
      <c r="B105" s="22">
        <v>207</v>
      </c>
      <c r="C105" s="22" t="s">
        <v>45</v>
      </c>
      <c r="D105" s="22"/>
      <c r="E105" s="22">
        <v>1</v>
      </c>
      <c r="F105" s="22">
        <v>4.92</v>
      </c>
      <c r="G105" s="24">
        <v>1.6160000000000001E-6</v>
      </c>
      <c r="H105" s="24">
        <v>4.2300000000000002E-8</v>
      </c>
      <c r="I105" s="24">
        <v>1.063E-5</v>
      </c>
      <c r="J105" s="24">
        <v>5.4100000000000008E-8</v>
      </c>
      <c r="K105" s="24">
        <v>1.581</v>
      </c>
      <c r="L105" s="24">
        <v>1.581</v>
      </c>
      <c r="M105" s="24">
        <v>2.48E-3</v>
      </c>
      <c r="N105" s="24">
        <v>2.3700000000000001E-3</v>
      </c>
      <c r="O105">
        <v>2.4500000000000004E-3</v>
      </c>
      <c r="P105">
        <v>2.8930000000000003E-7</v>
      </c>
    </row>
    <row r="106" spans="2:16" x14ac:dyDescent="0.25">
      <c r="B106" s="22">
        <v>209</v>
      </c>
      <c r="C106" s="22" t="s">
        <v>45</v>
      </c>
      <c r="D106" s="22"/>
      <c r="E106" s="22">
        <v>1</v>
      </c>
      <c r="F106" s="22">
        <v>4.6920000000000002</v>
      </c>
      <c r="G106" s="24">
        <v>4.4580000000000003E-6</v>
      </c>
      <c r="H106" s="24">
        <v>4.0200000000000003E-8</v>
      </c>
      <c r="I106" s="24">
        <v>1.967E-5</v>
      </c>
      <c r="J106" s="24">
        <v>4.3500000000000006E-8</v>
      </c>
      <c r="K106" s="24">
        <v>1.552</v>
      </c>
      <c r="L106" s="24">
        <v>1.552</v>
      </c>
      <c r="M106" s="24">
        <v>2.7200000000000002E-3</v>
      </c>
      <c r="N106" s="24">
        <v>2.6099999999999999E-3</v>
      </c>
      <c r="O106">
        <v>2.6800000000000001E-3</v>
      </c>
      <c r="P106">
        <v>2.6150000000000001E-7</v>
      </c>
    </row>
    <row r="107" spans="2:16" x14ac:dyDescent="0.25">
      <c r="B107" s="22">
        <v>210</v>
      </c>
      <c r="C107" s="22" t="s">
        <v>45</v>
      </c>
      <c r="D107" s="22"/>
      <c r="E107" s="22">
        <v>1</v>
      </c>
      <c r="F107" s="22">
        <v>4.859</v>
      </c>
      <c r="G107" s="24">
        <v>1.722E-6</v>
      </c>
      <c r="H107" s="24">
        <v>4.29E-8</v>
      </c>
      <c r="I107" s="24">
        <v>1.022E-5</v>
      </c>
      <c r="J107" s="24">
        <v>5.5200000000000005E-8</v>
      </c>
      <c r="K107" s="24">
        <v>1.5860000000000001</v>
      </c>
      <c r="L107" s="24">
        <v>1.5860000000000001</v>
      </c>
      <c r="M107" s="24">
        <v>2.4900000000000005E-3</v>
      </c>
      <c r="N107" s="24">
        <v>2.3400000000000001E-3</v>
      </c>
      <c r="O107">
        <v>2.4500000000000004E-3</v>
      </c>
      <c r="P107">
        <v>2.8939999999999998E-7</v>
      </c>
    </row>
    <row r="108" spans="2:16" x14ac:dyDescent="0.25">
      <c r="B108" s="22">
        <v>216</v>
      </c>
      <c r="C108" s="22" t="s">
        <v>45</v>
      </c>
      <c r="D108" s="22"/>
      <c r="E108" s="22">
        <v>1</v>
      </c>
      <c r="F108" s="22">
        <v>4.8259999999999996</v>
      </c>
      <c r="G108" s="24">
        <v>1.1229999999999999E-6</v>
      </c>
      <c r="H108" s="24">
        <v>3.6300000000000001E-8</v>
      </c>
      <c r="I108" s="24">
        <v>7.8929999999999988E-6</v>
      </c>
      <c r="J108" s="24">
        <v>4.6200000000000003E-8</v>
      </c>
      <c r="K108" s="24">
        <v>1.5509999999999999</v>
      </c>
      <c r="L108" s="24">
        <v>1.5509999999999999</v>
      </c>
      <c r="M108" s="24">
        <v>2.48E-3</v>
      </c>
      <c r="N108" s="24">
        <v>2.3500000000000001E-3</v>
      </c>
      <c r="O108">
        <v>2.4500000000000004E-3</v>
      </c>
      <c r="P108">
        <v>2.5000000000000004E-7</v>
      </c>
    </row>
    <row r="109" spans="2:16" x14ac:dyDescent="0.25">
      <c r="B109" s="22">
        <v>217</v>
      </c>
      <c r="C109" s="22" t="s">
        <v>45</v>
      </c>
      <c r="D109" s="22"/>
      <c r="E109" s="22">
        <v>1</v>
      </c>
      <c r="F109" s="22">
        <v>4.859</v>
      </c>
      <c r="G109" s="24">
        <v>2.988E-6</v>
      </c>
      <c r="H109" s="24">
        <v>4.9399999999999999E-8</v>
      </c>
      <c r="I109" s="24">
        <v>1.942E-5</v>
      </c>
      <c r="J109" s="24">
        <v>5.5900000000000004E-8</v>
      </c>
      <c r="K109" s="24">
        <v>1.5880000000000001</v>
      </c>
      <c r="L109" s="24">
        <v>1.5880000000000001</v>
      </c>
      <c r="M109" s="24">
        <v>2.5299999999999997E-3</v>
      </c>
      <c r="N109" s="24">
        <v>2.4300000000000003E-3</v>
      </c>
      <c r="O109">
        <v>2.5099999999999996E-3</v>
      </c>
      <c r="P109">
        <v>3.4519999999999999E-7</v>
      </c>
    </row>
    <row r="110" spans="2:16" x14ac:dyDescent="0.25">
      <c r="B110" s="22">
        <v>218</v>
      </c>
      <c r="C110" s="22" t="s">
        <v>45</v>
      </c>
      <c r="D110" s="22"/>
      <c r="E110" s="22">
        <v>1</v>
      </c>
      <c r="F110" s="22">
        <v>4.9039999999999999</v>
      </c>
      <c r="G110" s="24">
        <v>2.6400000000000001E-6</v>
      </c>
      <c r="H110" s="24">
        <v>4.5500000000000004E-8</v>
      </c>
      <c r="I110" s="24">
        <v>1.9369999999999999E-5</v>
      </c>
      <c r="J110" s="24">
        <v>5.1200000000000008E-8</v>
      </c>
      <c r="K110" s="24">
        <v>1.5549999999999999</v>
      </c>
      <c r="L110" s="24">
        <v>1.5549999999999999</v>
      </c>
      <c r="M110" s="24">
        <v>2.5400000000000002E-3</v>
      </c>
      <c r="N110" s="24">
        <v>2.3900000000000002E-3</v>
      </c>
      <c r="O110">
        <v>2.5099999999999996E-3</v>
      </c>
      <c r="P110">
        <v>3.7730000000000002E-7</v>
      </c>
    </row>
    <row r="111" spans="2:16" x14ac:dyDescent="0.25">
      <c r="B111" s="22">
        <v>219</v>
      </c>
      <c r="C111" s="22" t="s">
        <v>45</v>
      </c>
      <c r="D111" s="22"/>
      <c r="E111" s="22">
        <v>1</v>
      </c>
      <c r="F111" s="22">
        <v>4.8520000000000003</v>
      </c>
      <c r="G111" s="24">
        <v>1.8649999999999999E-6</v>
      </c>
      <c r="H111" s="24">
        <v>3.4200000000000002E-8</v>
      </c>
      <c r="I111" s="24">
        <v>6.0919999999999994E-6</v>
      </c>
      <c r="J111" s="24">
        <v>2.9000000000000002E-8</v>
      </c>
      <c r="K111" s="24">
        <v>1.5109999999999999</v>
      </c>
      <c r="L111" s="24">
        <v>1.5109999999999999</v>
      </c>
      <c r="M111" s="24">
        <v>2.5699999999999998E-3</v>
      </c>
      <c r="N111" s="24">
        <v>2.4500000000000004E-3</v>
      </c>
      <c r="O111">
        <v>2.5299999999999997E-3</v>
      </c>
      <c r="P111">
        <v>2.2469999999999999E-7</v>
      </c>
    </row>
    <row r="112" spans="2:16" x14ac:dyDescent="0.25">
      <c r="B112" s="22">
        <v>222</v>
      </c>
      <c r="C112" s="22" t="s">
        <v>45</v>
      </c>
      <c r="D112" s="22"/>
      <c r="E112" s="22">
        <v>1</v>
      </c>
      <c r="F112" s="22">
        <v>4.8819999999999997</v>
      </c>
      <c r="G112" s="24">
        <v>3.2949999999999998E-6</v>
      </c>
      <c r="H112" s="24">
        <v>4.7000000000000004E-8</v>
      </c>
      <c r="I112" s="24">
        <v>1.9339999999999998E-5</v>
      </c>
      <c r="J112" s="24">
        <v>4.0800000000000001E-8</v>
      </c>
      <c r="K112" s="24">
        <v>1.54</v>
      </c>
      <c r="L112" s="24">
        <v>1.54</v>
      </c>
      <c r="M112" s="24">
        <v>2.5499999999999997E-3</v>
      </c>
      <c r="N112" s="24">
        <v>2.4300000000000003E-3</v>
      </c>
      <c r="O112">
        <v>2.5099999999999996E-3</v>
      </c>
      <c r="P112">
        <v>3.269E-7</v>
      </c>
    </row>
    <row r="113" spans="2:16" x14ac:dyDescent="0.25">
      <c r="B113" s="22">
        <v>223</v>
      </c>
      <c r="C113" s="22" t="s">
        <v>45</v>
      </c>
      <c r="D113" s="22"/>
      <c r="E113" s="22">
        <v>1</v>
      </c>
      <c r="F113" s="22">
        <v>4.9779999999999998</v>
      </c>
      <c r="G113" s="24">
        <v>4.6149999999999999E-6</v>
      </c>
      <c r="H113" s="24">
        <v>5.3700000000000004E-8</v>
      </c>
      <c r="I113" s="24">
        <v>1.7640000000000001E-5</v>
      </c>
      <c r="J113" s="24">
        <v>5.1800000000000001E-8</v>
      </c>
      <c r="K113" s="24">
        <v>1.4850000000000001</v>
      </c>
      <c r="L113" s="24">
        <v>1.4850000000000001</v>
      </c>
      <c r="M113" s="24">
        <v>2.5899999999999999E-3</v>
      </c>
      <c r="N113" s="24">
        <v>2.48E-3</v>
      </c>
      <c r="O113">
        <v>2.5600000000000002E-3</v>
      </c>
      <c r="P113">
        <v>3.7910000000000005E-7</v>
      </c>
    </row>
    <row r="114" spans="2:16" x14ac:dyDescent="0.25">
      <c r="B114" s="22">
        <v>224</v>
      </c>
      <c r="C114" s="22" t="s">
        <v>45</v>
      </c>
      <c r="D114" s="22"/>
      <c r="E114" s="22">
        <v>1</v>
      </c>
      <c r="F114" s="22">
        <v>4.8710000000000004</v>
      </c>
      <c r="G114" s="24">
        <v>1.6759999999999999E-6</v>
      </c>
      <c r="H114" s="24">
        <v>4.1899999999999998E-8</v>
      </c>
      <c r="I114" s="24">
        <v>9.6499999999999991E-6</v>
      </c>
      <c r="J114" s="24">
        <v>4.58E-8</v>
      </c>
      <c r="K114" s="24">
        <v>1.554</v>
      </c>
      <c r="L114" s="24">
        <v>1.554</v>
      </c>
      <c r="M114" s="24">
        <v>2.5099999999999996E-3</v>
      </c>
      <c r="N114" s="24">
        <v>2.3999999999999998E-3</v>
      </c>
      <c r="O114">
        <v>2.48E-3</v>
      </c>
      <c r="P114">
        <v>2.7220000000000002E-7</v>
      </c>
    </row>
    <row r="115" spans="2:16" x14ac:dyDescent="0.25">
      <c r="B115" s="22">
        <v>225</v>
      </c>
      <c r="C115" s="22" t="s">
        <v>45</v>
      </c>
      <c r="D115" s="22"/>
      <c r="E115" s="22">
        <v>1</v>
      </c>
      <c r="F115" s="22">
        <v>4.758</v>
      </c>
      <c r="G115" s="24">
        <v>1.0809999999999999E-6</v>
      </c>
      <c r="H115" s="24">
        <v>3.8299999999999999E-8</v>
      </c>
      <c r="I115" s="24">
        <v>5.2469999999999999E-6</v>
      </c>
      <c r="J115" s="24">
        <v>2.8000000000000003E-8</v>
      </c>
      <c r="K115" s="24">
        <v>1.498</v>
      </c>
      <c r="L115" s="24">
        <v>1.498</v>
      </c>
      <c r="M115" s="24">
        <v>2.6700000000000001E-3</v>
      </c>
      <c r="N115" s="24">
        <v>2.5699999999999998E-3</v>
      </c>
      <c r="O115">
        <v>2.65E-3</v>
      </c>
      <c r="P115">
        <v>2.3780000000000003E-7</v>
      </c>
    </row>
    <row r="116" spans="2:16" x14ac:dyDescent="0.25">
      <c r="B116" s="22">
        <v>226</v>
      </c>
      <c r="C116" s="22" t="s">
        <v>45</v>
      </c>
      <c r="D116" s="22"/>
      <c r="E116" s="22">
        <v>1</v>
      </c>
      <c r="F116" s="22">
        <v>4.9130000000000003</v>
      </c>
      <c r="G116" s="24">
        <v>2.4559999999999999E-6</v>
      </c>
      <c r="H116" s="24">
        <v>4.8500000000000004E-8</v>
      </c>
      <c r="I116" s="24">
        <v>1.4099999999999999E-5</v>
      </c>
      <c r="J116" s="24">
        <v>5.2000000000000002E-8</v>
      </c>
      <c r="K116" s="24">
        <v>1.514</v>
      </c>
      <c r="L116" s="24">
        <v>1.514</v>
      </c>
      <c r="M116" s="24">
        <v>2.65E-3</v>
      </c>
      <c r="N116" s="24">
        <v>2.5400000000000002E-3</v>
      </c>
      <c r="O116">
        <v>2.63E-3</v>
      </c>
      <c r="P116">
        <v>3.5289999999999999E-7</v>
      </c>
    </row>
    <row r="117" spans="2:16" x14ac:dyDescent="0.25">
      <c r="B117" s="22">
        <v>227</v>
      </c>
      <c r="C117" s="22" t="s">
        <v>45</v>
      </c>
      <c r="D117" s="22"/>
      <c r="E117" s="22">
        <v>1</v>
      </c>
      <c r="F117" s="22">
        <v>4.8120000000000003</v>
      </c>
      <c r="G117" s="24">
        <v>9.6360000000000018E-7</v>
      </c>
      <c r="H117" s="24">
        <v>4.0100000000000002E-8</v>
      </c>
      <c r="I117" s="24">
        <v>5.8200000000000002E-6</v>
      </c>
      <c r="J117" s="24">
        <v>3.7500000000000005E-8</v>
      </c>
      <c r="K117" s="24">
        <v>1.56</v>
      </c>
      <c r="L117" s="24">
        <v>1.56</v>
      </c>
      <c r="M117" s="24">
        <v>2.5499999999999997E-3</v>
      </c>
      <c r="N117" s="24">
        <v>2.4300000000000003E-3</v>
      </c>
      <c r="O117">
        <v>2.5299999999999997E-3</v>
      </c>
      <c r="P117">
        <v>2.3910000000000002E-7</v>
      </c>
    </row>
    <row r="118" spans="2:16" x14ac:dyDescent="0.25">
      <c r="B118" s="22">
        <v>228</v>
      </c>
      <c r="C118" s="22" t="s">
        <v>45</v>
      </c>
      <c r="D118" s="22"/>
      <c r="E118" s="22">
        <v>1</v>
      </c>
      <c r="F118" s="22">
        <v>4.8710000000000004</v>
      </c>
      <c r="G118" s="24">
        <v>9.4160000000000012E-7</v>
      </c>
      <c r="H118" s="24">
        <v>3.6100000000000006E-8</v>
      </c>
      <c r="I118" s="24">
        <v>4.8869999999999991E-6</v>
      </c>
      <c r="J118" s="24">
        <v>2.55E-8</v>
      </c>
      <c r="K118" s="24">
        <v>1.4930000000000001</v>
      </c>
      <c r="L118" s="24">
        <v>1.4930000000000001</v>
      </c>
      <c r="M118" s="24">
        <v>2.6700000000000001E-3</v>
      </c>
      <c r="N118" s="24">
        <v>2.5499999999999997E-3</v>
      </c>
      <c r="O118">
        <v>2.64E-3</v>
      </c>
      <c r="P118">
        <v>2.452E-7</v>
      </c>
    </row>
    <row r="119" spans="2:16" x14ac:dyDescent="0.25">
      <c r="B119" s="22">
        <v>230</v>
      </c>
      <c r="C119" s="22" t="s">
        <v>45</v>
      </c>
      <c r="D119" s="22"/>
      <c r="E119" s="22">
        <v>1</v>
      </c>
      <c r="F119" s="22">
        <v>4.6849999999999996</v>
      </c>
      <c r="G119" s="24">
        <v>1.1799999999999999E-6</v>
      </c>
      <c r="H119" s="24">
        <v>4.29E-8</v>
      </c>
      <c r="I119" s="24">
        <v>7.447E-6</v>
      </c>
      <c r="J119" s="24">
        <v>5.2299999999999998E-8</v>
      </c>
      <c r="K119" s="24">
        <v>1.573</v>
      </c>
      <c r="L119" s="24">
        <v>1.573</v>
      </c>
      <c r="M119" s="24">
        <v>2.6700000000000001E-3</v>
      </c>
      <c r="N119" s="24">
        <v>2.5600000000000002E-3</v>
      </c>
      <c r="O119">
        <v>2.64E-3</v>
      </c>
      <c r="P119">
        <v>2.6800000000000002E-7</v>
      </c>
    </row>
    <row r="120" spans="2:16" x14ac:dyDescent="0.25">
      <c r="B120" s="22">
        <v>234</v>
      </c>
      <c r="C120" s="22" t="s">
        <v>45</v>
      </c>
      <c r="D120" s="22"/>
      <c r="E120" s="22">
        <v>1</v>
      </c>
      <c r="F120" s="22">
        <v>4.891</v>
      </c>
      <c r="G120" s="24">
        <v>6.4069999999999998E-6</v>
      </c>
      <c r="H120" s="24">
        <v>3.8299999999999999E-8</v>
      </c>
      <c r="I120" s="24">
        <v>1.6159999999999998E-5</v>
      </c>
      <c r="J120" s="24">
        <v>4.1700000000000003E-8</v>
      </c>
      <c r="K120" s="24">
        <v>1.536</v>
      </c>
      <c r="L120" s="24">
        <v>1.536</v>
      </c>
      <c r="M120" s="24">
        <v>2.5600000000000002E-3</v>
      </c>
      <c r="N120" s="24">
        <v>2.4500000000000004E-3</v>
      </c>
      <c r="O120">
        <v>2.5299999999999997E-3</v>
      </c>
      <c r="P120">
        <v>2.4780000000000004E-7</v>
      </c>
    </row>
    <row r="121" spans="2:16" x14ac:dyDescent="0.25">
      <c r="B121" s="22">
        <v>235</v>
      </c>
      <c r="C121" s="22" t="s">
        <v>45</v>
      </c>
      <c r="D121" s="22"/>
      <c r="E121" s="22">
        <v>1</v>
      </c>
      <c r="F121" s="22">
        <v>4.6890000000000001</v>
      </c>
      <c r="G121" s="24">
        <v>1.2019999999999999E-6</v>
      </c>
      <c r="H121" s="24">
        <v>4.2000000000000006E-8</v>
      </c>
      <c r="I121" s="24">
        <v>7.0719999999999994E-6</v>
      </c>
      <c r="J121" s="24">
        <v>2.7800000000000004E-8</v>
      </c>
      <c r="K121" s="24">
        <v>1.516</v>
      </c>
      <c r="L121" s="24">
        <v>1.516</v>
      </c>
      <c r="M121" s="24">
        <v>2.8E-3</v>
      </c>
      <c r="N121" s="24">
        <v>2.6900000000000001E-3</v>
      </c>
      <c r="O121">
        <v>2.7699999999999999E-3</v>
      </c>
      <c r="P121">
        <v>2.7469999999999999E-7</v>
      </c>
    </row>
    <row r="122" spans="2:16" x14ac:dyDescent="0.25">
      <c r="B122" s="22">
        <v>240</v>
      </c>
      <c r="C122" s="22" t="s">
        <v>45</v>
      </c>
      <c r="D122" s="22"/>
      <c r="E122" s="22">
        <v>1</v>
      </c>
      <c r="F122" s="22">
        <v>4.8979999999999997</v>
      </c>
      <c r="G122" s="24">
        <v>2.1960000000000002E-6</v>
      </c>
      <c r="H122" s="24">
        <v>4.9100000000000003E-8</v>
      </c>
      <c r="I122" s="24">
        <v>1.325E-5</v>
      </c>
      <c r="J122" s="24">
        <v>5.25E-8</v>
      </c>
      <c r="K122" s="24">
        <v>1.516</v>
      </c>
      <c r="L122" s="24">
        <v>1.516</v>
      </c>
      <c r="M122" s="24">
        <v>2.64E-3</v>
      </c>
      <c r="N122" s="24">
        <v>2.5099999999999996E-3</v>
      </c>
      <c r="O122">
        <v>2.5899999999999999E-3</v>
      </c>
      <c r="P122">
        <v>3.4639999999999998E-7</v>
      </c>
    </row>
    <row r="123" spans="2:16" x14ac:dyDescent="0.25">
      <c r="B123" s="22">
        <v>242</v>
      </c>
      <c r="C123" s="22" t="s">
        <v>45</v>
      </c>
      <c r="D123" s="22"/>
      <c r="E123" s="22">
        <v>1</v>
      </c>
      <c r="F123" s="22">
        <v>4.9420000000000002</v>
      </c>
      <c r="G123" s="24">
        <v>7.2520000000000006E-7</v>
      </c>
      <c r="H123" s="24">
        <v>3.2900000000000003E-8</v>
      </c>
      <c r="I123" s="24">
        <v>5.0609999999999995E-6</v>
      </c>
      <c r="J123" s="24">
        <v>2.6300000000000004E-8</v>
      </c>
      <c r="K123" s="24">
        <v>1.536</v>
      </c>
      <c r="L123" s="24">
        <v>1.536</v>
      </c>
      <c r="M123" s="24">
        <v>2.5800000000000003E-3</v>
      </c>
      <c r="N123" s="24">
        <v>2.4300000000000003E-3</v>
      </c>
      <c r="O123">
        <v>2.5299999999999997E-3</v>
      </c>
      <c r="P123">
        <v>2.1970000000000002E-7</v>
      </c>
    </row>
    <row r="124" spans="2:16" x14ac:dyDescent="0.25">
      <c r="B124" s="22">
        <v>244</v>
      </c>
      <c r="C124" s="22" t="s">
        <v>45</v>
      </c>
      <c r="D124" s="22"/>
      <c r="E124" s="22">
        <v>1</v>
      </c>
      <c r="F124" s="22">
        <v>4.9189999999999996</v>
      </c>
      <c r="G124" s="24">
        <v>2.6299999999999998E-6</v>
      </c>
      <c r="H124" s="24">
        <v>5.5900000000000004E-8</v>
      </c>
      <c r="I124" s="24">
        <v>1.447E-5</v>
      </c>
      <c r="J124" s="24">
        <v>5.1300000000000003E-8</v>
      </c>
      <c r="K124" s="24">
        <v>1.5189999999999999</v>
      </c>
      <c r="L124" s="24">
        <v>1.5189999999999999</v>
      </c>
      <c r="M124" s="24">
        <v>2.63E-3</v>
      </c>
      <c r="N124" s="24">
        <v>2.5200000000000001E-3</v>
      </c>
      <c r="O124">
        <v>2.6000000000000003E-3</v>
      </c>
      <c r="P124">
        <v>4.4780000000000003E-7</v>
      </c>
    </row>
    <row r="125" spans="2:16" x14ac:dyDescent="0.25">
      <c r="B125" s="22">
        <v>246</v>
      </c>
      <c r="C125" s="22" t="s">
        <v>45</v>
      </c>
      <c r="D125" s="22"/>
      <c r="E125" s="22">
        <v>1</v>
      </c>
      <c r="F125" s="22">
        <v>4.8369999999999997</v>
      </c>
      <c r="G125" s="24">
        <v>8.4100000000000008E-7</v>
      </c>
      <c r="H125" s="24">
        <v>3.6400000000000002E-8</v>
      </c>
      <c r="I125" s="24">
        <v>4.578E-6</v>
      </c>
      <c r="J125" s="24">
        <v>2.62E-8</v>
      </c>
      <c r="K125" s="24">
        <v>1.52</v>
      </c>
      <c r="L125" s="24">
        <v>1.52</v>
      </c>
      <c r="M125" s="24">
        <v>2.6200000000000004E-3</v>
      </c>
      <c r="N125" s="24">
        <v>2.4900000000000005E-3</v>
      </c>
      <c r="O125">
        <v>2.5800000000000003E-3</v>
      </c>
      <c r="P125">
        <v>2.2810000000000001E-7</v>
      </c>
    </row>
    <row r="126" spans="2:16" x14ac:dyDescent="0.25">
      <c r="B126" s="22">
        <v>248</v>
      </c>
      <c r="C126" s="22" t="s">
        <v>45</v>
      </c>
      <c r="D126" s="22"/>
      <c r="E126" s="22">
        <v>1</v>
      </c>
      <c r="F126" s="22">
        <v>4.9400000000000004</v>
      </c>
      <c r="G126" s="24">
        <v>9.2380000000000005E-7</v>
      </c>
      <c r="H126" s="24">
        <v>4.14E-8</v>
      </c>
      <c r="I126" s="24">
        <v>5.3949999999999992E-6</v>
      </c>
      <c r="J126" s="24">
        <v>4.2100000000000006E-8</v>
      </c>
      <c r="K126" s="24">
        <v>1.56</v>
      </c>
      <c r="L126" s="24">
        <v>1.56</v>
      </c>
      <c r="M126" s="24">
        <v>2.5000000000000001E-3</v>
      </c>
      <c r="N126" s="24">
        <v>2.3700000000000001E-3</v>
      </c>
      <c r="O126">
        <v>2.4599999999999999E-3</v>
      </c>
      <c r="P126">
        <v>2.48E-7</v>
      </c>
    </row>
  </sheetData>
  <sheetProtection algorithmName="SHA-512" hashValue="28iCq22vamLg0+lBDX+owZBUcBnGIXRTb4nwwBYKadOitVEzBFGUWM2wuhHOQDWc4wTtEdpfa/Y2NFA4mwijxA==" saltValue="PCLJ4koxW1UXOGx38YwqZw==" spinCount="100000" sheet="1" objects="1" scenarios="1" sort="0" autoFilter="0"/>
  <autoFilter ref="A10:S126" xr:uid="{B30AF49D-1101-4E38-9210-B8F6CC0E89A0}"/>
  <mergeCells count="14">
    <mergeCell ref="A1:F1"/>
    <mergeCell ref="K1:L1"/>
    <mergeCell ref="M1:N1"/>
    <mergeCell ref="O1:P1"/>
    <mergeCell ref="A2:B2"/>
    <mergeCell ref="C2:D2"/>
    <mergeCell ref="E2:F2"/>
    <mergeCell ref="H2:Q2"/>
    <mergeCell ref="A3:B3"/>
    <mergeCell ref="C3:D3"/>
    <mergeCell ref="E3:F3"/>
    <mergeCell ref="H3:Q3"/>
    <mergeCell ref="A4:G4"/>
    <mergeCell ref="H4:Q4"/>
  </mergeCells>
  <conditionalFormatting sqref="A11:A68">
    <cfRule type="duplicateValues" dxfId="44" priority="9"/>
  </conditionalFormatting>
  <conditionalFormatting sqref="A3:G3">
    <cfRule type="cellIs" dxfId="43" priority="1" operator="equal">
      <formula>0</formula>
    </cfRule>
  </conditionalFormatting>
  <conditionalFormatting sqref="B11:B68">
    <cfRule type="duplicateValues" dxfId="42" priority="10"/>
  </conditionalFormatting>
  <conditionalFormatting sqref="C11:C1831">
    <cfRule type="containsBlanks" dxfId="41" priority="5" stopIfTrue="1">
      <formula>LEN(TRIM(C11))=0</formula>
    </cfRule>
    <cfRule type="cellIs" dxfId="40" priority="6" stopIfTrue="1" operator="equal">
      <formula>"ND"</formula>
    </cfRule>
    <cfRule type="cellIs" dxfId="39" priority="7" operator="equal">
      <formula>"ALL PASS"</formula>
    </cfRule>
    <cfRule type="cellIs" dxfId="38" priority="8" operator="notEqual">
      <formula>"ALL PASS"</formula>
    </cfRule>
  </conditionalFormatting>
  <conditionalFormatting sqref="E11:E1831">
    <cfRule type="cellIs" dxfId="37" priority="2" stopIfTrue="1" operator="equal">
      <formula>99</formula>
    </cfRule>
    <cfRule type="cellIs" dxfId="36" priority="3" operator="between">
      <formula>2</formula>
      <formula>98</formula>
    </cfRule>
    <cfRule type="cellIs" dxfId="35" priority="4" operator="equal">
      <formula>1</formula>
    </cfRule>
  </conditionalFormatting>
  <hyperlinks>
    <hyperlink ref="H1" location="INDEX!A1" display="RETURN TO INDEX" xr:uid="{71216678-63AC-4EA0-B889-43471F99447C}"/>
    <hyperlink ref="H1:I1" location="INDEX!A1" display="RETURN TO INDEX" xr:uid="{9DD201D6-77CD-40F9-A6C3-519775253C0C}"/>
    <hyperlink ref="M1" location="'SCREENING STATUS'!A1" display="SCREENING STATUS" xr:uid="{165DA685-F1B3-489C-8747-E9440163A283}"/>
    <hyperlink ref="J1" location="SUMMARY!A1" display="SUMMARY" xr:uid="{370C15B1-F060-4090-8F97-F88D5A868D6B}"/>
    <hyperlink ref="K1" location="'SCREENING STATUS'!A1" display="SCREENING STATUS" xr:uid="{1D90F97F-07F9-4009-8989-BD7F8FF5C3A3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4327-81A0-4F3D-8FF8-B65A322FBD2B}">
  <sheetPr>
    <tabColor theme="4" tint="-0.249977111117893"/>
  </sheetPr>
  <dimension ref="A1:Q126"/>
  <sheetViews>
    <sheetView zoomScale="95" zoomScaleNormal="95" workbookViewId="0">
      <pane xSplit="3" ySplit="10" topLeftCell="D11" activePane="bottomRight" state="frozen"/>
      <selection activeCell="A2" sqref="A2:XFD2"/>
      <selection pane="topRight" activeCell="A2" sqref="A2:XFD2"/>
      <selection pane="bottomLeft" activeCell="A2" sqref="A2:XFD2"/>
      <selection pane="bottomRight" activeCell="D11" sqref="D11"/>
    </sheetView>
  </sheetViews>
  <sheetFormatPr defaultColWidth="0" defaultRowHeight="15" zeroHeight="1" x14ac:dyDescent="0.25"/>
  <cols>
    <col min="1" max="1" width="18.85546875" customWidth="1"/>
    <col min="2" max="2" width="12.28515625" style="6" customWidth="1"/>
    <col min="3" max="3" width="13.5703125" style="6" customWidth="1"/>
    <col min="4" max="4" width="5.5703125" style="6" customWidth="1"/>
    <col min="5" max="5" width="3.85546875" style="6" customWidth="1"/>
    <col min="6" max="16" width="18.85546875" customWidth="1"/>
    <col min="17" max="17" width="22.5703125" bestFit="1" customWidth="1"/>
  </cols>
  <sheetData>
    <row r="1" spans="1:17" ht="24" x14ac:dyDescent="0.25">
      <c r="A1" s="81" t="s">
        <v>46</v>
      </c>
      <c r="B1" s="81"/>
      <c r="C1" s="81"/>
      <c r="D1" s="81"/>
      <c r="E1" s="81"/>
      <c r="F1" s="81"/>
      <c r="G1" s="4"/>
      <c r="H1" s="2" t="s">
        <v>1</v>
      </c>
      <c r="I1" s="2"/>
      <c r="J1" s="5" t="s">
        <v>6</v>
      </c>
      <c r="K1" s="75" t="s">
        <v>7</v>
      </c>
      <c r="L1" s="75"/>
      <c r="M1" s="75" t="s">
        <v>2</v>
      </c>
      <c r="N1" s="75"/>
      <c r="O1" s="28" t="s">
        <v>104</v>
      </c>
      <c r="P1" s="28" t="s">
        <v>104</v>
      </c>
      <c r="Q1" s="28" t="s">
        <v>104</v>
      </c>
    </row>
    <row r="2" spans="1:17" ht="24" x14ac:dyDescent="0.25">
      <c r="A2" s="76" t="s">
        <v>99</v>
      </c>
      <c r="B2" s="76"/>
      <c r="C2" s="76" t="s">
        <v>100</v>
      </c>
      <c r="D2" s="76"/>
      <c r="E2" s="76" t="s">
        <v>101</v>
      </c>
      <c r="F2" s="76"/>
      <c r="G2" s="7" t="s">
        <v>102</v>
      </c>
      <c r="H2" s="77" t="s">
        <v>8</v>
      </c>
      <c r="I2" s="78"/>
      <c r="J2" s="78"/>
      <c r="K2" s="78"/>
      <c r="L2" s="78"/>
      <c r="M2" s="78"/>
      <c r="N2" s="78"/>
      <c r="O2" s="78"/>
      <c r="P2" s="78"/>
      <c r="Q2" s="78"/>
    </row>
    <row r="3" spans="1:17" ht="24" x14ac:dyDescent="0.25">
      <c r="A3" s="76" t="s">
        <v>103</v>
      </c>
      <c r="B3" s="76"/>
      <c r="C3" s="76" t="s">
        <v>103</v>
      </c>
      <c r="D3" s="76"/>
      <c r="E3" s="76"/>
      <c r="F3" s="76"/>
      <c r="G3" s="7">
        <v>2346</v>
      </c>
      <c r="H3" s="77"/>
      <c r="I3" s="78"/>
      <c r="J3" s="78"/>
      <c r="K3" s="78"/>
      <c r="L3" s="78"/>
      <c r="M3" s="78"/>
      <c r="N3" s="78"/>
      <c r="O3" s="78"/>
      <c r="P3" s="78"/>
      <c r="Q3" s="78"/>
    </row>
    <row r="4" spans="1:17" ht="24" x14ac:dyDescent="0.4">
      <c r="A4" s="79" t="str">
        <f>IF($B$5=$B$6,"PASS","FAIL")</f>
        <v>PASS</v>
      </c>
      <c r="B4" s="80"/>
      <c r="C4" s="80"/>
      <c r="D4" s="80"/>
      <c r="E4" s="80"/>
      <c r="F4" s="80"/>
      <c r="G4" s="80"/>
      <c r="H4" s="78"/>
      <c r="I4" s="78"/>
      <c r="J4" s="78"/>
      <c r="K4" s="78"/>
      <c r="L4" s="78"/>
      <c r="M4" s="78"/>
      <c r="N4" s="78"/>
      <c r="O4" s="78"/>
      <c r="P4" s="78"/>
      <c r="Q4" s="78"/>
    </row>
    <row r="5" spans="1:17" x14ac:dyDescent="0.25">
      <c r="A5" s="8" t="s">
        <v>9</v>
      </c>
      <c r="B5" s="9">
        <f>COUNTA(C$11:C$2000)-COUNTIF(C11:C$2000,"ND")</f>
        <v>116</v>
      </c>
      <c r="C5" s="10"/>
      <c r="D5" s="11"/>
      <c r="E5" s="11"/>
      <c r="F5" s="12"/>
      <c r="G5" s="12"/>
      <c r="H5" s="13"/>
      <c r="I5" s="12"/>
      <c r="J5" s="12"/>
      <c r="K5" s="12"/>
      <c r="L5" s="12"/>
      <c r="M5" s="12"/>
      <c r="N5" s="12"/>
      <c r="O5" s="12"/>
      <c r="P5" s="12"/>
      <c r="Q5" s="12"/>
    </row>
    <row r="6" spans="1:17" x14ac:dyDescent="0.25">
      <c r="A6" s="14" t="s">
        <v>10</v>
      </c>
      <c r="B6" s="15">
        <f>COUNTIF(C11:C$2000,"All Pass")</f>
        <v>116</v>
      </c>
      <c r="C6" s="16"/>
      <c r="D6" s="16"/>
      <c r="E6" s="16"/>
      <c r="F6" s="17" t="s">
        <v>11</v>
      </c>
      <c r="G6" s="17" t="s">
        <v>47</v>
      </c>
      <c r="H6" s="18" t="s">
        <v>48</v>
      </c>
      <c r="I6" s="17" t="s">
        <v>49</v>
      </c>
      <c r="J6" s="17" t="s">
        <v>50</v>
      </c>
      <c r="K6" s="17" t="s">
        <v>51</v>
      </c>
      <c r="L6" s="17" t="s">
        <v>52</v>
      </c>
      <c r="M6" s="17" t="s">
        <v>53</v>
      </c>
      <c r="N6" s="17" t="s">
        <v>54</v>
      </c>
      <c r="O6" s="17" t="s">
        <v>55</v>
      </c>
      <c r="P6" s="17" t="s">
        <v>56</v>
      </c>
      <c r="Q6" s="17" t="s">
        <v>57</v>
      </c>
    </row>
    <row r="7" spans="1:17" x14ac:dyDescent="0.25">
      <c r="A7" s="14" t="s">
        <v>20</v>
      </c>
      <c r="B7" s="15">
        <f>COUNTIF(C11:C$2000,"ND")</f>
        <v>0</v>
      </c>
      <c r="C7" s="16"/>
      <c r="D7" s="16"/>
      <c r="E7" s="16"/>
      <c r="F7" s="17" t="s">
        <v>21</v>
      </c>
      <c r="G7" s="17" t="s">
        <v>58</v>
      </c>
      <c r="H7" s="18" t="s">
        <v>59</v>
      </c>
      <c r="I7" s="17" t="s">
        <v>60</v>
      </c>
      <c r="J7" s="17" t="s">
        <v>61</v>
      </c>
      <c r="K7" s="17" t="s">
        <v>62</v>
      </c>
      <c r="L7" s="17" t="s">
        <v>63</v>
      </c>
      <c r="M7" s="17" t="s">
        <v>64</v>
      </c>
      <c r="N7" s="17" t="s">
        <v>65</v>
      </c>
      <c r="O7" s="17" t="s">
        <v>66</v>
      </c>
      <c r="P7" s="17" t="s">
        <v>59</v>
      </c>
      <c r="Q7" s="17" t="s">
        <v>22</v>
      </c>
    </row>
    <row r="8" spans="1:17" x14ac:dyDescent="0.25">
      <c r="A8" s="14" t="s">
        <v>28</v>
      </c>
      <c r="B8" s="15">
        <f>B5-B6</f>
        <v>0</v>
      </c>
      <c r="C8" s="16"/>
      <c r="D8" s="16"/>
      <c r="E8" s="16"/>
      <c r="F8" s="17" t="s">
        <v>29</v>
      </c>
      <c r="G8" s="17" t="s">
        <v>30</v>
      </c>
      <c r="H8" s="18" t="s">
        <v>31</v>
      </c>
      <c r="I8" s="17" t="s">
        <v>32</v>
      </c>
      <c r="J8" s="17" t="s">
        <v>33</v>
      </c>
      <c r="K8" s="17" t="s">
        <v>34</v>
      </c>
      <c r="L8" s="17" t="s">
        <v>34</v>
      </c>
      <c r="M8" s="17" t="s">
        <v>36</v>
      </c>
      <c r="N8" s="17" t="s">
        <v>36</v>
      </c>
      <c r="O8" s="17" t="s">
        <v>36</v>
      </c>
      <c r="P8" s="17" t="s">
        <v>37</v>
      </c>
      <c r="Q8" s="17" t="s">
        <v>67</v>
      </c>
    </row>
    <row r="9" spans="1:17" x14ac:dyDescent="0.25">
      <c r="A9" s="16" t="s">
        <v>38</v>
      </c>
      <c r="B9" s="16" t="s">
        <v>39</v>
      </c>
      <c r="C9" s="16" t="s">
        <v>40</v>
      </c>
      <c r="D9" s="16" t="s">
        <v>41</v>
      </c>
      <c r="E9" s="16" t="s">
        <v>42</v>
      </c>
      <c r="F9" s="17" t="s">
        <v>68</v>
      </c>
      <c r="G9" s="17"/>
      <c r="H9" s="19"/>
      <c r="I9" s="17"/>
      <c r="J9" s="17"/>
      <c r="K9" s="17"/>
      <c r="L9" s="17"/>
      <c r="M9" s="17" t="s">
        <v>69</v>
      </c>
      <c r="N9" s="17" t="s">
        <v>44</v>
      </c>
      <c r="O9" s="17" t="s">
        <v>70</v>
      </c>
      <c r="P9" s="17"/>
      <c r="Q9" s="17"/>
    </row>
    <row r="10" spans="1:17" x14ac:dyDescent="0.25">
      <c r="A10" s="29"/>
      <c r="B10" s="30"/>
      <c r="C10" s="31"/>
      <c r="D10" s="31"/>
      <c r="E10" s="32"/>
      <c r="F10" s="33"/>
      <c r="G10" s="34"/>
      <c r="H10" s="35"/>
      <c r="I10" s="35"/>
      <c r="J10" s="33"/>
      <c r="K10" s="35"/>
      <c r="L10" s="34"/>
      <c r="M10" s="36"/>
      <c r="N10" s="37"/>
      <c r="O10" s="37"/>
      <c r="P10" s="37"/>
      <c r="Q10" s="37"/>
    </row>
    <row r="11" spans="1:17" x14ac:dyDescent="0.25">
      <c r="B11" s="22">
        <v>2</v>
      </c>
      <c r="C11" s="22" t="s">
        <v>45</v>
      </c>
      <c r="D11" s="22"/>
      <c r="E11" s="22">
        <v>1</v>
      </c>
      <c r="F11" s="22">
        <v>2.5150000000000001</v>
      </c>
      <c r="G11" s="24">
        <v>5.5819999999999997E-5</v>
      </c>
      <c r="H11" s="24">
        <v>4.1400000000000003E-7</v>
      </c>
      <c r="I11" s="24">
        <v>1.303E-4</v>
      </c>
      <c r="J11" s="24">
        <v>1.2779999999999999E-6</v>
      </c>
      <c r="K11" s="24">
        <v>1.5629999999999999</v>
      </c>
      <c r="L11" s="24">
        <v>1.5609999999999999</v>
      </c>
      <c r="M11" s="24">
        <v>3.5899999999999999E-3</v>
      </c>
      <c r="N11" s="24">
        <v>3.5600000000000002E-3</v>
      </c>
      <c r="O11" s="24">
        <v>2.0000000000000002E-5</v>
      </c>
      <c r="P11" s="24">
        <v>2.8610000000000002E-6</v>
      </c>
      <c r="Q11" s="24">
        <v>2.442E-5</v>
      </c>
    </row>
    <row r="12" spans="1:17" x14ac:dyDescent="0.25">
      <c r="B12" s="22">
        <v>6</v>
      </c>
      <c r="C12" s="22" t="s">
        <v>45</v>
      </c>
      <c r="D12" s="22"/>
      <c r="E12" s="22">
        <v>1</v>
      </c>
      <c r="F12" s="22">
        <v>2.3130000000000002</v>
      </c>
      <c r="G12" s="24">
        <v>2.9369999999999998E-5</v>
      </c>
      <c r="H12" s="24">
        <v>2.5620000000000003E-7</v>
      </c>
      <c r="I12" s="24">
        <v>6.8249999999999992E-5</v>
      </c>
      <c r="J12" s="24">
        <v>7.7960000000000002E-7</v>
      </c>
      <c r="K12" s="24">
        <v>1.591</v>
      </c>
      <c r="L12" s="24">
        <v>1.589</v>
      </c>
      <c r="M12" s="24">
        <v>3.63E-3</v>
      </c>
      <c r="N12" s="24">
        <v>3.6099999999999999E-3</v>
      </c>
      <c r="O12" s="24">
        <v>2.0000000000000002E-5</v>
      </c>
      <c r="P12" s="24">
        <v>1.2559999999999999E-6</v>
      </c>
      <c r="Q12" s="24">
        <v>1.4109999999999999E-5</v>
      </c>
    </row>
    <row r="13" spans="1:17" x14ac:dyDescent="0.25">
      <c r="B13" s="22">
        <v>9</v>
      </c>
      <c r="C13" s="22" t="s">
        <v>45</v>
      </c>
      <c r="D13" s="22"/>
      <c r="E13" s="22">
        <v>1</v>
      </c>
      <c r="F13" s="22">
        <v>2.34</v>
      </c>
      <c r="G13" s="24">
        <v>4.2289999999999997E-5</v>
      </c>
      <c r="H13" s="24">
        <v>4.9589999999999999E-7</v>
      </c>
      <c r="I13" s="24">
        <v>9.337999999999999E-5</v>
      </c>
      <c r="J13" s="24">
        <v>1.6169999999999999E-6</v>
      </c>
      <c r="K13" s="24">
        <v>1.6319999999999999</v>
      </c>
      <c r="L13" s="24">
        <v>1.6279999999999999</v>
      </c>
      <c r="M13" s="24">
        <v>3.7200000000000002E-3</v>
      </c>
      <c r="N13" s="24">
        <v>3.7100000000000002E-3</v>
      </c>
      <c r="O13" s="24">
        <v>2.0000000000000002E-5</v>
      </c>
      <c r="P13" s="24">
        <v>2.7410000000000001E-6</v>
      </c>
      <c r="Q13" s="24">
        <v>1.9809999999999998E-5</v>
      </c>
    </row>
    <row r="14" spans="1:17" x14ac:dyDescent="0.25">
      <c r="B14" s="22">
        <v>13</v>
      </c>
      <c r="C14" s="22" t="s">
        <v>45</v>
      </c>
      <c r="D14" s="22"/>
      <c r="E14" s="22">
        <v>1</v>
      </c>
      <c r="F14" s="22">
        <v>2.6589999999999998</v>
      </c>
      <c r="G14" s="24">
        <v>1.058E-4</v>
      </c>
      <c r="H14" s="24">
        <v>5.806000000000001E-7</v>
      </c>
      <c r="I14" s="24">
        <v>2.3349999999999998E-4</v>
      </c>
      <c r="J14" s="24">
        <v>1.226E-6</v>
      </c>
      <c r="K14" s="24">
        <v>1.4830000000000001</v>
      </c>
      <c r="L14" s="24">
        <v>1.4830000000000001</v>
      </c>
      <c r="M14" s="24">
        <v>3.7300000000000002E-3</v>
      </c>
      <c r="N14" s="24">
        <v>3.7200000000000002E-3</v>
      </c>
      <c r="O14" s="24">
        <v>2.0000000000000002E-5</v>
      </c>
      <c r="P14" s="24">
        <v>4.5549999999999996E-6</v>
      </c>
      <c r="Q14" s="24">
        <v>4.5619999999999994E-5</v>
      </c>
    </row>
    <row r="15" spans="1:17" x14ac:dyDescent="0.25">
      <c r="B15" s="22">
        <v>16</v>
      </c>
      <c r="C15" s="22" t="s">
        <v>45</v>
      </c>
      <c r="D15" s="22"/>
      <c r="E15" s="22">
        <v>1</v>
      </c>
      <c r="F15" s="22">
        <v>2.484</v>
      </c>
      <c r="G15" s="24">
        <v>4.5059999999999999E-5</v>
      </c>
      <c r="H15" s="24">
        <v>3.0780000000000004E-7</v>
      </c>
      <c r="I15" s="24">
        <v>1.0279999999999999E-4</v>
      </c>
      <c r="J15" s="24">
        <v>1.1089999999999999E-6</v>
      </c>
      <c r="K15" s="24">
        <v>1.5920000000000001</v>
      </c>
      <c r="L15" s="24">
        <v>1.5920000000000001</v>
      </c>
      <c r="M15" s="24">
        <v>3.5499999999999998E-3</v>
      </c>
      <c r="N15" s="24">
        <v>3.5400000000000002E-3</v>
      </c>
      <c r="O15" s="24">
        <v>2.0000000000000002E-5</v>
      </c>
      <c r="P15" s="24">
        <v>1.6659999999999998E-6</v>
      </c>
      <c r="Q15" s="24">
        <v>2.0449999999999999E-5</v>
      </c>
    </row>
    <row r="16" spans="1:17" x14ac:dyDescent="0.25">
      <c r="B16" s="22">
        <v>17</v>
      </c>
      <c r="C16" s="22" t="s">
        <v>45</v>
      </c>
      <c r="D16" s="22"/>
      <c r="E16" s="22">
        <v>1</v>
      </c>
      <c r="F16" s="22">
        <v>2.5739999999999998</v>
      </c>
      <c r="G16" s="24">
        <v>6.5060000000000004E-5</v>
      </c>
      <c r="H16" s="24">
        <v>4.6170000000000001E-7</v>
      </c>
      <c r="I16" s="24">
        <v>1.5199999999999998E-4</v>
      </c>
      <c r="J16" s="24">
        <v>1.3340000000000001E-6</v>
      </c>
      <c r="K16" s="24">
        <v>1.5409999999999999</v>
      </c>
      <c r="L16" s="24">
        <v>1.5389999999999999</v>
      </c>
      <c r="M16" s="24">
        <v>3.6000000000000003E-3</v>
      </c>
      <c r="N16" s="24">
        <v>3.5899999999999999E-3</v>
      </c>
      <c r="O16" s="24">
        <v>2.0000000000000002E-5</v>
      </c>
      <c r="P16" s="24">
        <v>3.2259999999999997E-6</v>
      </c>
      <c r="Q16" s="24">
        <v>2.8909999999999999E-5</v>
      </c>
    </row>
    <row r="17" spans="2:17" x14ac:dyDescent="0.25">
      <c r="B17" s="22">
        <v>18</v>
      </c>
      <c r="C17" s="22" t="s">
        <v>45</v>
      </c>
      <c r="D17" s="22"/>
      <c r="E17" s="22">
        <v>1</v>
      </c>
      <c r="F17" s="22">
        <v>2.4159999999999999</v>
      </c>
      <c r="G17" s="24">
        <v>4.0779999999999999E-5</v>
      </c>
      <c r="H17" s="24">
        <v>3.8450000000000004E-7</v>
      </c>
      <c r="I17" s="24">
        <v>9.2700000000000004E-5</v>
      </c>
      <c r="J17" s="24">
        <v>1.1819999999999999E-6</v>
      </c>
      <c r="K17" s="24">
        <v>1.619</v>
      </c>
      <c r="L17" s="24">
        <v>1.6160000000000001</v>
      </c>
      <c r="M17" s="24">
        <v>3.64E-3</v>
      </c>
      <c r="N17" s="24">
        <v>3.63E-3</v>
      </c>
      <c r="O17" s="24">
        <v>2.0000000000000002E-5</v>
      </c>
      <c r="P17" s="24">
        <v>1.9230000000000001E-6</v>
      </c>
      <c r="Q17" s="24">
        <v>1.9149999999999998E-5</v>
      </c>
    </row>
    <row r="18" spans="2:17" x14ac:dyDescent="0.25">
      <c r="B18" s="22">
        <v>20</v>
      </c>
      <c r="C18" s="22" t="s">
        <v>45</v>
      </c>
      <c r="D18" s="22"/>
      <c r="E18" s="22">
        <v>1</v>
      </c>
      <c r="F18" s="22">
        <v>2.5190000000000001</v>
      </c>
      <c r="G18" s="24">
        <v>1.1859999999999998E-4</v>
      </c>
      <c r="H18" s="24">
        <v>8.7030000000000006E-7</v>
      </c>
      <c r="I18" s="24">
        <v>2.6479999999999999E-4</v>
      </c>
      <c r="J18" s="24">
        <v>1.6859999999999998E-6</v>
      </c>
      <c r="K18" s="24">
        <v>1.502</v>
      </c>
      <c r="L18" s="24">
        <v>1.502</v>
      </c>
      <c r="M18" s="24">
        <v>3.8900000000000002E-3</v>
      </c>
      <c r="N18" s="24">
        <v>3.8799999999999998E-3</v>
      </c>
      <c r="O18" s="24">
        <v>3.0000000000000001E-5</v>
      </c>
      <c r="P18" s="24">
        <v>6.7880000000000001E-6</v>
      </c>
      <c r="Q18" s="24">
        <v>5.1199999999999998E-5</v>
      </c>
    </row>
    <row r="19" spans="2:17" x14ac:dyDescent="0.25">
      <c r="B19" s="22">
        <v>21</v>
      </c>
      <c r="C19" s="22" t="s">
        <v>45</v>
      </c>
      <c r="D19" s="22"/>
      <c r="E19" s="22">
        <v>1</v>
      </c>
      <c r="F19" s="22">
        <v>2.3679999999999999</v>
      </c>
      <c r="G19" s="24">
        <v>3.803E-5</v>
      </c>
      <c r="H19" s="24">
        <v>3.8640000000000002E-7</v>
      </c>
      <c r="I19" s="24">
        <v>8.4779999999999998E-5</v>
      </c>
      <c r="J19" s="24">
        <v>1.1349999999999999E-6</v>
      </c>
      <c r="K19" s="24">
        <v>1.599</v>
      </c>
      <c r="L19" s="24">
        <v>1.5960000000000001</v>
      </c>
      <c r="M19" s="24">
        <v>3.7100000000000002E-3</v>
      </c>
      <c r="N19" s="24">
        <v>3.6800000000000001E-3</v>
      </c>
      <c r="O19" s="24">
        <v>2.0000000000000002E-5</v>
      </c>
      <c r="P19" s="24">
        <v>1.7849999999999999E-6</v>
      </c>
      <c r="Q19" s="24">
        <v>1.8899999999999999E-5</v>
      </c>
    </row>
    <row r="20" spans="2:17" x14ac:dyDescent="0.25">
      <c r="B20" s="22">
        <v>23</v>
      </c>
      <c r="C20" s="22" t="s">
        <v>45</v>
      </c>
      <c r="D20" s="22"/>
      <c r="E20" s="22">
        <v>1</v>
      </c>
      <c r="F20" s="22">
        <v>2.42</v>
      </c>
      <c r="G20" s="24">
        <v>8.2329999999999993E-5</v>
      </c>
      <c r="H20" s="24">
        <v>7.399E-7</v>
      </c>
      <c r="I20" s="24">
        <v>1.7459999999999999E-4</v>
      </c>
      <c r="J20" s="24">
        <v>1.9419999999999998E-6</v>
      </c>
      <c r="K20" s="24">
        <v>1.577</v>
      </c>
      <c r="L20" s="24">
        <v>1.5780000000000001</v>
      </c>
      <c r="M20" s="24">
        <v>3.6000000000000003E-3</v>
      </c>
      <c r="N20" s="24">
        <v>3.5800000000000003E-3</v>
      </c>
      <c r="O20" s="24">
        <v>2.0000000000000002E-5</v>
      </c>
      <c r="P20" s="24">
        <v>4.0589999999999996E-6</v>
      </c>
      <c r="Q20" s="24">
        <v>3.977E-5</v>
      </c>
    </row>
    <row r="21" spans="2:17" x14ac:dyDescent="0.25">
      <c r="B21" s="22">
        <v>24</v>
      </c>
      <c r="C21" s="22" t="s">
        <v>45</v>
      </c>
      <c r="D21" s="22"/>
      <c r="E21" s="22">
        <v>1</v>
      </c>
      <c r="F21" s="22">
        <v>2.34</v>
      </c>
      <c r="G21" s="24">
        <v>4.4119999999999998E-5</v>
      </c>
      <c r="H21" s="24">
        <v>3.2610000000000004E-7</v>
      </c>
      <c r="I21" s="24">
        <v>1.015E-4</v>
      </c>
      <c r="J21" s="24">
        <v>8.865E-7</v>
      </c>
      <c r="K21" s="24">
        <v>1.51</v>
      </c>
      <c r="L21" s="24">
        <v>1.51</v>
      </c>
      <c r="M21" s="24">
        <v>4.0000000000000001E-3</v>
      </c>
      <c r="N21" s="24">
        <v>4.0000000000000001E-3</v>
      </c>
      <c r="O21" s="24">
        <v>2.0000000000000002E-5</v>
      </c>
      <c r="P21" s="24">
        <v>2.103E-6</v>
      </c>
      <c r="Q21" s="24">
        <v>2.0909999999999998E-5</v>
      </c>
    </row>
    <row r="22" spans="2:17" x14ac:dyDescent="0.25">
      <c r="B22" s="22">
        <v>25</v>
      </c>
      <c r="C22" s="22" t="s">
        <v>45</v>
      </c>
      <c r="D22" s="22"/>
      <c r="E22" s="22">
        <v>1</v>
      </c>
      <c r="F22" s="22">
        <v>2.4430000000000001</v>
      </c>
      <c r="G22" s="24">
        <v>3.8130000000000003E-5</v>
      </c>
      <c r="H22" s="24">
        <v>3.3860000000000003E-7</v>
      </c>
      <c r="I22" s="24">
        <v>8.4339999999999995E-5</v>
      </c>
      <c r="J22" s="24">
        <v>9.3330000000000003E-7</v>
      </c>
      <c r="K22" s="24">
        <v>1.524</v>
      </c>
      <c r="L22" s="24">
        <v>1.524</v>
      </c>
      <c r="M22" s="24">
        <v>3.6099999999999999E-3</v>
      </c>
      <c r="N22" s="24">
        <v>3.6200000000000004E-3</v>
      </c>
      <c r="O22" s="24">
        <v>2.0000000000000002E-5</v>
      </c>
      <c r="P22" s="24">
        <v>2.1629999999999999E-6</v>
      </c>
      <c r="Q22" s="24">
        <v>1.8199999999999999E-5</v>
      </c>
    </row>
    <row r="23" spans="2:17" x14ac:dyDescent="0.25">
      <c r="B23" s="22">
        <v>26</v>
      </c>
      <c r="C23" s="22" t="s">
        <v>45</v>
      </c>
      <c r="D23" s="22"/>
      <c r="E23" s="22">
        <v>1</v>
      </c>
      <c r="F23" s="22">
        <v>2.5139999999999998</v>
      </c>
      <c r="G23" s="24">
        <v>8.8579999999999996E-5</v>
      </c>
      <c r="H23" s="24">
        <v>6.455E-7</v>
      </c>
      <c r="I23" s="24">
        <v>1.9269999999999997E-4</v>
      </c>
      <c r="J23" s="24">
        <v>1.677E-6</v>
      </c>
      <c r="K23" s="24">
        <v>1.5309999999999999</v>
      </c>
      <c r="L23" s="24">
        <v>1.532</v>
      </c>
      <c r="M23" s="24">
        <v>3.7000000000000002E-3</v>
      </c>
      <c r="N23" s="24">
        <v>3.7000000000000002E-3</v>
      </c>
      <c r="O23" s="24">
        <v>2.0000000000000002E-5</v>
      </c>
      <c r="P23" s="24">
        <v>4.0860000000000004E-6</v>
      </c>
      <c r="Q23" s="24">
        <v>3.9299999999999993E-5</v>
      </c>
    </row>
    <row r="24" spans="2:17" x14ac:dyDescent="0.25">
      <c r="B24" s="22">
        <v>29</v>
      </c>
      <c r="C24" s="22" t="s">
        <v>45</v>
      </c>
      <c r="D24" s="22"/>
      <c r="E24" s="22">
        <v>1</v>
      </c>
      <c r="F24" s="22">
        <v>2.4710000000000001</v>
      </c>
      <c r="G24" s="24">
        <v>6.8749999999999991E-5</v>
      </c>
      <c r="H24" s="24">
        <v>3.8089999999999998E-7</v>
      </c>
      <c r="I24" s="24">
        <v>1.774E-4</v>
      </c>
      <c r="J24" s="24">
        <v>1.088E-6</v>
      </c>
      <c r="K24" s="24">
        <v>1.534</v>
      </c>
      <c r="L24" s="24">
        <v>1.5349999999999999</v>
      </c>
      <c r="M24" s="24">
        <v>3.8799999999999998E-3</v>
      </c>
      <c r="N24" s="24">
        <v>3.8799999999999998E-3</v>
      </c>
      <c r="O24" s="24">
        <v>2.0000000000000002E-5</v>
      </c>
      <c r="P24" s="24">
        <v>2.4590000000000001E-6</v>
      </c>
      <c r="Q24" s="24">
        <v>2.9449999999999998E-5</v>
      </c>
    </row>
    <row r="25" spans="2:17" x14ac:dyDescent="0.25">
      <c r="B25" s="22">
        <v>31</v>
      </c>
      <c r="C25" s="22" t="s">
        <v>45</v>
      </c>
      <c r="D25" s="22"/>
      <c r="E25" s="22">
        <v>1</v>
      </c>
      <c r="F25" s="22">
        <v>2.4020000000000001</v>
      </c>
      <c r="G25" s="24">
        <v>4.2379999999999997E-5</v>
      </c>
      <c r="H25" s="24">
        <v>3.2160000000000002E-7</v>
      </c>
      <c r="I25" s="24">
        <v>1.0119999999999999E-4</v>
      </c>
      <c r="J25" s="24">
        <v>1.02E-6</v>
      </c>
      <c r="K25" s="24">
        <v>1.607</v>
      </c>
      <c r="L25" s="24">
        <v>1.6060000000000001</v>
      </c>
      <c r="M25" s="24">
        <v>3.5800000000000003E-3</v>
      </c>
      <c r="N25" s="24">
        <v>3.5800000000000003E-3</v>
      </c>
      <c r="O25" s="24">
        <v>2.0000000000000002E-5</v>
      </c>
      <c r="P25" s="24">
        <v>1.8799999999999998E-6</v>
      </c>
      <c r="Q25" s="24">
        <v>1.9359999999999998E-5</v>
      </c>
    </row>
    <row r="26" spans="2:17" x14ac:dyDescent="0.25">
      <c r="B26" s="22">
        <v>33</v>
      </c>
      <c r="C26" s="22" t="s">
        <v>45</v>
      </c>
      <c r="D26" s="22"/>
      <c r="E26" s="22">
        <v>1</v>
      </c>
      <c r="F26" s="22">
        <v>2.2909999999999999</v>
      </c>
      <c r="G26" s="24">
        <v>3.8219999999999997E-5</v>
      </c>
      <c r="H26" s="24">
        <v>3.1910000000000004E-7</v>
      </c>
      <c r="I26" s="24">
        <v>8.6760000000000003E-5</v>
      </c>
      <c r="J26" s="24">
        <v>9.5180000000000004E-7</v>
      </c>
      <c r="K26" s="24">
        <v>1.577</v>
      </c>
      <c r="L26" s="24">
        <v>1.577</v>
      </c>
      <c r="M26" s="24">
        <v>3.81E-3</v>
      </c>
      <c r="N26" s="24">
        <v>3.79E-3</v>
      </c>
      <c r="O26" s="24">
        <v>2.0000000000000002E-5</v>
      </c>
      <c r="P26" s="24">
        <v>1.6299999999999999E-6</v>
      </c>
      <c r="Q26" s="24">
        <v>1.8300000000000001E-5</v>
      </c>
    </row>
    <row r="27" spans="2:17" x14ac:dyDescent="0.25">
      <c r="B27" s="22">
        <v>40</v>
      </c>
      <c r="C27" s="22" t="s">
        <v>45</v>
      </c>
      <c r="D27" s="22"/>
      <c r="E27" s="22">
        <v>1</v>
      </c>
      <c r="F27" s="22">
        <v>2.3959999999999999</v>
      </c>
      <c r="G27" s="24">
        <v>5.003E-5</v>
      </c>
      <c r="H27" s="24">
        <v>3.629E-7</v>
      </c>
      <c r="I27" s="24">
        <v>1.165E-4</v>
      </c>
      <c r="J27" s="24">
        <v>1.2279999999999999E-6</v>
      </c>
      <c r="K27" s="24">
        <v>1.603</v>
      </c>
      <c r="L27" s="24">
        <v>1.599</v>
      </c>
      <c r="M27" s="24">
        <v>3.6099999999999999E-3</v>
      </c>
      <c r="N27" s="24">
        <v>3.6099999999999999E-3</v>
      </c>
      <c r="O27" s="24">
        <v>3.0000000000000001E-5</v>
      </c>
      <c r="P27" s="24">
        <v>2.1739999999999999E-6</v>
      </c>
      <c r="Q27" s="24">
        <v>2.2649999999999998E-5</v>
      </c>
    </row>
    <row r="28" spans="2:17" x14ac:dyDescent="0.25">
      <c r="B28" s="22">
        <v>41</v>
      </c>
      <c r="C28" s="22" t="s">
        <v>45</v>
      </c>
      <c r="D28" s="22"/>
      <c r="E28" s="22">
        <v>1</v>
      </c>
      <c r="F28" s="22">
        <v>2.39</v>
      </c>
      <c r="G28" s="24">
        <v>3.012E-5</v>
      </c>
      <c r="H28" s="24">
        <v>3.5689999999999997E-7</v>
      </c>
      <c r="I28" s="24">
        <v>7.1929999999999997E-5</v>
      </c>
      <c r="J28" s="24">
        <v>1.1399999999999999E-6</v>
      </c>
      <c r="K28" s="24">
        <v>1.6459999999999999</v>
      </c>
      <c r="L28" s="24">
        <v>1.6439999999999999</v>
      </c>
      <c r="M28" s="24">
        <v>3.5099999999999997E-3</v>
      </c>
      <c r="N28" s="24">
        <v>3.4900000000000005E-3</v>
      </c>
      <c r="O28" s="24">
        <v>3.0000000000000001E-5</v>
      </c>
      <c r="P28" s="24">
        <v>1.984E-6</v>
      </c>
      <c r="Q28" s="24">
        <v>1.433E-5</v>
      </c>
    </row>
    <row r="29" spans="2:17" x14ac:dyDescent="0.25">
      <c r="B29" s="22">
        <v>42</v>
      </c>
      <c r="C29" s="22" t="s">
        <v>45</v>
      </c>
      <c r="D29" s="22"/>
      <c r="E29" s="22">
        <v>1</v>
      </c>
      <c r="F29" s="22">
        <v>2.4449999999999998</v>
      </c>
      <c r="G29" s="24">
        <v>4.1850000000000001E-5</v>
      </c>
      <c r="H29" s="24">
        <v>4.4110000000000005E-7</v>
      </c>
      <c r="I29" s="24">
        <v>9.3019999999999987E-5</v>
      </c>
      <c r="J29" s="24">
        <v>1.356E-6</v>
      </c>
      <c r="K29" s="24">
        <v>1.625</v>
      </c>
      <c r="L29" s="24">
        <v>1.625</v>
      </c>
      <c r="M29" s="24">
        <v>3.63E-3</v>
      </c>
      <c r="N29" s="24">
        <v>3.6099999999999999E-3</v>
      </c>
      <c r="O29" s="24">
        <v>2.0000000000000002E-5</v>
      </c>
      <c r="P29" s="24">
        <v>2.181E-6</v>
      </c>
      <c r="Q29" s="24">
        <v>1.9649999999999997E-5</v>
      </c>
    </row>
    <row r="30" spans="2:17" x14ac:dyDescent="0.25">
      <c r="B30" s="22">
        <v>44</v>
      </c>
      <c r="C30" s="22" t="s">
        <v>45</v>
      </c>
      <c r="D30" s="22"/>
      <c r="E30" s="22">
        <v>1</v>
      </c>
      <c r="F30" s="22">
        <v>2.5369999999999999</v>
      </c>
      <c r="G30" s="24">
        <v>8.7789999999999998E-5</v>
      </c>
      <c r="H30" s="24">
        <v>7.4310000000000003E-7</v>
      </c>
      <c r="I30" s="24">
        <v>1.8889999999999998E-4</v>
      </c>
      <c r="J30" s="24">
        <v>1.6160000000000001E-6</v>
      </c>
      <c r="K30" s="24">
        <v>1.5349999999999999</v>
      </c>
      <c r="L30" s="24">
        <v>1.536</v>
      </c>
      <c r="M30" s="24">
        <v>3.6000000000000003E-3</v>
      </c>
      <c r="N30" s="24">
        <v>3.5800000000000003E-3</v>
      </c>
      <c r="O30" s="24">
        <v>2.0000000000000002E-5</v>
      </c>
      <c r="P30" s="24">
        <v>6.1340000000000001E-6</v>
      </c>
      <c r="Q30" s="24">
        <v>3.9390000000000001E-5</v>
      </c>
    </row>
    <row r="31" spans="2:17" x14ac:dyDescent="0.25">
      <c r="B31" s="22">
        <v>47</v>
      </c>
      <c r="C31" s="22" t="s">
        <v>45</v>
      </c>
      <c r="D31" s="22"/>
      <c r="E31" s="22">
        <v>1</v>
      </c>
      <c r="F31" s="22">
        <v>2.2799999999999998</v>
      </c>
      <c r="G31" s="24">
        <v>2.953E-5</v>
      </c>
      <c r="H31" s="24">
        <v>2.9620000000000002E-7</v>
      </c>
      <c r="I31" s="24">
        <v>6.5640000000000002E-5</v>
      </c>
      <c r="J31" s="24">
        <v>1.0159999999999999E-6</v>
      </c>
      <c r="K31" s="24">
        <v>1.66</v>
      </c>
      <c r="L31" s="24">
        <v>1.657</v>
      </c>
      <c r="M31" s="24">
        <v>3.6099999999999999E-3</v>
      </c>
      <c r="N31" s="24">
        <v>3.6099999999999999E-3</v>
      </c>
      <c r="O31" s="24">
        <v>2.0000000000000002E-5</v>
      </c>
      <c r="P31" s="24">
        <v>1.5099999999999999E-6</v>
      </c>
      <c r="Q31" s="24">
        <v>1.4359999999999998E-5</v>
      </c>
    </row>
    <row r="32" spans="2:17" x14ac:dyDescent="0.25">
      <c r="B32" s="22">
        <v>48</v>
      </c>
      <c r="C32" s="22" t="s">
        <v>45</v>
      </c>
      <c r="D32" s="22"/>
      <c r="E32" s="22">
        <v>1</v>
      </c>
      <c r="F32" s="22">
        <v>2.4239999999999999</v>
      </c>
      <c r="G32" s="24">
        <v>4.1879999999999999E-5</v>
      </c>
      <c r="H32" s="24">
        <v>3.5080000000000004E-7</v>
      </c>
      <c r="I32" s="24">
        <v>9.3239999999999995E-5</v>
      </c>
      <c r="J32" s="24">
        <v>1.11E-6</v>
      </c>
      <c r="K32" s="24">
        <v>1.538</v>
      </c>
      <c r="L32" s="24">
        <v>1.536</v>
      </c>
      <c r="M32" s="24">
        <v>3.8400000000000001E-3</v>
      </c>
      <c r="N32" s="24">
        <v>3.82E-3</v>
      </c>
      <c r="O32" s="24">
        <v>2.0000000000000002E-5</v>
      </c>
      <c r="P32" s="24">
        <v>1.9850000000000001E-6</v>
      </c>
      <c r="Q32" s="24">
        <v>2.014E-5</v>
      </c>
    </row>
    <row r="33" spans="2:17" x14ac:dyDescent="0.25">
      <c r="B33" s="22">
        <v>50</v>
      </c>
      <c r="C33" s="22" t="s">
        <v>45</v>
      </c>
      <c r="D33" s="22"/>
      <c r="E33" s="22">
        <v>1</v>
      </c>
      <c r="F33" s="22">
        <v>2.4710000000000001</v>
      </c>
      <c r="G33" s="24">
        <v>4.8930000000000001E-5</v>
      </c>
      <c r="H33" s="24">
        <v>3.2090000000000002E-7</v>
      </c>
      <c r="I33" s="24">
        <v>1.0899999999999999E-4</v>
      </c>
      <c r="J33" s="24">
        <v>1.0069999999999998E-6</v>
      </c>
      <c r="K33" s="24">
        <v>1.579</v>
      </c>
      <c r="L33" s="24">
        <v>1.579</v>
      </c>
      <c r="M33" s="24">
        <v>3.8500000000000001E-3</v>
      </c>
      <c r="N33" s="24">
        <v>3.8400000000000001E-3</v>
      </c>
      <c r="O33" s="24">
        <v>2.0000000000000002E-5</v>
      </c>
      <c r="P33" s="24">
        <v>1.6719999999999998E-6</v>
      </c>
      <c r="Q33" s="24">
        <v>2.2789999999999997E-5</v>
      </c>
    </row>
    <row r="34" spans="2:17" x14ac:dyDescent="0.25">
      <c r="B34" s="22">
        <v>54</v>
      </c>
      <c r="C34" s="22" t="s">
        <v>45</v>
      </c>
      <c r="D34" s="22"/>
      <c r="E34" s="22">
        <v>1</v>
      </c>
      <c r="F34" s="22">
        <v>2.4209999999999998</v>
      </c>
      <c r="G34" s="24">
        <v>6.2710000000000001E-5</v>
      </c>
      <c r="H34" s="24">
        <v>6.1050000000000002E-7</v>
      </c>
      <c r="I34" s="24">
        <v>1.3869999999999998E-4</v>
      </c>
      <c r="J34" s="24">
        <v>1.9139999999999998E-6</v>
      </c>
      <c r="K34" s="24">
        <v>1.6040000000000001</v>
      </c>
      <c r="L34" s="24">
        <v>1.6040000000000001</v>
      </c>
      <c r="M34" s="24">
        <v>3.63E-3</v>
      </c>
      <c r="N34" s="24">
        <v>3.63E-3</v>
      </c>
      <c r="O34" s="24">
        <v>2.0000000000000002E-5</v>
      </c>
      <c r="P34" s="24">
        <v>3.2939999999999997E-6</v>
      </c>
      <c r="Q34" s="24">
        <v>2.9099999999999999E-5</v>
      </c>
    </row>
    <row r="35" spans="2:17" x14ac:dyDescent="0.25">
      <c r="B35" s="22">
        <v>57</v>
      </c>
      <c r="C35" s="22" t="s">
        <v>45</v>
      </c>
      <c r="D35" s="22"/>
      <c r="E35" s="22">
        <v>1</v>
      </c>
      <c r="F35" s="22">
        <v>2.4870000000000001</v>
      </c>
      <c r="G35" s="24">
        <v>6.4579999999999995E-5</v>
      </c>
      <c r="H35" s="24">
        <v>5.4370000000000008E-7</v>
      </c>
      <c r="I35" s="24">
        <v>1.461E-4</v>
      </c>
      <c r="J35" s="24">
        <v>1.5599999999999999E-6</v>
      </c>
      <c r="K35" s="24">
        <v>1.603</v>
      </c>
      <c r="L35" s="24">
        <v>1.6020000000000001</v>
      </c>
      <c r="M35" s="24">
        <v>3.4500000000000004E-3</v>
      </c>
      <c r="N35" s="24">
        <v>3.4500000000000004E-3</v>
      </c>
      <c r="O35" s="24">
        <v>2.0000000000000002E-5</v>
      </c>
      <c r="P35" s="24">
        <v>3.2490000000000001E-6</v>
      </c>
      <c r="Q35" s="24">
        <v>3.1000000000000001E-5</v>
      </c>
    </row>
    <row r="36" spans="2:17" x14ac:dyDescent="0.25">
      <c r="B36" s="22">
        <v>58</v>
      </c>
      <c r="C36" s="22" t="s">
        <v>45</v>
      </c>
      <c r="D36" s="22"/>
      <c r="E36" s="22">
        <v>1</v>
      </c>
      <c r="F36" s="22">
        <v>2.5649999999999999</v>
      </c>
      <c r="G36" s="24">
        <v>7.6689999999999999E-5</v>
      </c>
      <c r="H36" s="24">
        <v>4.0740000000000001E-7</v>
      </c>
      <c r="I36" s="24">
        <v>1.7249999999999999E-4</v>
      </c>
      <c r="J36" s="24">
        <v>1.1359999999999998E-6</v>
      </c>
      <c r="K36" s="24">
        <v>1.5129999999999999</v>
      </c>
      <c r="L36" s="24">
        <v>1.5129999999999999</v>
      </c>
      <c r="M36" s="24">
        <v>3.8E-3</v>
      </c>
      <c r="N36" s="24">
        <v>3.7699999999999999E-3</v>
      </c>
      <c r="O36" s="24">
        <v>2.0000000000000002E-5</v>
      </c>
      <c r="P36" s="24">
        <v>2.942E-6</v>
      </c>
      <c r="Q36" s="24">
        <v>3.4249999999999999E-5</v>
      </c>
    </row>
    <row r="37" spans="2:17" x14ac:dyDescent="0.25">
      <c r="B37" s="22">
        <v>60</v>
      </c>
      <c r="C37" s="22" t="s">
        <v>45</v>
      </c>
      <c r="D37" s="22"/>
      <c r="E37" s="22">
        <v>1</v>
      </c>
      <c r="F37" s="22">
        <v>2.4289999999999998</v>
      </c>
      <c r="G37" s="24">
        <v>4.4049999999999993E-5</v>
      </c>
      <c r="H37" s="24">
        <v>3.1950000000000002E-7</v>
      </c>
      <c r="I37" s="24">
        <v>9.5969999999999991E-5</v>
      </c>
      <c r="J37" s="24">
        <v>9.2790000000000004E-7</v>
      </c>
      <c r="K37" s="24">
        <v>1.5329999999999999</v>
      </c>
      <c r="L37" s="24">
        <v>1.5329999999999999</v>
      </c>
      <c r="M37" s="24">
        <v>3.7599999999999999E-3</v>
      </c>
      <c r="N37" s="24">
        <v>3.7499999999999999E-3</v>
      </c>
      <c r="O37" s="24">
        <v>2.0000000000000002E-5</v>
      </c>
      <c r="P37" s="24">
        <v>1.7679999999999998E-6</v>
      </c>
      <c r="Q37" s="24">
        <v>2.0659999999999999E-5</v>
      </c>
    </row>
    <row r="38" spans="2:17" x14ac:dyDescent="0.25">
      <c r="B38" s="22">
        <v>65</v>
      </c>
      <c r="C38" s="22" t="s">
        <v>45</v>
      </c>
      <c r="D38" s="22"/>
      <c r="E38" s="22">
        <v>1</v>
      </c>
      <c r="F38" s="22">
        <v>2.4039999999999999</v>
      </c>
      <c r="G38" s="24">
        <v>6.0559999999999996E-5</v>
      </c>
      <c r="H38" s="24">
        <v>6.4140000000000001E-7</v>
      </c>
      <c r="I38" s="24">
        <v>1.35E-4</v>
      </c>
      <c r="J38" s="24">
        <v>2.0559999999999999E-6</v>
      </c>
      <c r="K38" s="24">
        <v>1.56</v>
      </c>
      <c r="L38" s="24">
        <v>1.56</v>
      </c>
      <c r="M38" s="24">
        <v>3.4900000000000005E-3</v>
      </c>
      <c r="N38" s="24">
        <v>3.4700000000000004E-3</v>
      </c>
      <c r="O38" s="24">
        <v>2.0000000000000002E-5</v>
      </c>
      <c r="P38" s="24">
        <v>3.5729999999999999E-6</v>
      </c>
      <c r="Q38" s="24">
        <v>2.955E-5</v>
      </c>
    </row>
    <row r="39" spans="2:17" x14ac:dyDescent="0.25">
      <c r="B39" s="22">
        <v>67</v>
      </c>
      <c r="C39" s="22" t="s">
        <v>45</v>
      </c>
      <c r="D39" s="22"/>
      <c r="E39" s="22">
        <v>1</v>
      </c>
      <c r="F39" s="22">
        <v>2.399</v>
      </c>
      <c r="G39" s="24">
        <v>4.6640000000000001E-5</v>
      </c>
      <c r="H39" s="24">
        <v>4.1139999999999999E-7</v>
      </c>
      <c r="I39" s="24">
        <v>1.0549999999999999E-4</v>
      </c>
      <c r="J39" s="24">
        <v>1.04E-6</v>
      </c>
      <c r="K39" s="24">
        <v>1.5109999999999999</v>
      </c>
      <c r="L39" s="24">
        <v>1.51</v>
      </c>
      <c r="M39" s="24">
        <v>3.9199999999999999E-3</v>
      </c>
      <c r="N39" s="24">
        <v>3.9300000000000003E-3</v>
      </c>
      <c r="O39" s="24">
        <v>3.0000000000000001E-5</v>
      </c>
      <c r="P39" s="24">
        <v>2.4319999999999998E-6</v>
      </c>
      <c r="Q39" s="24">
        <v>2.3079999999999996E-5</v>
      </c>
    </row>
    <row r="40" spans="2:17" x14ac:dyDescent="0.25">
      <c r="B40" s="22">
        <v>70</v>
      </c>
      <c r="C40" s="22" t="s">
        <v>45</v>
      </c>
      <c r="D40" s="22"/>
      <c r="E40" s="22">
        <v>1</v>
      </c>
      <c r="F40" s="22">
        <v>2.3879999999999999</v>
      </c>
      <c r="G40" s="24">
        <v>5.7769999999999997E-5</v>
      </c>
      <c r="H40" s="24">
        <v>4.6810000000000007E-7</v>
      </c>
      <c r="I40" s="24">
        <v>1.237E-4</v>
      </c>
      <c r="J40" s="24">
        <v>1.5909999999999999E-6</v>
      </c>
      <c r="K40" s="24">
        <v>1.607</v>
      </c>
      <c r="L40" s="24">
        <v>1.6060000000000001</v>
      </c>
      <c r="M40" s="24">
        <v>3.6200000000000004E-3</v>
      </c>
      <c r="N40" s="24">
        <v>3.6200000000000004E-3</v>
      </c>
      <c r="O40" s="24">
        <v>2.0000000000000002E-5</v>
      </c>
      <c r="P40" s="24">
        <v>2.835E-6</v>
      </c>
      <c r="Q40" s="24">
        <v>2.8709999999999998E-5</v>
      </c>
    </row>
    <row r="41" spans="2:17" x14ac:dyDescent="0.25">
      <c r="B41" s="22">
        <v>74</v>
      </c>
      <c r="C41" s="22" t="s">
        <v>45</v>
      </c>
      <c r="D41" s="22"/>
      <c r="E41" s="22">
        <v>1</v>
      </c>
      <c r="F41" s="22">
        <v>2.4609999999999999</v>
      </c>
      <c r="G41" s="24">
        <v>4.0920000000000001E-5</v>
      </c>
      <c r="H41" s="24">
        <v>3.4480000000000002E-7</v>
      </c>
      <c r="I41" s="24">
        <v>9.3040000000000004E-5</v>
      </c>
      <c r="J41" s="24">
        <v>1.0109999999999999E-6</v>
      </c>
      <c r="K41" s="24">
        <v>1.542</v>
      </c>
      <c r="L41" s="24">
        <v>1.54</v>
      </c>
      <c r="M41" s="24">
        <v>3.8799999999999998E-3</v>
      </c>
      <c r="N41" s="24">
        <v>3.8600000000000001E-3</v>
      </c>
      <c r="O41" s="24">
        <v>2.0000000000000002E-5</v>
      </c>
      <c r="P41" s="24">
        <v>2.1669999999999998E-6</v>
      </c>
      <c r="Q41" s="24">
        <v>1.9399999999999997E-5</v>
      </c>
    </row>
    <row r="42" spans="2:17" x14ac:dyDescent="0.25">
      <c r="B42" s="22">
        <v>76</v>
      </c>
      <c r="C42" s="22" t="s">
        <v>45</v>
      </c>
      <c r="D42" s="22"/>
      <c r="E42" s="22">
        <v>1</v>
      </c>
      <c r="F42" s="22">
        <v>2.4089999999999998</v>
      </c>
      <c r="G42" s="24">
        <v>5.7909999999999993E-5</v>
      </c>
      <c r="H42" s="24">
        <v>5.8279999999999995E-7</v>
      </c>
      <c r="I42" s="24">
        <v>1.383E-4</v>
      </c>
      <c r="J42" s="24">
        <v>1.7999999999999999E-6</v>
      </c>
      <c r="K42" s="24">
        <v>1.58</v>
      </c>
      <c r="L42" s="24">
        <v>1.579</v>
      </c>
      <c r="M42" s="24">
        <v>3.7599999999999999E-3</v>
      </c>
      <c r="N42" s="24">
        <v>3.7499999999999999E-3</v>
      </c>
      <c r="O42" s="24">
        <v>2.0000000000000002E-5</v>
      </c>
      <c r="P42" s="24">
        <v>3.5179999999999996E-6</v>
      </c>
      <c r="Q42" s="24">
        <v>2.6120000000000001E-5</v>
      </c>
    </row>
    <row r="43" spans="2:17" x14ac:dyDescent="0.25">
      <c r="B43" s="22">
        <v>77</v>
      </c>
      <c r="C43" s="22" t="s">
        <v>45</v>
      </c>
      <c r="D43" s="22"/>
      <c r="E43" s="22">
        <v>1</v>
      </c>
      <c r="F43" s="22">
        <v>2.504</v>
      </c>
      <c r="G43" s="24">
        <v>8.0229999999999996E-5</v>
      </c>
      <c r="H43" s="24">
        <v>5.3880000000000003E-7</v>
      </c>
      <c r="I43" s="24">
        <v>1.8699999999999999E-4</v>
      </c>
      <c r="J43" s="24">
        <v>1.4589999999999999E-6</v>
      </c>
      <c r="K43" s="24">
        <v>1.534</v>
      </c>
      <c r="L43" s="24">
        <v>1.5309999999999999</v>
      </c>
      <c r="M43" s="24">
        <v>3.6200000000000004E-3</v>
      </c>
      <c r="N43" s="24">
        <v>3.63E-3</v>
      </c>
      <c r="O43" s="24">
        <v>3.0000000000000001E-5</v>
      </c>
      <c r="P43" s="24">
        <v>3.7219999999999997E-6</v>
      </c>
      <c r="Q43" s="24">
        <v>3.5750000000000002E-5</v>
      </c>
    </row>
    <row r="44" spans="2:17" x14ac:dyDescent="0.25">
      <c r="B44" s="22">
        <v>80</v>
      </c>
      <c r="C44" s="22" t="s">
        <v>45</v>
      </c>
      <c r="D44" s="22"/>
      <c r="E44" s="22">
        <v>1</v>
      </c>
      <c r="F44" s="22">
        <v>2.423</v>
      </c>
      <c r="G44" s="24">
        <v>6.0889999999999995E-5</v>
      </c>
      <c r="H44" s="24">
        <v>5.7870000000000007E-7</v>
      </c>
      <c r="I44" s="24">
        <v>1.3719999999999997E-4</v>
      </c>
      <c r="J44" s="24">
        <v>1.592E-6</v>
      </c>
      <c r="K44" s="24">
        <v>1.5</v>
      </c>
      <c r="L44" s="24">
        <v>1.4990000000000001</v>
      </c>
      <c r="M44" s="24">
        <v>3.8700000000000002E-3</v>
      </c>
      <c r="N44" s="24">
        <v>3.8600000000000001E-3</v>
      </c>
      <c r="O44" s="24">
        <v>2.0000000000000002E-5</v>
      </c>
      <c r="P44" s="24">
        <v>3.1030000000000002E-6</v>
      </c>
      <c r="Q44" s="24">
        <v>2.9289999999999999E-5</v>
      </c>
    </row>
    <row r="45" spans="2:17" x14ac:dyDescent="0.25">
      <c r="B45" s="22">
        <v>81</v>
      </c>
      <c r="C45" s="22" t="s">
        <v>45</v>
      </c>
      <c r="D45" s="22"/>
      <c r="E45" s="22">
        <v>1</v>
      </c>
      <c r="F45" s="22">
        <v>2.4809999999999999</v>
      </c>
      <c r="G45" s="24">
        <v>6.2020000000000006E-5</v>
      </c>
      <c r="H45" s="24">
        <v>6.6570000000000004E-7</v>
      </c>
      <c r="I45" s="24">
        <v>1.3659999999999999E-4</v>
      </c>
      <c r="J45" s="24">
        <v>2.1129999999999999E-6</v>
      </c>
      <c r="K45" s="24">
        <v>1.605</v>
      </c>
      <c r="L45" s="24">
        <v>1.6040000000000001</v>
      </c>
      <c r="M45" s="24">
        <v>3.46E-3</v>
      </c>
      <c r="N45" s="24">
        <v>3.4500000000000004E-3</v>
      </c>
      <c r="O45" s="24">
        <v>2.0000000000000002E-5</v>
      </c>
      <c r="P45" s="24">
        <v>3.5269999999999999E-6</v>
      </c>
      <c r="Q45" s="24">
        <v>3.0349999999999999E-5</v>
      </c>
    </row>
    <row r="46" spans="2:17" x14ac:dyDescent="0.25">
      <c r="B46" s="22">
        <v>82</v>
      </c>
      <c r="C46" s="22" t="s">
        <v>45</v>
      </c>
      <c r="D46" s="22"/>
      <c r="E46" s="22">
        <v>1</v>
      </c>
      <c r="F46" s="22">
        <v>2.415</v>
      </c>
      <c r="G46" s="24">
        <v>5.1009999999999994E-5</v>
      </c>
      <c r="H46" s="24">
        <v>5.4639999999999997E-7</v>
      </c>
      <c r="I46" s="24">
        <v>1.1179999999999999E-4</v>
      </c>
      <c r="J46" s="24">
        <v>1.7539999999999999E-6</v>
      </c>
      <c r="K46" s="24">
        <v>1.609</v>
      </c>
      <c r="L46" s="24">
        <v>1.609</v>
      </c>
      <c r="M46" s="24">
        <v>3.6900000000000001E-3</v>
      </c>
      <c r="N46" s="24">
        <v>3.6800000000000001E-3</v>
      </c>
      <c r="O46" s="24">
        <v>2.0000000000000002E-5</v>
      </c>
      <c r="P46" s="24">
        <v>2.6840000000000001E-6</v>
      </c>
      <c r="Q46" s="24">
        <v>2.4379999999999997E-5</v>
      </c>
    </row>
    <row r="47" spans="2:17" x14ac:dyDescent="0.25">
      <c r="B47" s="22">
        <v>83</v>
      </c>
      <c r="C47" s="22" t="s">
        <v>45</v>
      </c>
      <c r="D47" s="22"/>
      <c r="E47" s="22">
        <v>1</v>
      </c>
      <c r="F47" s="22">
        <v>2.4609999999999999</v>
      </c>
      <c r="G47" s="24">
        <v>9.0260000000000007E-5</v>
      </c>
      <c r="H47" s="24">
        <v>6.3929999999999996E-7</v>
      </c>
      <c r="I47" s="24">
        <v>2.039E-4</v>
      </c>
      <c r="J47" s="24">
        <v>1.6359999999999999E-6</v>
      </c>
      <c r="K47" s="24">
        <v>1.5669999999999999</v>
      </c>
      <c r="L47" s="24">
        <v>1.5669999999999999</v>
      </c>
      <c r="M47" s="24">
        <v>3.48E-3</v>
      </c>
      <c r="N47" s="24">
        <v>3.4700000000000004E-3</v>
      </c>
      <c r="O47" s="24">
        <v>2.0000000000000002E-5</v>
      </c>
      <c r="P47" s="24">
        <v>4.7210000000000002E-6</v>
      </c>
      <c r="Q47" s="24">
        <v>4.1310000000000003E-5</v>
      </c>
    </row>
    <row r="48" spans="2:17" x14ac:dyDescent="0.25">
      <c r="B48" s="22">
        <v>87</v>
      </c>
      <c r="C48" s="22" t="s">
        <v>45</v>
      </c>
      <c r="D48" s="22"/>
      <c r="E48" s="22">
        <v>1</v>
      </c>
      <c r="F48" s="22">
        <v>2.5720000000000001</v>
      </c>
      <c r="G48" s="24">
        <v>6.9540000000000002E-5</v>
      </c>
      <c r="H48" s="24">
        <v>5.327000000000001E-7</v>
      </c>
      <c r="I48" s="24">
        <v>1.5249999999999999E-4</v>
      </c>
      <c r="J48" s="24">
        <v>1.5889999999999999E-6</v>
      </c>
      <c r="K48" s="24">
        <v>1.573</v>
      </c>
      <c r="L48" s="24">
        <v>1.571</v>
      </c>
      <c r="M48" s="24">
        <v>3.4900000000000005E-3</v>
      </c>
      <c r="N48" s="24">
        <v>3.4900000000000005E-3</v>
      </c>
      <c r="O48" s="24">
        <v>2.0000000000000002E-5</v>
      </c>
      <c r="P48" s="24">
        <v>1.4199999999999998E-5</v>
      </c>
      <c r="Q48" s="24">
        <v>7.0119999999999999E-5</v>
      </c>
    </row>
    <row r="49" spans="2:17" x14ac:dyDescent="0.25">
      <c r="B49" s="22">
        <v>88</v>
      </c>
      <c r="C49" s="22" t="s">
        <v>45</v>
      </c>
      <c r="D49" s="22"/>
      <c r="E49" s="22">
        <v>1</v>
      </c>
      <c r="F49" s="22">
        <v>2.4510000000000001</v>
      </c>
      <c r="G49" s="24">
        <v>1.5099999999999998E-4</v>
      </c>
      <c r="H49" s="24">
        <v>8.6360000000000008E-7</v>
      </c>
      <c r="I49" s="24">
        <v>3.388E-4</v>
      </c>
      <c r="J49" s="24">
        <v>1.9069999999999999E-6</v>
      </c>
      <c r="K49" s="24">
        <v>1.5489999999999999</v>
      </c>
      <c r="L49" s="24">
        <v>1.5489999999999999</v>
      </c>
      <c r="M49" s="24">
        <v>3.7000000000000002E-3</v>
      </c>
      <c r="N49" s="24">
        <v>3.7100000000000002E-3</v>
      </c>
      <c r="O49" s="24">
        <v>2.0000000000000002E-5</v>
      </c>
      <c r="P49" s="24">
        <v>1.0159999999999999E-5</v>
      </c>
      <c r="Q49" s="24">
        <v>6.4109999999999994E-5</v>
      </c>
    </row>
    <row r="50" spans="2:17" x14ac:dyDescent="0.25">
      <c r="B50" s="22">
        <v>89</v>
      </c>
      <c r="C50" s="22" t="s">
        <v>45</v>
      </c>
      <c r="D50" s="22"/>
      <c r="E50" s="22">
        <v>1</v>
      </c>
      <c r="F50" s="22">
        <v>2.5190000000000001</v>
      </c>
      <c r="G50" s="24">
        <v>8.7040000000000007E-5</v>
      </c>
      <c r="H50" s="24">
        <v>7.8540000000000003E-7</v>
      </c>
      <c r="I50" s="24">
        <v>1.8419999999999998E-4</v>
      </c>
      <c r="J50" s="24">
        <v>2.1169999999999998E-6</v>
      </c>
      <c r="K50" s="24">
        <v>1.5720000000000001</v>
      </c>
      <c r="L50" s="24">
        <v>1.5720000000000001</v>
      </c>
      <c r="M50" s="24">
        <v>3.5699999999999998E-3</v>
      </c>
      <c r="N50" s="24">
        <v>3.5499999999999998E-3</v>
      </c>
      <c r="O50" s="24">
        <v>2.0000000000000002E-5</v>
      </c>
      <c r="P50" s="24">
        <v>4.2230000000000001E-6</v>
      </c>
      <c r="Q50" s="24">
        <v>4.2340000000000005E-5</v>
      </c>
    </row>
    <row r="51" spans="2:17" x14ac:dyDescent="0.25">
      <c r="B51" s="22">
        <v>90</v>
      </c>
      <c r="C51" s="22" t="s">
        <v>45</v>
      </c>
      <c r="D51" s="22"/>
      <c r="E51" s="22">
        <v>1</v>
      </c>
      <c r="F51" s="22">
        <v>2.5259999999999998</v>
      </c>
      <c r="G51" s="24">
        <v>5.1919999999999998E-5</v>
      </c>
      <c r="H51" s="24">
        <v>3.1400000000000003E-7</v>
      </c>
      <c r="I51" s="24">
        <v>1.1549999999999999E-4</v>
      </c>
      <c r="J51" s="24">
        <v>9.1010000000000008E-7</v>
      </c>
      <c r="K51" s="24">
        <v>1.496</v>
      </c>
      <c r="L51" s="24">
        <v>1.4970000000000001</v>
      </c>
      <c r="M51" s="24">
        <v>3.8E-3</v>
      </c>
      <c r="N51" s="24">
        <v>3.7799999999999999E-3</v>
      </c>
      <c r="O51" s="24">
        <v>3.0000000000000001E-5</v>
      </c>
      <c r="P51" s="24">
        <v>1.9069999999999999E-6</v>
      </c>
      <c r="Q51" s="24">
        <v>2.4749999999999999E-5</v>
      </c>
    </row>
    <row r="52" spans="2:17" x14ac:dyDescent="0.25">
      <c r="B52" s="22">
        <v>91</v>
      </c>
      <c r="C52" s="22" t="s">
        <v>45</v>
      </c>
      <c r="D52" s="22"/>
      <c r="E52" s="22">
        <v>1</v>
      </c>
      <c r="F52" s="22">
        <v>2.4329999999999998</v>
      </c>
      <c r="G52" s="24">
        <v>7.0959999999999985E-5</v>
      </c>
      <c r="H52" s="24">
        <v>5.3770000000000006E-7</v>
      </c>
      <c r="I52" s="24">
        <v>1.6080000000000001E-4</v>
      </c>
      <c r="J52" s="24">
        <v>1.5039999999999999E-6</v>
      </c>
      <c r="K52" s="24">
        <v>1.5389999999999999</v>
      </c>
      <c r="L52" s="24">
        <v>1.5389999999999999</v>
      </c>
      <c r="M52" s="24">
        <v>3.6700000000000001E-3</v>
      </c>
      <c r="N52" s="24">
        <v>3.65E-3</v>
      </c>
      <c r="O52" s="24">
        <v>2.0000000000000002E-5</v>
      </c>
      <c r="P52" s="24">
        <v>3.3050000000000001E-6</v>
      </c>
      <c r="Q52" s="24">
        <v>3.3770000000000004E-5</v>
      </c>
    </row>
    <row r="53" spans="2:17" x14ac:dyDescent="0.25">
      <c r="B53" s="22">
        <v>92</v>
      </c>
      <c r="C53" s="22" t="s">
        <v>45</v>
      </c>
      <c r="D53" s="22"/>
      <c r="E53" s="22">
        <v>1</v>
      </c>
      <c r="F53" s="22">
        <v>2.379</v>
      </c>
      <c r="G53" s="24">
        <v>4.5200000000000001E-5</v>
      </c>
      <c r="H53" s="24">
        <v>3.8420000000000001E-7</v>
      </c>
      <c r="I53" s="24">
        <v>9.6279999999999993E-5</v>
      </c>
      <c r="J53" s="24">
        <v>1.1289999999999999E-6</v>
      </c>
      <c r="K53" s="24">
        <v>1.5629999999999999</v>
      </c>
      <c r="L53" s="24">
        <v>1.5609999999999999</v>
      </c>
      <c r="M53" s="24">
        <v>3.7499999999999999E-3</v>
      </c>
      <c r="N53" s="24">
        <v>3.7499999999999999E-3</v>
      </c>
      <c r="O53" s="24">
        <v>3.0000000000000001E-5</v>
      </c>
      <c r="P53" s="24">
        <v>1.9319999999999999E-6</v>
      </c>
      <c r="Q53" s="24">
        <v>2.2079999999999999E-5</v>
      </c>
    </row>
    <row r="54" spans="2:17" x14ac:dyDescent="0.25">
      <c r="B54" s="22">
        <v>98</v>
      </c>
      <c r="C54" s="22" t="s">
        <v>45</v>
      </c>
      <c r="D54" s="22"/>
      <c r="E54" s="22">
        <v>1</v>
      </c>
      <c r="F54" s="22">
        <v>2.4260000000000002</v>
      </c>
      <c r="G54" s="24">
        <v>4.2519999999999999E-5</v>
      </c>
      <c r="H54" s="24">
        <v>4.122E-7</v>
      </c>
      <c r="I54" s="24">
        <v>9.1979999999999997E-5</v>
      </c>
      <c r="J54" s="24">
        <v>1.3289999999999999E-6</v>
      </c>
      <c r="K54" s="24">
        <v>1.6240000000000001</v>
      </c>
      <c r="L54" s="24">
        <v>1.6220000000000001</v>
      </c>
      <c r="M54" s="24">
        <v>3.5699999999999998E-3</v>
      </c>
      <c r="N54" s="24">
        <v>3.5699999999999998E-3</v>
      </c>
      <c r="O54" s="24">
        <v>2.0000000000000002E-5</v>
      </c>
      <c r="P54" s="24">
        <v>1.967E-6</v>
      </c>
      <c r="Q54" s="24">
        <v>2.0599999999999999E-5</v>
      </c>
    </row>
    <row r="55" spans="2:17" x14ac:dyDescent="0.25">
      <c r="B55" s="22">
        <v>100</v>
      </c>
      <c r="C55" s="22" t="s">
        <v>45</v>
      </c>
      <c r="D55" s="22"/>
      <c r="E55" s="22">
        <v>1</v>
      </c>
      <c r="F55" s="22">
        <v>2.3479999999999999</v>
      </c>
      <c r="G55" s="24">
        <v>4.5359999999999999E-5</v>
      </c>
      <c r="H55" s="24">
        <v>4.2290000000000001E-7</v>
      </c>
      <c r="I55" s="24">
        <v>9.7150000000000003E-5</v>
      </c>
      <c r="J55" s="24">
        <v>1.209E-6</v>
      </c>
      <c r="K55" s="24">
        <v>1.629</v>
      </c>
      <c r="L55" s="24">
        <v>1.625</v>
      </c>
      <c r="M55" s="24">
        <v>3.7499999999999999E-3</v>
      </c>
      <c r="N55" s="24">
        <v>3.7400000000000003E-3</v>
      </c>
      <c r="O55" s="24">
        <v>2.0000000000000002E-5</v>
      </c>
      <c r="P55" s="24">
        <v>2.1049999999999998E-6</v>
      </c>
      <c r="Q55" s="24">
        <v>2.1710000000000001E-5</v>
      </c>
    </row>
    <row r="56" spans="2:17" x14ac:dyDescent="0.25">
      <c r="B56" s="22">
        <v>103</v>
      </c>
      <c r="C56" s="22" t="s">
        <v>45</v>
      </c>
      <c r="D56" s="22"/>
      <c r="E56" s="22">
        <v>1</v>
      </c>
      <c r="F56" s="22">
        <v>2.3119999999999998</v>
      </c>
      <c r="G56" s="24">
        <v>3.0549999999999997E-5</v>
      </c>
      <c r="H56" s="24">
        <v>3.4880000000000005E-7</v>
      </c>
      <c r="I56" s="24">
        <v>6.745E-5</v>
      </c>
      <c r="J56" s="24">
        <v>1.062E-6</v>
      </c>
      <c r="K56" s="24">
        <v>1.641</v>
      </c>
      <c r="L56" s="24">
        <v>1.6379999999999999</v>
      </c>
      <c r="M56" s="24">
        <v>3.6800000000000001E-3</v>
      </c>
      <c r="N56" s="24">
        <v>3.6700000000000001E-3</v>
      </c>
      <c r="O56" s="24">
        <v>2.0000000000000002E-5</v>
      </c>
      <c r="P56" s="24">
        <v>1.6999999999999998E-6</v>
      </c>
      <c r="Q56" s="24">
        <v>1.508E-5</v>
      </c>
    </row>
    <row r="57" spans="2:17" x14ac:dyDescent="0.25">
      <c r="B57" s="22">
        <v>104</v>
      </c>
      <c r="C57" s="22" t="s">
        <v>45</v>
      </c>
      <c r="D57" s="22"/>
      <c r="E57" s="22">
        <v>1</v>
      </c>
      <c r="F57" s="22">
        <v>2.4460000000000002</v>
      </c>
      <c r="G57" s="24">
        <v>4.108E-5</v>
      </c>
      <c r="H57" s="24">
        <v>3.1100000000000002E-7</v>
      </c>
      <c r="I57" s="24">
        <v>9.481999999999999E-5</v>
      </c>
      <c r="J57" s="24">
        <v>1.0219999999999999E-6</v>
      </c>
      <c r="K57" s="24">
        <v>1.615</v>
      </c>
      <c r="L57" s="24">
        <v>1.613</v>
      </c>
      <c r="M57" s="24">
        <v>3.63E-3</v>
      </c>
      <c r="N57" s="24">
        <v>3.6099999999999999E-3</v>
      </c>
      <c r="O57" s="24">
        <v>2.0000000000000002E-5</v>
      </c>
      <c r="P57" s="24">
        <v>1.8469999999999998E-6</v>
      </c>
      <c r="Q57" s="24">
        <v>1.8649999999999999E-5</v>
      </c>
    </row>
    <row r="58" spans="2:17" x14ac:dyDescent="0.25">
      <c r="B58" s="22">
        <v>106</v>
      </c>
      <c r="C58" s="22" t="s">
        <v>45</v>
      </c>
      <c r="D58" s="22"/>
      <c r="E58" s="22">
        <v>1</v>
      </c>
      <c r="F58" s="22">
        <v>2.3879999999999999</v>
      </c>
      <c r="G58" s="24">
        <v>3.6369999999999999E-5</v>
      </c>
      <c r="H58" s="24">
        <v>2.8300000000000003E-7</v>
      </c>
      <c r="I58" s="24">
        <v>8.1309999999999992E-5</v>
      </c>
      <c r="J58" s="24">
        <v>9.0000000000000007E-7</v>
      </c>
      <c r="K58" s="24">
        <v>1.611</v>
      </c>
      <c r="L58" s="24">
        <v>1.6120000000000001</v>
      </c>
      <c r="M58" s="24">
        <v>3.7400000000000003E-3</v>
      </c>
      <c r="N58" s="24">
        <v>3.7400000000000003E-3</v>
      </c>
      <c r="O58" s="24">
        <v>2.0000000000000002E-5</v>
      </c>
      <c r="P58" s="24">
        <v>1.4459999999999998E-6</v>
      </c>
      <c r="Q58" s="24">
        <v>1.7229999999999999E-5</v>
      </c>
    </row>
    <row r="59" spans="2:17" x14ac:dyDescent="0.25">
      <c r="B59" s="22">
        <v>109</v>
      </c>
      <c r="C59" s="22" t="s">
        <v>45</v>
      </c>
      <c r="D59" s="22"/>
      <c r="E59" s="22">
        <v>1</v>
      </c>
      <c r="F59" s="22">
        <v>2.3879999999999999</v>
      </c>
      <c r="G59" s="24">
        <v>4.002E-5</v>
      </c>
      <c r="H59" s="24">
        <v>2.8760000000000006E-7</v>
      </c>
      <c r="I59" s="24">
        <v>8.7620000000000005E-5</v>
      </c>
      <c r="J59" s="24">
        <v>8.737000000000001E-7</v>
      </c>
      <c r="K59" s="24">
        <v>1.585</v>
      </c>
      <c r="L59" s="24">
        <v>1.5840000000000001</v>
      </c>
      <c r="M59" s="24">
        <v>3.6700000000000001E-3</v>
      </c>
      <c r="N59" s="24">
        <v>3.6800000000000001E-3</v>
      </c>
      <c r="O59" s="24">
        <v>2.0000000000000002E-5</v>
      </c>
      <c r="P59" s="24">
        <v>1.5E-6</v>
      </c>
      <c r="Q59" s="24">
        <v>1.8899999999999999E-5</v>
      </c>
    </row>
    <row r="60" spans="2:17" x14ac:dyDescent="0.25">
      <c r="B60" s="22">
        <v>111</v>
      </c>
      <c r="C60" s="22" t="s">
        <v>45</v>
      </c>
      <c r="D60" s="22"/>
      <c r="E60" s="22">
        <v>1</v>
      </c>
      <c r="F60" s="22">
        <v>2.6150000000000002</v>
      </c>
      <c r="G60" s="24">
        <v>1.2959999999999998E-4</v>
      </c>
      <c r="H60" s="24">
        <v>1.1289999999999999E-6</v>
      </c>
      <c r="I60" s="24">
        <v>2.9019999999999995E-4</v>
      </c>
      <c r="J60" s="24">
        <v>1.5169999999999998E-6</v>
      </c>
      <c r="K60" s="24">
        <v>1.51</v>
      </c>
      <c r="L60" s="24">
        <v>1.508</v>
      </c>
      <c r="M60" s="24">
        <v>3.5600000000000002E-3</v>
      </c>
      <c r="N60" s="24">
        <v>3.5600000000000002E-3</v>
      </c>
      <c r="O60" s="24">
        <v>3.0000000000000001E-5</v>
      </c>
      <c r="P60" s="24">
        <v>1.0929999999999999E-5</v>
      </c>
      <c r="Q60" s="24">
        <v>5.4909999999999994E-5</v>
      </c>
    </row>
    <row r="61" spans="2:17" x14ac:dyDescent="0.25">
      <c r="B61" s="22">
        <v>112</v>
      </c>
      <c r="C61" s="22" t="s">
        <v>45</v>
      </c>
      <c r="D61" s="22"/>
      <c r="E61" s="22">
        <v>1</v>
      </c>
      <c r="F61" s="22">
        <v>2.5510000000000002</v>
      </c>
      <c r="G61" s="24">
        <v>9.1429999999999997E-5</v>
      </c>
      <c r="H61" s="24">
        <v>7.188E-7</v>
      </c>
      <c r="I61" s="24">
        <v>1.964E-4</v>
      </c>
      <c r="J61" s="24">
        <v>1.9239999999999997E-6</v>
      </c>
      <c r="K61" s="24">
        <v>1.5489999999999999</v>
      </c>
      <c r="L61" s="24">
        <v>1.55</v>
      </c>
      <c r="M61" s="24">
        <v>3.65E-3</v>
      </c>
      <c r="N61" s="24">
        <v>3.65E-3</v>
      </c>
      <c r="O61" s="24">
        <v>2.0000000000000002E-5</v>
      </c>
      <c r="P61" s="24">
        <v>5.0479999999999998E-6</v>
      </c>
      <c r="Q61" s="24">
        <v>4.1909999999999997E-5</v>
      </c>
    </row>
    <row r="62" spans="2:17" x14ac:dyDescent="0.25">
      <c r="B62" s="22">
        <v>114</v>
      </c>
      <c r="C62" s="22" t="s">
        <v>45</v>
      </c>
      <c r="D62" s="22"/>
      <c r="E62" s="22">
        <v>1</v>
      </c>
      <c r="F62" s="22">
        <v>2.4820000000000002</v>
      </c>
      <c r="G62" s="24">
        <v>5.7509999999999997E-5</v>
      </c>
      <c r="H62" s="24">
        <v>5.0230000000000004E-7</v>
      </c>
      <c r="I62" s="24">
        <v>1.3300000000000001E-4</v>
      </c>
      <c r="J62" s="24">
        <v>1.5969999999999999E-6</v>
      </c>
      <c r="K62" s="24">
        <v>1.577</v>
      </c>
      <c r="L62" s="24">
        <v>1.575</v>
      </c>
      <c r="M62" s="24">
        <v>3.5200000000000001E-3</v>
      </c>
      <c r="N62" s="24">
        <v>3.5099999999999997E-3</v>
      </c>
      <c r="O62" s="24">
        <v>2.0000000000000002E-5</v>
      </c>
      <c r="P62" s="24">
        <v>2.9579999999999999E-6</v>
      </c>
      <c r="Q62" s="24">
        <v>2.7339999999999999E-5</v>
      </c>
    </row>
    <row r="63" spans="2:17" x14ac:dyDescent="0.25">
      <c r="B63" s="22">
        <v>119</v>
      </c>
      <c r="C63" s="22" t="s">
        <v>45</v>
      </c>
      <c r="D63" s="22"/>
      <c r="E63" s="22">
        <v>1</v>
      </c>
      <c r="F63" s="22">
        <v>2.4420000000000002</v>
      </c>
      <c r="G63" s="24">
        <v>7.5359999999999997E-5</v>
      </c>
      <c r="H63" s="24">
        <v>7.5779999999999997E-7</v>
      </c>
      <c r="I63" s="24">
        <v>1.6169999999999997E-4</v>
      </c>
      <c r="J63" s="24">
        <v>2.1639999999999999E-6</v>
      </c>
      <c r="K63" s="24">
        <v>1.5960000000000001</v>
      </c>
      <c r="L63" s="24">
        <v>1.597</v>
      </c>
      <c r="M63" s="24">
        <v>3.6000000000000003E-3</v>
      </c>
      <c r="N63" s="24">
        <v>3.6000000000000003E-3</v>
      </c>
      <c r="O63" s="24">
        <v>3.0000000000000001E-5</v>
      </c>
      <c r="P63" s="24">
        <v>4.0749999999999999E-6</v>
      </c>
      <c r="Q63" s="24">
        <v>3.6119999999999993E-5</v>
      </c>
    </row>
    <row r="64" spans="2:17" x14ac:dyDescent="0.25">
      <c r="B64" s="22">
        <v>120</v>
      </c>
      <c r="C64" s="22" t="s">
        <v>45</v>
      </c>
      <c r="D64" s="22"/>
      <c r="E64" s="22">
        <v>1</v>
      </c>
      <c r="F64" s="22">
        <v>2.464</v>
      </c>
      <c r="G64" s="24">
        <v>7.887999999999999E-5</v>
      </c>
      <c r="H64" s="24">
        <v>8.962000000000001E-7</v>
      </c>
      <c r="I64" s="24">
        <v>1.6519999999999998E-4</v>
      </c>
      <c r="J64" s="24">
        <v>2.52E-6</v>
      </c>
      <c r="K64" s="24">
        <v>1.56</v>
      </c>
      <c r="L64" s="24">
        <v>1.56</v>
      </c>
      <c r="M64" s="24">
        <v>3.79E-3</v>
      </c>
      <c r="N64" s="24">
        <v>3.7799999999999999E-3</v>
      </c>
      <c r="O64" s="24">
        <v>3.0000000000000001E-5</v>
      </c>
      <c r="P64" s="24">
        <v>4.3640000000000001E-6</v>
      </c>
      <c r="Q64" s="24">
        <v>3.8109999999999999E-5</v>
      </c>
    </row>
    <row r="65" spans="2:17" x14ac:dyDescent="0.25">
      <c r="B65" s="22">
        <v>124</v>
      </c>
      <c r="C65" s="22" t="s">
        <v>45</v>
      </c>
      <c r="D65" s="22"/>
      <c r="E65" s="22">
        <v>1</v>
      </c>
      <c r="F65" s="22">
        <v>2.363</v>
      </c>
      <c r="G65" s="24">
        <v>4.6289999999999999E-5</v>
      </c>
      <c r="H65" s="24">
        <v>5.2979999999999999E-7</v>
      </c>
      <c r="I65" s="24">
        <v>1.0779999999999999E-4</v>
      </c>
      <c r="J65" s="24">
        <v>1.7749999999999997E-6</v>
      </c>
      <c r="K65" s="24">
        <v>1.603</v>
      </c>
      <c r="L65" s="24">
        <v>1.6</v>
      </c>
      <c r="M65" s="24">
        <v>3.6600000000000001E-3</v>
      </c>
      <c r="N65" s="24">
        <v>3.65E-3</v>
      </c>
      <c r="O65" s="24">
        <v>2.0000000000000002E-5</v>
      </c>
      <c r="P65" s="24">
        <v>3.1030000000000002E-6</v>
      </c>
      <c r="Q65" s="24">
        <v>2.7909999999999999E-5</v>
      </c>
    </row>
    <row r="66" spans="2:17" x14ac:dyDescent="0.25">
      <c r="B66" s="22">
        <v>127</v>
      </c>
      <c r="C66" s="22" t="s">
        <v>45</v>
      </c>
      <c r="D66" s="22"/>
      <c r="E66" s="22">
        <v>1</v>
      </c>
      <c r="F66" s="22">
        <v>2.41</v>
      </c>
      <c r="G66" s="24">
        <v>4.7649999999999999E-5</v>
      </c>
      <c r="H66" s="24">
        <v>3.1539999999999998E-7</v>
      </c>
      <c r="I66" s="24">
        <v>1.0709999999999999E-4</v>
      </c>
      <c r="J66" s="24">
        <v>8.8750000000000008E-7</v>
      </c>
      <c r="K66" s="24">
        <v>1.514</v>
      </c>
      <c r="L66" s="24">
        <v>1.5149999999999999</v>
      </c>
      <c r="M66" s="24">
        <v>3.8300000000000001E-3</v>
      </c>
      <c r="N66" s="24">
        <v>3.8300000000000001E-3</v>
      </c>
      <c r="O66" s="24">
        <v>2.0000000000000002E-5</v>
      </c>
      <c r="P66" s="24">
        <v>2.2989999999999999E-6</v>
      </c>
      <c r="Q66" s="24">
        <v>2.26E-5</v>
      </c>
    </row>
    <row r="67" spans="2:17" x14ac:dyDescent="0.25">
      <c r="B67" s="22">
        <v>128</v>
      </c>
      <c r="C67" s="22" t="s">
        <v>45</v>
      </c>
      <c r="D67" s="22"/>
      <c r="E67" s="22">
        <v>1</v>
      </c>
      <c r="F67" s="22">
        <v>2.4239999999999999</v>
      </c>
      <c r="G67" s="24">
        <v>6.0130000000000002E-5</v>
      </c>
      <c r="H67" s="24">
        <v>5.06E-7</v>
      </c>
      <c r="I67" s="24">
        <v>1.3439999999999999E-4</v>
      </c>
      <c r="J67" s="24">
        <v>1.621E-6</v>
      </c>
      <c r="K67" s="24">
        <v>1.599</v>
      </c>
      <c r="L67" s="24">
        <v>1.6</v>
      </c>
      <c r="M67" s="24">
        <v>3.64E-3</v>
      </c>
      <c r="N67" s="24">
        <v>3.63E-3</v>
      </c>
      <c r="O67" s="24">
        <v>2.0000000000000002E-5</v>
      </c>
      <c r="P67" s="24">
        <v>2.6299999999999998E-6</v>
      </c>
      <c r="Q67" s="24">
        <v>2.7909999999999999E-5</v>
      </c>
    </row>
    <row r="68" spans="2:17" x14ac:dyDescent="0.25">
      <c r="B68" s="22">
        <v>133</v>
      </c>
      <c r="C68" s="22" t="s">
        <v>45</v>
      </c>
      <c r="D68" s="22"/>
      <c r="E68" s="22">
        <v>1</v>
      </c>
      <c r="F68" s="22">
        <v>2.2909999999999999</v>
      </c>
      <c r="G68" s="24">
        <v>3.044E-5</v>
      </c>
      <c r="H68" s="24">
        <v>4.8790000000000002E-7</v>
      </c>
      <c r="I68" s="24">
        <v>6.7169999999999996E-5</v>
      </c>
      <c r="J68" s="24">
        <v>1.31E-6</v>
      </c>
      <c r="K68" s="24">
        <v>1.643</v>
      </c>
      <c r="L68" s="24">
        <v>1.641</v>
      </c>
      <c r="M68" s="24">
        <v>3.64E-3</v>
      </c>
      <c r="N68" s="24">
        <v>3.64E-3</v>
      </c>
      <c r="O68" s="24">
        <v>3.0000000000000001E-5</v>
      </c>
      <c r="P68" s="24">
        <v>1.823E-6</v>
      </c>
      <c r="Q68" s="24">
        <v>1.4829999999999999E-5</v>
      </c>
    </row>
    <row r="69" spans="2:17" x14ac:dyDescent="0.25">
      <c r="B69" s="22">
        <v>135</v>
      </c>
      <c r="C69" s="22" t="s">
        <v>45</v>
      </c>
      <c r="D69" s="22"/>
      <c r="E69" s="22">
        <v>1</v>
      </c>
      <c r="F69" s="22">
        <v>2.3929999999999998</v>
      </c>
      <c r="G69" s="24">
        <v>4.3130000000000002E-5</v>
      </c>
      <c r="H69" s="24">
        <v>4.5780000000000004E-7</v>
      </c>
      <c r="I69" s="24">
        <v>9.556E-5</v>
      </c>
      <c r="J69" s="24">
        <v>1.5399999999999999E-6</v>
      </c>
      <c r="K69" s="24">
        <v>1.6479999999999999</v>
      </c>
      <c r="L69" s="24">
        <v>1.647</v>
      </c>
      <c r="M69" s="24">
        <v>3.5899999999999999E-3</v>
      </c>
      <c r="N69" s="24">
        <v>3.5800000000000003E-3</v>
      </c>
      <c r="O69" s="24">
        <v>2.0000000000000002E-5</v>
      </c>
      <c r="P69" s="24">
        <v>2.311E-6</v>
      </c>
      <c r="Q69" s="24">
        <v>2.05E-5</v>
      </c>
    </row>
    <row r="70" spans="2:17" x14ac:dyDescent="0.25">
      <c r="B70" s="22">
        <v>136</v>
      </c>
      <c r="C70" s="22" t="s">
        <v>45</v>
      </c>
      <c r="D70" s="22"/>
      <c r="E70" s="22">
        <v>1</v>
      </c>
      <c r="F70" s="22">
        <v>2.2679999999999998</v>
      </c>
      <c r="G70" s="24">
        <v>2.976E-5</v>
      </c>
      <c r="H70" s="24">
        <v>3.8310000000000004E-7</v>
      </c>
      <c r="I70" s="24">
        <v>6.834E-5</v>
      </c>
      <c r="J70" s="24">
        <v>1.2639999999999999E-6</v>
      </c>
      <c r="K70" s="24">
        <v>1.635</v>
      </c>
      <c r="L70" s="24">
        <v>1.6339999999999999</v>
      </c>
      <c r="M70" s="24">
        <v>3.7100000000000002E-3</v>
      </c>
      <c r="N70" s="24">
        <v>3.7000000000000002E-3</v>
      </c>
      <c r="O70" s="24">
        <v>2.0000000000000002E-5</v>
      </c>
      <c r="P70" s="24">
        <v>1.8869999999999999E-6</v>
      </c>
      <c r="Q70" s="24">
        <v>1.4409999999999999E-5</v>
      </c>
    </row>
    <row r="71" spans="2:17" x14ac:dyDescent="0.25">
      <c r="B71" s="22">
        <v>137</v>
      </c>
      <c r="C71" s="22" t="s">
        <v>45</v>
      </c>
      <c r="D71" s="22"/>
      <c r="E71" s="22">
        <v>1</v>
      </c>
      <c r="F71" s="22">
        <v>2.3679999999999999</v>
      </c>
      <c r="G71" s="24">
        <v>3.8529999999999999E-5</v>
      </c>
      <c r="H71" s="24">
        <v>4.1430000000000005E-7</v>
      </c>
      <c r="I71" s="24">
        <v>8.565999999999999E-5</v>
      </c>
      <c r="J71" s="24">
        <v>1.387E-6</v>
      </c>
      <c r="K71" s="24">
        <v>1.6240000000000001</v>
      </c>
      <c r="L71" s="24">
        <v>1.625</v>
      </c>
      <c r="M71" s="24">
        <v>3.5099999999999997E-3</v>
      </c>
      <c r="N71" s="24">
        <v>3.48E-3</v>
      </c>
      <c r="O71" s="24">
        <v>2.0000000000000002E-5</v>
      </c>
      <c r="P71" s="24">
        <v>2.0760000000000001E-6</v>
      </c>
      <c r="Q71" s="24">
        <v>1.912E-5</v>
      </c>
    </row>
    <row r="72" spans="2:17" x14ac:dyDescent="0.25">
      <c r="B72" s="22">
        <v>139</v>
      </c>
      <c r="C72" s="22" t="s">
        <v>45</v>
      </c>
      <c r="D72" s="22"/>
      <c r="E72" s="22">
        <v>1</v>
      </c>
      <c r="F72" s="22">
        <v>2.3450000000000002</v>
      </c>
      <c r="G72" s="24">
        <v>4.5679999999999996E-5</v>
      </c>
      <c r="H72" s="24">
        <v>4.9550000000000006E-7</v>
      </c>
      <c r="I72" s="24">
        <v>1.054E-4</v>
      </c>
      <c r="J72" s="24">
        <v>1.6049999999999999E-6</v>
      </c>
      <c r="K72" s="24">
        <v>1.619</v>
      </c>
      <c r="L72" s="24">
        <v>1.6160000000000001</v>
      </c>
      <c r="M72" s="24">
        <v>3.5600000000000002E-3</v>
      </c>
      <c r="N72" s="24">
        <v>3.5400000000000002E-3</v>
      </c>
      <c r="O72" s="24">
        <v>2.0000000000000002E-5</v>
      </c>
      <c r="P72" s="24">
        <v>2.8719999999999998E-6</v>
      </c>
      <c r="Q72" s="24">
        <v>2.1929999999999998E-5</v>
      </c>
    </row>
    <row r="73" spans="2:17" x14ac:dyDescent="0.25">
      <c r="B73" s="22">
        <v>140</v>
      </c>
      <c r="C73" s="22" t="s">
        <v>45</v>
      </c>
      <c r="D73" s="22"/>
      <c r="E73" s="22">
        <v>1</v>
      </c>
      <c r="F73" s="22">
        <v>2.4060000000000001</v>
      </c>
      <c r="G73" s="24">
        <v>4.1289999999999999E-5</v>
      </c>
      <c r="H73" s="24">
        <v>4.8400000000000005E-7</v>
      </c>
      <c r="I73" s="24">
        <v>9.2040000000000006E-5</v>
      </c>
      <c r="J73" s="24">
        <v>1.612E-6</v>
      </c>
      <c r="K73" s="24">
        <v>1.6319999999999999</v>
      </c>
      <c r="L73" s="24">
        <v>1.63</v>
      </c>
      <c r="M73" s="24">
        <v>3.64E-3</v>
      </c>
      <c r="N73" s="24">
        <v>3.63E-3</v>
      </c>
      <c r="O73" s="24">
        <v>2.0000000000000002E-5</v>
      </c>
      <c r="P73" s="24">
        <v>2.4159999999999998E-6</v>
      </c>
      <c r="Q73" s="24">
        <v>1.9510000000000001E-5</v>
      </c>
    </row>
    <row r="74" spans="2:17" x14ac:dyDescent="0.25">
      <c r="B74" s="22">
        <v>141</v>
      </c>
      <c r="C74" s="22" t="s">
        <v>45</v>
      </c>
      <c r="D74" s="22"/>
      <c r="E74" s="22">
        <v>1</v>
      </c>
      <c r="F74" s="22">
        <v>2.3620000000000001</v>
      </c>
      <c r="G74" s="24">
        <v>3.3219999999999997E-5</v>
      </c>
      <c r="H74" s="24">
        <v>4.1769999999999999E-7</v>
      </c>
      <c r="I74" s="24">
        <v>7.5849999999999987E-5</v>
      </c>
      <c r="J74" s="24">
        <v>1.3480000000000001E-6</v>
      </c>
      <c r="K74" s="24">
        <v>1.627</v>
      </c>
      <c r="L74" s="24">
        <v>1.6240000000000001</v>
      </c>
      <c r="M74" s="24">
        <v>3.5099999999999997E-3</v>
      </c>
      <c r="N74" s="24">
        <v>3.5200000000000001E-3</v>
      </c>
      <c r="O74" s="24">
        <v>2.0000000000000002E-5</v>
      </c>
      <c r="P74" s="24">
        <v>2.1720000000000001E-6</v>
      </c>
      <c r="Q74" s="24">
        <v>1.607E-5</v>
      </c>
    </row>
    <row r="75" spans="2:17" x14ac:dyDescent="0.25">
      <c r="B75" s="22">
        <v>143</v>
      </c>
      <c r="C75" s="22" t="s">
        <v>45</v>
      </c>
      <c r="D75" s="22"/>
      <c r="E75" s="22">
        <v>1</v>
      </c>
      <c r="F75" s="22">
        <v>2.5739999999999998</v>
      </c>
      <c r="G75" s="24">
        <v>7.8069999999999989E-5</v>
      </c>
      <c r="H75" s="24">
        <v>4.0570000000000004E-7</v>
      </c>
      <c r="I75" s="24">
        <v>1.749E-4</v>
      </c>
      <c r="J75" s="24">
        <v>1.0729999999999999E-6</v>
      </c>
      <c r="K75" s="24">
        <v>1.514</v>
      </c>
      <c r="L75" s="24">
        <v>1.5129999999999999</v>
      </c>
      <c r="M75" s="24">
        <v>3.65E-3</v>
      </c>
      <c r="N75" s="24">
        <v>3.64E-3</v>
      </c>
      <c r="O75" s="24">
        <v>2.0000000000000002E-5</v>
      </c>
      <c r="P75" s="24">
        <v>3.0870000000000003E-6</v>
      </c>
      <c r="Q75" s="24">
        <v>3.4770000000000001E-5</v>
      </c>
    </row>
    <row r="76" spans="2:17" x14ac:dyDescent="0.25">
      <c r="B76" s="22">
        <v>145</v>
      </c>
      <c r="C76" s="22" t="s">
        <v>45</v>
      </c>
      <c r="D76" s="22"/>
      <c r="E76" s="22">
        <v>1</v>
      </c>
      <c r="F76" s="22">
        <v>2.4169999999999998</v>
      </c>
      <c r="G76" s="24">
        <v>4.5519999999999998E-5</v>
      </c>
      <c r="H76" s="24">
        <v>3.6740000000000002E-7</v>
      </c>
      <c r="I76" s="24">
        <v>1.041E-4</v>
      </c>
      <c r="J76" s="24">
        <v>1.0580000000000001E-6</v>
      </c>
      <c r="K76" s="24">
        <v>1.4850000000000001</v>
      </c>
      <c r="L76" s="24">
        <v>1.486</v>
      </c>
      <c r="M76" s="24">
        <v>3.8E-3</v>
      </c>
      <c r="N76" s="24">
        <v>3.81E-3</v>
      </c>
      <c r="O76" s="24">
        <v>2.0000000000000002E-5</v>
      </c>
      <c r="P76" s="24">
        <v>1.9470000000000002E-6</v>
      </c>
      <c r="Q76" s="24">
        <v>2.2079999999999999E-5</v>
      </c>
    </row>
    <row r="77" spans="2:17" x14ac:dyDescent="0.25">
      <c r="B77" s="22">
        <v>146</v>
      </c>
      <c r="C77" s="22" t="s">
        <v>45</v>
      </c>
      <c r="D77" s="22"/>
      <c r="E77" s="22">
        <v>1</v>
      </c>
      <c r="F77" s="22">
        <v>2.5470000000000002</v>
      </c>
      <c r="G77" s="24">
        <v>5.4329999999999997E-5</v>
      </c>
      <c r="H77" s="24">
        <v>3.4270000000000002E-7</v>
      </c>
      <c r="I77" s="24">
        <v>1.2109999999999999E-4</v>
      </c>
      <c r="J77" s="24">
        <v>1.004E-6</v>
      </c>
      <c r="K77" s="24">
        <v>1.5489999999999999</v>
      </c>
      <c r="L77" s="24">
        <v>1.5489999999999999</v>
      </c>
      <c r="M77" s="24">
        <v>3.5800000000000003E-3</v>
      </c>
      <c r="N77" s="24">
        <v>3.5899999999999999E-3</v>
      </c>
      <c r="O77" s="24">
        <v>3.0000000000000001E-5</v>
      </c>
      <c r="P77" s="24">
        <v>1.877E-6</v>
      </c>
      <c r="Q77" s="24">
        <v>3.7129999999999999E-5</v>
      </c>
    </row>
    <row r="78" spans="2:17" x14ac:dyDescent="0.25">
      <c r="B78" s="22">
        <v>148</v>
      </c>
      <c r="C78" s="22" t="s">
        <v>45</v>
      </c>
      <c r="D78" s="22"/>
      <c r="E78" s="22">
        <v>1</v>
      </c>
      <c r="F78" s="22">
        <v>2.512</v>
      </c>
      <c r="G78" s="24">
        <v>1.0549999999999999E-4</v>
      </c>
      <c r="H78" s="24">
        <v>9.6099999999999999E-7</v>
      </c>
      <c r="I78" s="24">
        <v>2.2569999999999998E-4</v>
      </c>
      <c r="J78" s="24">
        <v>1.5259999999999999E-6</v>
      </c>
      <c r="K78" s="24">
        <v>1.5029999999999999</v>
      </c>
      <c r="L78" s="24">
        <v>1.502</v>
      </c>
      <c r="M78" s="24">
        <v>3.8500000000000001E-3</v>
      </c>
      <c r="N78" s="24">
        <v>3.8300000000000001E-3</v>
      </c>
      <c r="O78" s="24">
        <v>3.0000000000000001E-5</v>
      </c>
      <c r="P78" s="24">
        <v>4.126E-6</v>
      </c>
      <c r="Q78" s="24">
        <v>2.669E-5</v>
      </c>
    </row>
    <row r="79" spans="2:17" x14ac:dyDescent="0.25">
      <c r="B79" s="22">
        <v>149</v>
      </c>
      <c r="C79" s="22" t="s">
        <v>45</v>
      </c>
      <c r="D79" s="22"/>
      <c r="E79" s="22">
        <v>1</v>
      </c>
      <c r="F79" s="22">
        <v>2.363</v>
      </c>
      <c r="G79" s="24">
        <v>5.6499999999999998E-5</v>
      </c>
      <c r="H79" s="24">
        <v>3.6330000000000003E-7</v>
      </c>
      <c r="I79" s="24">
        <v>1.3740000000000001E-4</v>
      </c>
      <c r="J79" s="24">
        <v>1.0409999999999999E-6</v>
      </c>
      <c r="K79" s="24">
        <v>1.5660000000000001</v>
      </c>
      <c r="L79" s="24">
        <v>1.5649999999999999</v>
      </c>
      <c r="M79" s="24">
        <v>3.6000000000000003E-3</v>
      </c>
      <c r="N79" s="24">
        <v>3.6000000000000003E-3</v>
      </c>
      <c r="O79" s="24">
        <v>3.0000000000000001E-5</v>
      </c>
      <c r="P79" s="24">
        <v>2.5609999999999997E-6</v>
      </c>
      <c r="Q79" s="24">
        <v>2.5969999999999997E-5</v>
      </c>
    </row>
    <row r="80" spans="2:17" x14ac:dyDescent="0.25">
      <c r="B80" s="22">
        <v>152</v>
      </c>
      <c r="C80" s="22" t="s">
        <v>45</v>
      </c>
      <c r="D80" s="22"/>
      <c r="E80" s="22">
        <v>1</v>
      </c>
      <c r="F80" s="22">
        <v>2.4870000000000001</v>
      </c>
      <c r="G80" s="24">
        <v>7.7310000000000004E-5</v>
      </c>
      <c r="H80" s="24">
        <v>4.9630000000000002E-7</v>
      </c>
      <c r="I80" s="24">
        <v>1.6680000000000002E-4</v>
      </c>
      <c r="J80" s="24">
        <v>1.488E-6</v>
      </c>
      <c r="K80" s="24">
        <v>1.5660000000000001</v>
      </c>
      <c r="L80" s="24">
        <v>1.5660000000000001</v>
      </c>
      <c r="M80" s="24">
        <v>3.6200000000000004E-3</v>
      </c>
      <c r="N80" s="24">
        <v>3.6200000000000004E-3</v>
      </c>
      <c r="O80" s="24">
        <v>2.0000000000000002E-5</v>
      </c>
      <c r="P80" s="24">
        <v>2.8149999999999997E-6</v>
      </c>
      <c r="Q80" s="24">
        <v>3.6139999999999996E-5</v>
      </c>
    </row>
    <row r="81" spans="2:17" x14ac:dyDescent="0.25">
      <c r="B81" s="22">
        <v>154</v>
      </c>
      <c r="C81" s="22" t="s">
        <v>45</v>
      </c>
      <c r="D81" s="22"/>
      <c r="E81" s="22">
        <v>1</v>
      </c>
      <c r="F81" s="22">
        <v>2.4350000000000001</v>
      </c>
      <c r="G81" s="24">
        <v>9.4499999999999993E-5</v>
      </c>
      <c r="H81" s="24">
        <v>5.8279999999999995E-7</v>
      </c>
      <c r="I81" s="24">
        <v>2.2909999999999999E-4</v>
      </c>
      <c r="J81" s="24">
        <v>1.2720000000000001E-6</v>
      </c>
      <c r="K81" s="24">
        <v>1.5449999999999999</v>
      </c>
      <c r="L81" s="24">
        <v>1.542</v>
      </c>
      <c r="M81" s="24">
        <v>3.7499999999999999E-3</v>
      </c>
      <c r="N81" s="24">
        <v>3.7599999999999999E-3</v>
      </c>
      <c r="O81" s="24">
        <v>2.0000000000000002E-5</v>
      </c>
      <c r="P81" s="24">
        <v>4.1869999999999999E-6</v>
      </c>
      <c r="Q81" s="24">
        <v>4.4169999999999999E-5</v>
      </c>
    </row>
    <row r="82" spans="2:17" x14ac:dyDescent="0.25">
      <c r="B82" s="22">
        <v>155</v>
      </c>
      <c r="C82" s="22" t="s">
        <v>45</v>
      </c>
      <c r="D82" s="22"/>
      <c r="E82" s="22">
        <v>1</v>
      </c>
      <c r="F82" s="22">
        <v>2.4630000000000001</v>
      </c>
      <c r="G82" s="24">
        <v>1.3359999999999999E-4</v>
      </c>
      <c r="H82" s="24">
        <v>1.0869999999999999E-6</v>
      </c>
      <c r="I82" s="24">
        <v>2.8380000000000001E-4</v>
      </c>
      <c r="J82" s="24">
        <v>2.1519999999999999E-6</v>
      </c>
      <c r="K82" s="24">
        <v>1.542</v>
      </c>
      <c r="L82" s="24">
        <v>1.5429999999999999</v>
      </c>
      <c r="M82" s="24">
        <v>3.6700000000000001E-3</v>
      </c>
      <c r="N82" s="24">
        <v>3.6700000000000001E-3</v>
      </c>
      <c r="O82" s="24">
        <v>2.0000000000000002E-5</v>
      </c>
      <c r="P82" s="24">
        <v>7.5179999999999998E-6</v>
      </c>
      <c r="Q82" s="24">
        <v>6.0739999999999998E-5</v>
      </c>
    </row>
    <row r="83" spans="2:17" x14ac:dyDescent="0.25">
      <c r="B83" s="22">
        <v>161</v>
      </c>
      <c r="C83" s="22" t="s">
        <v>45</v>
      </c>
      <c r="D83" s="22"/>
      <c r="E83" s="22">
        <v>1</v>
      </c>
      <c r="F83" s="22">
        <v>2.5449999999999999</v>
      </c>
      <c r="G83" s="24">
        <v>1.8030000000000002E-5</v>
      </c>
      <c r="H83" s="24">
        <v>1.3360000000000001E-7</v>
      </c>
      <c r="I83" s="24">
        <v>4.9749999999999996E-5</v>
      </c>
      <c r="J83" s="24">
        <v>4.6030000000000007E-7</v>
      </c>
      <c r="K83" s="24">
        <v>1.62</v>
      </c>
      <c r="L83" s="24">
        <v>1.619</v>
      </c>
      <c r="M83" s="24">
        <v>3.2100000000000002E-3</v>
      </c>
      <c r="N83" s="24">
        <v>3.2000000000000002E-3</v>
      </c>
      <c r="O83" s="24">
        <v>2.0000000000000002E-5</v>
      </c>
      <c r="P83" s="24">
        <v>8.6770000000000007E-7</v>
      </c>
      <c r="Q83" s="24">
        <v>7.4359999999999996E-6</v>
      </c>
    </row>
    <row r="84" spans="2:17" x14ac:dyDescent="0.25">
      <c r="B84" s="22">
        <v>162</v>
      </c>
      <c r="C84" s="22" t="s">
        <v>45</v>
      </c>
      <c r="D84" s="22"/>
      <c r="E84" s="22">
        <v>1</v>
      </c>
      <c r="F84" s="22">
        <v>2.5760000000000001</v>
      </c>
      <c r="G84" s="24">
        <v>2.4359999999999997E-5</v>
      </c>
      <c r="H84" s="24">
        <v>2.22E-7</v>
      </c>
      <c r="I84" s="24">
        <v>6.5170000000000001E-5</v>
      </c>
      <c r="J84" s="24">
        <v>8.1970000000000007E-7</v>
      </c>
      <c r="K84" s="24">
        <v>1.6459999999999999</v>
      </c>
      <c r="L84" s="24">
        <v>1.6439999999999999</v>
      </c>
      <c r="M84" s="24">
        <v>3.2799999999999999E-3</v>
      </c>
      <c r="N84" s="24">
        <v>3.2699999999999999E-3</v>
      </c>
      <c r="O84" s="24">
        <v>2.0000000000000002E-5</v>
      </c>
      <c r="P84" s="24">
        <v>1.3989999999999999E-6</v>
      </c>
      <c r="Q84" s="24">
        <v>1.049E-5</v>
      </c>
    </row>
    <row r="85" spans="2:17" x14ac:dyDescent="0.25">
      <c r="B85" s="22">
        <v>165</v>
      </c>
      <c r="C85" s="22" t="s">
        <v>45</v>
      </c>
      <c r="D85" s="22"/>
      <c r="E85" s="22">
        <v>1</v>
      </c>
      <c r="F85" s="22">
        <v>2.5339999999999998</v>
      </c>
      <c r="G85" s="24">
        <v>3.7359999999999995E-5</v>
      </c>
      <c r="H85" s="24">
        <v>2.1430000000000003E-7</v>
      </c>
      <c r="I85" s="24">
        <v>9.9999999999999991E-5</v>
      </c>
      <c r="J85" s="24">
        <v>6.8420000000000005E-7</v>
      </c>
      <c r="K85" s="24">
        <v>1.583</v>
      </c>
      <c r="L85" s="24">
        <v>1.5840000000000001</v>
      </c>
      <c r="M85" s="24">
        <v>3.3999999999999998E-3</v>
      </c>
      <c r="N85" s="24">
        <v>3.3900000000000002E-3</v>
      </c>
      <c r="O85" s="24">
        <v>3.0000000000000001E-5</v>
      </c>
      <c r="P85" s="24">
        <v>1.601E-6</v>
      </c>
      <c r="Q85" s="24">
        <v>1.5609999999999998E-5</v>
      </c>
    </row>
    <row r="86" spans="2:17" x14ac:dyDescent="0.25">
      <c r="B86" s="22">
        <v>167</v>
      </c>
      <c r="C86" s="22" t="s">
        <v>45</v>
      </c>
      <c r="D86" s="22"/>
      <c r="E86" s="22">
        <v>1</v>
      </c>
      <c r="F86" s="22">
        <v>2.4289999999999998</v>
      </c>
      <c r="G86" s="24">
        <v>3.1809999999999995E-5</v>
      </c>
      <c r="H86" s="24">
        <v>2.41E-7</v>
      </c>
      <c r="I86" s="24">
        <v>7.6249999999999997E-5</v>
      </c>
      <c r="J86" s="24">
        <v>7.4990000000000001E-7</v>
      </c>
      <c r="K86" s="24">
        <v>1.6</v>
      </c>
      <c r="L86" s="24">
        <v>1.597</v>
      </c>
      <c r="M86" s="24">
        <v>3.46E-3</v>
      </c>
      <c r="N86" s="24">
        <v>3.46E-3</v>
      </c>
      <c r="O86" s="24">
        <v>2.0000000000000002E-5</v>
      </c>
      <c r="P86" s="24">
        <v>1.4639999999999999E-6</v>
      </c>
      <c r="Q86" s="24">
        <v>1.431E-5</v>
      </c>
    </row>
    <row r="87" spans="2:17" x14ac:dyDescent="0.25">
      <c r="B87" s="22">
        <v>170</v>
      </c>
      <c r="C87" s="22" t="s">
        <v>45</v>
      </c>
      <c r="D87" s="22"/>
      <c r="E87" s="22">
        <v>1</v>
      </c>
      <c r="F87" s="22">
        <v>2.4060000000000001</v>
      </c>
      <c r="G87" s="24">
        <v>2.391E-5</v>
      </c>
      <c r="H87" s="24">
        <v>2.185E-7</v>
      </c>
      <c r="I87" s="24">
        <v>6.0099999999999997E-5</v>
      </c>
      <c r="J87" s="24">
        <v>7.0620000000000012E-7</v>
      </c>
      <c r="K87" s="24">
        <v>1.625</v>
      </c>
      <c r="L87" s="24">
        <v>1.6240000000000001</v>
      </c>
      <c r="M87" s="24">
        <v>3.4900000000000005E-3</v>
      </c>
      <c r="N87" s="24">
        <v>3.4900000000000005E-3</v>
      </c>
      <c r="O87" s="24">
        <v>2.0000000000000002E-5</v>
      </c>
      <c r="P87" s="24">
        <v>1.2709999999999998E-6</v>
      </c>
      <c r="Q87" s="24">
        <v>1.0730000000000001E-5</v>
      </c>
    </row>
    <row r="88" spans="2:17" x14ac:dyDescent="0.25">
      <c r="B88" s="22">
        <v>173</v>
      </c>
      <c r="C88" s="22" t="s">
        <v>45</v>
      </c>
      <c r="D88" s="22"/>
      <c r="E88" s="22">
        <v>1</v>
      </c>
      <c r="F88" s="22">
        <v>2.5499999999999998</v>
      </c>
      <c r="G88" s="24">
        <v>5.8229999999999996E-5</v>
      </c>
      <c r="H88" s="24">
        <v>4.8719999999999997E-7</v>
      </c>
      <c r="I88" s="24">
        <v>1.3999999999999999E-4</v>
      </c>
      <c r="J88" s="24">
        <v>1.181E-6</v>
      </c>
      <c r="K88" s="24">
        <v>1.5780000000000001</v>
      </c>
      <c r="L88" s="24">
        <v>1.5780000000000001</v>
      </c>
      <c r="M88" s="24">
        <v>3.4100000000000003E-3</v>
      </c>
      <c r="N88" s="24">
        <v>3.4100000000000003E-3</v>
      </c>
      <c r="O88" s="24">
        <v>3.0000000000000001E-5</v>
      </c>
      <c r="P88" s="24">
        <v>5.1369999999999993E-6</v>
      </c>
      <c r="Q88" s="24">
        <v>2.5309999999999997E-5</v>
      </c>
    </row>
    <row r="89" spans="2:17" x14ac:dyDescent="0.25">
      <c r="B89" s="22">
        <v>174</v>
      </c>
      <c r="C89" s="22" t="s">
        <v>45</v>
      </c>
      <c r="D89" s="22"/>
      <c r="E89" s="22">
        <v>1</v>
      </c>
      <c r="F89" s="22">
        <v>2.5009999999999999</v>
      </c>
      <c r="G89" s="24">
        <v>6.8109999999999997E-5</v>
      </c>
      <c r="H89" s="24">
        <v>3.2469999999999999E-7</v>
      </c>
      <c r="I89" s="24">
        <v>1.5530000000000001E-4</v>
      </c>
      <c r="J89" s="24">
        <v>1.0189999999999999E-6</v>
      </c>
      <c r="K89" s="24">
        <v>1.52</v>
      </c>
      <c r="L89" s="24">
        <v>1.5189999999999999</v>
      </c>
      <c r="M89" s="24">
        <v>3.8400000000000001E-3</v>
      </c>
      <c r="N89" s="24">
        <v>3.8500000000000001E-3</v>
      </c>
      <c r="O89" s="24">
        <v>3.0000000000000001E-5</v>
      </c>
      <c r="P89" s="24">
        <v>2.0550000000000002E-6</v>
      </c>
      <c r="Q89" s="24">
        <v>2.8459999999999999E-5</v>
      </c>
    </row>
    <row r="90" spans="2:17" x14ac:dyDescent="0.25">
      <c r="B90" s="22">
        <v>175</v>
      </c>
      <c r="C90" s="22" t="s">
        <v>45</v>
      </c>
      <c r="D90" s="22"/>
      <c r="E90" s="22">
        <v>1</v>
      </c>
      <c r="F90" s="22">
        <v>2.484</v>
      </c>
      <c r="G90" s="24">
        <v>4.4919999999999997E-5</v>
      </c>
      <c r="H90" s="24">
        <v>5.2270000000000009E-7</v>
      </c>
      <c r="I90" s="24">
        <v>1.0790000000000001E-4</v>
      </c>
      <c r="J90" s="24">
        <v>1.6319999999999998E-6</v>
      </c>
      <c r="K90" s="24">
        <v>1.607</v>
      </c>
      <c r="L90" s="24">
        <v>1.6060000000000001</v>
      </c>
      <c r="M90" s="24">
        <v>3.5299999999999997E-3</v>
      </c>
      <c r="N90" s="24">
        <v>3.5299999999999997E-3</v>
      </c>
      <c r="O90" s="24">
        <v>2.0000000000000002E-5</v>
      </c>
      <c r="P90" s="24">
        <v>3.1429999999999998E-6</v>
      </c>
      <c r="Q90" s="24">
        <v>2.792E-5</v>
      </c>
    </row>
    <row r="91" spans="2:17" x14ac:dyDescent="0.25">
      <c r="B91" s="22">
        <v>178</v>
      </c>
      <c r="C91" s="22" t="s">
        <v>45</v>
      </c>
      <c r="D91" s="22"/>
      <c r="E91" s="22">
        <v>1</v>
      </c>
      <c r="F91" s="22">
        <v>2.4489999999999998</v>
      </c>
      <c r="G91" s="24">
        <v>3.3359999999999999E-5</v>
      </c>
      <c r="H91" s="24">
        <v>2.3280000000000002E-7</v>
      </c>
      <c r="I91" s="24">
        <v>8.1329999999999996E-5</v>
      </c>
      <c r="J91" s="24">
        <v>6.7479999999999998E-7</v>
      </c>
      <c r="K91" s="24">
        <v>1.554</v>
      </c>
      <c r="L91" s="24">
        <v>1.5529999999999999</v>
      </c>
      <c r="M91" s="24">
        <v>3.7300000000000002E-3</v>
      </c>
      <c r="N91" s="24">
        <v>3.7400000000000003E-3</v>
      </c>
      <c r="O91" s="24">
        <v>2.0000000000000002E-5</v>
      </c>
      <c r="P91" s="24">
        <v>1.4929999999999999E-6</v>
      </c>
      <c r="Q91" s="24">
        <v>1.523E-5</v>
      </c>
    </row>
    <row r="92" spans="2:17" x14ac:dyDescent="0.25">
      <c r="B92" s="22">
        <v>180</v>
      </c>
      <c r="C92" s="22" t="s">
        <v>45</v>
      </c>
      <c r="D92" s="22"/>
      <c r="E92" s="22">
        <v>1</v>
      </c>
      <c r="F92" s="22">
        <v>2.3039999999999998</v>
      </c>
      <c r="G92" s="24">
        <v>4.5939999999999997E-5</v>
      </c>
      <c r="H92" s="24">
        <v>4.1780000000000005E-7</v>
      </c>
      <c r="I92" s="24">
        <v>9.6469999999999989E-5</v>
      </c>
      <c r="J92" s="24">
        <v>1.491E-6</v>
      </c>
      <c r="K92" s="24">
        <v>1.655</v>
      </c>
      <c r="L92" s="24">
        <v>1.6519999999999999</v>
      </c>
      <c r="M92" s="24">
        <v>3.5600000000000002E-3</v>
      </c>
      <c r="N92" s="24">
        <v>3.5600000000000002E-3</v>
      </c>
      <c r="O92" s="24">
        <v>2.0000000000000002E-5</v>
      </c>
      <c r="P92" s="24">
        <v>2.4369999999999997E-6</v>
      </c>
      <c r="Q92" s="24">
        <v>2.0489999999999999E-5</v>
      </c>
    </row>
    <row r="93" spans="2:17" x14ac:dyDescent="0.25">
      <c r="B93" s="22">
        <v>181</v>
      </c>
      <c r="C93" s="22" t="s">
        <v>45</v>
      </c>
      <c r="D93" s="22"/>
      <c r="E93" s="22">
        <v>1</v>
      </c>
      <c r="F93" s="22">
        <v>2.3010000000000002</v>
      </c>
      <c r="G93" s="24">
        <v>4.3239999999999999E-5</v>
      </c>
      <c r="H93" s="24">
        <v>3.6050000000000003E-7</v>
      </c>
      <c r="I93" s="24">
        <v>1.0340000000000001E-4</v>
      </c>
      <c r="J93" s="24">
        <v>1.2589999999999999E-6</v>
      </c>
      <c r="K93" s="24">
        <v>1.649</v>
      </c>
      <c r="L93" s="24">
        <v>1.6479999999999999</v>
      </c>
      <c r="M93" s="24">
        <v>3.5200000000000001E-3</v>
      </c>
      <c r="N93" s="24">
        <v>3.5099999999999997E-3</v>
      </c>
      <c r="O93" s="24">
        <v>2.0000000000000002E-5</v>
      </c>
      <c r="P93" s="24">
        <v>2.3429999999999998E-6</v>
      </c>
      <c r="Q93" s="24">
        <v>1.9999999999999998E-5</v>
      </c>
    </row>
    <row r="94" spans="2:17" x14ac:dyDescent="0.25">
      <c r="B94" s="22">
        <v>182</v>
      </c>
      <c r="C94" s="22" t="s">
        <v>45</v>
      </c>
      <c r="D94" s="22"/>
      <c r="E94" s="22">
        <v>1</v>
      </c>
      <c r="F94" s="22">
        <v>2.375</v>
      </c>
      <c r="G94" s="24">
        <v>3.663E-5</v>
      </c>
      <c r="H94" s="24">
        <v>3.5880000000000001E-7</v>
      </c>
      <c r="I94" s="24">
        <v>7.9010000000000004E-5</v>
      </c>
      <c r="J94" s="24">
        <v>1.1599999999999999E-6</v>
      </c>
      <c r="K94" s="24">
        <v>1.5549999999999999</v>
      </c>
      <c r="L94" s="24">
        <v>1.554</v>
      </c>
      <c r="M94" s="24">
        <v>3.7799999999999999E-3</v>
      </c>
      <c r="N94" s="24">
        <v>3.7799999999999999E-3</v>
      </c>
      <c r="O94" s="24">
        <v>2.0000000000000002E-5</v>
      </c>
      <c r="P94" s="24">
        <v>1.6319999999999998E-6</v>
      </c>
      <c r="Q94" s="24">
        <v>1.7649999999999999E-5</v>
      </c>
    </row>
    <row r="95" spans="2:17" x14ac:dyDescent="0.25">
      <c r="B95" s="22">
        <v>183</v>
      </c>
      <c r="C95" s="22" t="s">
        <v>45</v>
      </c>
      <c r="D95" s="22"/>
      <c r="E95" s="22">
        <v>1</v>
      </c>
      <c r="F95" s="22">
        <v>2.5030000000000001</v>
      </c>
      <c r="G95" s="24">
        <v>5.3109999999999998E-5</v>
      </c>
      <c r="H95" s="24">
        <v>6.3679999999999998E-7</v>
      </c>
      <c r="I95" s="24">
        <v>1.182E-4</v>
      </c>
      <c r="J95" s="24">
        <v>1.9019999999999997E-6</v>
      </c>
      <c r="K95" s="24">
        <v>1.603</v>
      </c>
      <c r="L95" s="24">
        <v>1.601</v>
      </c>
      <c r="M95" s="24">
        <v>3.5899999999999999E-3</v>
      </c>
      <c r="N95" s="24">
        <v>3.6000000000000003E-3</v>
      </c>
      <c r="O95" s="24">
        <v>2.0000000000000002E-5</v>
      </c>
      <c r="P95" s="24">
        <v>3.2289999999999999E-6</v>
      </c>
      <c r="Q95" s="24">
        <v>2.5559999999999999E-5</v>
      </c>
    </row>
    <row r="96" spans="2:17" x14ac:dyDescent="0.25">
      <c r="B96" s="22">
        <v>184</v>
      </c>
      <c r="C96" s="22" t="s">
        <v>45</v>
      </c>
      <c r="D96" s="22"/>
      <c r="E96" s="22">
        <v>1</v>
      </c>
      <c r="F96" s="22">
        <v>2.5190000000000001</v>
      </c>
      <c r="G96" s="24">
        <v>8.6030000000000001E-5</v>
      </c>
      <c r="H96" s="24">
        <v>5.6770000000000009E-7</v>
      </c>
      <c r="I96" s="24">
        <v>2.0549999999999998E-4</v>
      </c>
      <c r="J96" s="24">
        <v>1.2589999999999999E-6</v>
      </c>
      <c r="K96" s="24">
        <v>1.524</v>
      </c>
      <c r="L96" s="24">
        <v>1.5229999999999999</v>
      </c>
      <c r="M96" s="24">
        <v>3.7100000000000002E-3</v>
      </c>
      <c r="N96" s="24">
        <v>3.7100000000000002E-3</v>
      </c>
      <c r="O96" s="24">
        <v>2.0000000000000002E-5</v>
      </c>
      <c r="P96" s="24">
        <v>4.5059999999999997E-6</v>
      </c>
      <c r="Q96" s="24">
        <v>3.1569999999999998E-5</v>
      </c>
    </row>
    <row r="97" spans="2:17" x14ac:dyDescent="0.25">
      <c r="B97" s="22">
        <v>187</v>
      </c>
      <c r="C97" s="22" t="s">
        <v>45</v>
      </c>
      <c r="D97" s="22"/>
      <c r="E97" s="22">
        <v>1</v>
      </c>
      <c r="F97" s="22">
        <v>2.3570000000000002</v>
      </c>
      <c r="G97" s="24">
        <v>3.6040000000000001E-5</v>
      </c>
      <c r="H97" s="24">
        <v>4.5719999999999999E-7</v>
      </c>
      <c r="I97" s="24">
        <v>8.2730000000000002E-5</v>
      </c>
      <c r="J97" s="24">
        <v>1.395E-6</v>
      </c>
      <c r="K97" s="24">
        <v>1.6180000000000001</v>
      </c>
      <c r="L97" s="24">
        <v>1.617</v>
      </c>
      <c r="M97" s="24">
        <v>3.48E-3</v>
      </c>
      <c r="N97" s="24">
        <v>3.4700000000000004E-3</v>
      </c>
      <c r="O97" s="24">
        <v>2.0000000000000002E-5</v>
      </c>
      <c r="P97" s="24">
        <v>2.4929999999999997E-6</v>
      </c>
      <c r="Q97" s="24">
        <v>5.3399999999999997E-5</v>
      </c>
    </row>
    <row r="98" spans="2:17" x14ac:dyDescent="0.25">
      <c r="B98" s="22">
        <v>191</v>
      </c>
      <c r="C98" s="22" t="s">
        <v>45</v>
      </c>
      <c r="D98" s="22"/>
      <c r="E98" s="22">
        <v>1</v>
      </c>
      <c r="F98" s="22">
        <v>2.6469999999999998</v>
      </c>
      <c r="G98" s="24">
        <v>8.0699999999999996E-5</v>
      </c>
      <c r="H98" s="24">
        <v>6.1920000000000004E-7</v>
      </c>
      <c r="I98" s="24">
        <v>1.8799999999999999E-4</v>
      </c>
      <c r="J98" s="24">
        <v>1.528E-6</v>
      </c>
      <c r="K98" s="24">
        <v>1.544</v>
      </c>
      <c r="L98" s="24">
        <v>1.544</v>
      </c>
      <c r="M98" s="24">
        <v>3.46E-3</v>
      </c>
      <c r="N98" s="24">
        <v>3.46E-3</v>
      </c>
      <c r="O98" s="24">
        <v>2.0000000000000002E-5</v>
      </c>
      <c r="P98" s="24">
        <v>6.1589999999999998E-6</v>
      </c>
      <c r="Q98" s="24">
        <v>3.5579999999999995E-5</v>
      </c>
    </row>
    <row r="99" spans="2:17" x14ac:dyDescent="0.25">
      <c r="B99" s="22">
        <v>192</v>
      </c>
      <c r="C99" s="22" t="s">
        <v>45</v>
      </c>
      <c r="D99" s="22"/>
      <c r="E99" s="22">
        <v>1</v>
      </c>
      <c r="F99" s="22">
        <v>2.5979999999999999</v>
      </c>
      <c r="G99" s="24">
        <v>6.5049999999999996E-5</v>
      </c>
      <c r="H99" s="24">
        <v>4.299E-7</v>
      </c>
      <c r="I99" s="24">
        <v>1.5569999999999999E-4</v>
      </c>
      <c r="J99" s="24">
        <v>1.2649999999999997E-6</v>
      </c>
      <c r="K99" s="24">
        <v>1.55</v>
      </c>
      <c r="L99" s="24">
        <v>1.5489999999999999</v>
      </c>
      <c r="M99" s="24">
        <v>3.4700000000000004E-3</v>
      </c>
      <c r="N99" s="24">
        <v>3.4700000000000004E-3</v>
      </c>
      <c r="O99" s="24">
        <v>2.0000000000000002E-5</v>
      </c>
      <c r="P99" s="24">
        <v>3.7809999999999999E-6</v>
      </c>
      <c r="Q99" s="24">
        <v>2.8030000000000001E-5</v>
      </c>
    </row>
    <row r="100" spans="2:17" x14ac:dyDescent="0.25">
      <c r="B100" s="22">
        <v>193</v>
      </c>
      <c r="C100" s="22" t="s">
        <v>45</v>
      </c>
      <c r="D100" s="22"/>
      <c r="E100" s="22">
        <v>1</v>
      </c>
      <c r="F100" s="22">
        <v>2.492</v>
      </c>
      <c r="G100" s="24">
        <v>5.4240000000000002E-5</v>
      </c>
      <c r="H100" s="24">
        <v>3.2750000000000004E-7</v>
      </c>
      <c r="I100" s="24">
        <v>1.4219999999999999E-4</v>
      </c>
      <c r="J100" s="24">
        <v>9.4400000000000009E-7</v>
      </c>
      <c r="K100" s="24">
        <v>1.536</v>
      </c>
      <c r="L100" s="24">
        <v>1.5349999999999999</v>
      </c>
      <c r="M100" s="24">
        <v>3.7400000000000003E-3</v>
      </c>
      <c r="N100" s="24">
        <v>3.7499999999999999E-3</v>
      </c>
      <c r="O100" s="24">
        <v>2.0000000000000002E-5</v>
      </c>
      <c r="P100" s="24">
        <v>1.951E-6</v>
      </c>
      <c r="Q100" s="24">
        <v>2.3739999999999996E-5</v>
      </c>
    </row>
    <row r="101" spans="2:17" x14ac:dyDescent="0.25">
      <c r="B101" s="22">
        <v>194</v>
      </c>
      <c r="C101" s="22" t="s">
        <v>45</v>
      </c>
      <c r="D101" s="22"/>
      <c r="E101" s="22">
        <v>1</v>
      </c>
      <c r="F101" s="22">
        <v>2.488</v>
      </c>
      <c r="G101" s="24">
        <v>4.9689999999999994E-5</v>
      </c>
      <c r="H101" s="24">
        <v>3.3010000000000002E-7</v>
      </c>
      <c r="I101" s="24">
        <v>1.3659999999999999E-4</v>
      </c>
      <c r="J101" s="24">
        <v>1.1850000000000001E-6</v>
      </c>
      <c r="K101" s="24">
        <v>1.5309999999999999</v>
      </c>
      <c r="L101" s="24">
        <v>1.53</v>
      </c>
      <c r="M101" s="24">
        <v>3.7599999999999999E-3</v>
      </c>
      <c r="N101" s="24">
        <v>3.7699999999999999E-3</v>
      </c>
      <c r="O101" s="24">
        <v>3.0000000000000001E-5</v>
      </c>
      <c r="P101" s="24">
        <v>1.7809999999999998E-6</v>
      </c>
      <c r="Q101" s="24">
        <v>1.7249999999999999E-5</v>
      </c>
    </row>
    <row r="102" spans="2:17" x14ac:dyDescent="0.25">
      <c r="B102" s="22">
        <v>196</v>
      </c>
      <c r="C102" s="22" t="s">
        <v>45</v>
      </c>
      <c r="D102" s="22"/>
      <c r="E102" s="22">
        <v>1</v>
      </c>
      <c r="F102" s="22">
        <v>2.488</v>
      </c>
      <c r="G102" s="24">
        <v>8.6429999999999997E-5</v>
      </c>
      <c r="H102" s="24">
        <v>6.0839999999999997E-7</v>
      </c>
      <c r="I102" s="24">
        <v>1.8969999999999998E-4</v>
      </c>
      <c r="J102" s="24">
        <v>1.6789999999999999E-6</v>
      </c>
      <c r="K102" s="24">
        <v>1.5489999999999999</v>
      </c>
      <c r="L102" s="24">
        <v>1.5469999999999999</v>
      </c>
      <c r="M102" s="24">
        <v>3.6800000000000001E-3</v>
      </c>
      <c r="N102" s="24">
        <v>3.6800000000000001E-3</v>
      </c>
      <c r="O102" s="24">
        <v>3.0000000000000001E-5</v>
      </c>
      <c r="P102" s="24">
        <v>6.8460000000000002E-6</v>
      </c>
      <c r="Q102" s="24">
        <v>3.8250000000000001E-5</v>
      </c>
    </row>
    <row r="103" spans="2:17" x14ac:dyDescent="0.25">
      <c r="B103" s="22">
        <v>200</v>
      </c>
      <c r="C103" s="22" t="s">
        <v>45</v>
      </c>
      <c r="D103" s="22"/>
      <c r="E103" s="22">
        <v>1</v>
      </c>
      <c r="F103" s="22">
        <v>2.3540000000000001</v>
      </c>
      <c r="G103" s="24">
        <v>2.7889999999999999E-5</v>
      </c>
      <c r="H103" s="24">
        <v>3.2520000000000003E-7</v>
      </c>
      <c r="I103" s="24">
        <v>6.7540000000000007E-5</v>
      </c>
      <c r="J103" s="24">
        <v>1.034E-6</v>
      </c>
      <c r="K103" s="24">
        <v>1.645</v>
      </c>
      <c r="L103" s="24">
        <v>1.6439999999999999</v>
      </c>
      <c r="M103" s="24">
        <v>3.5400000000000002E-3</v>
      </c>
      <c r="N103" s="24">
        <v>3.5299999999999997E-3</v>
      </c>
      <c r="O103" s="24">
        <v>3.0000000000000001E-5</v>
      </c>
      <c r="P103" s="24">
        <v>1.8999999999999998E-6</v>
      </c>
      <c r="Q103" s="24">
        <v>1.278E-5</v>
      </c>
    </row>
    <row r="104" spans="2:17" x14ac:dyDescent="0.25">
      <c r="B104" s="22">
        <v>201</v>
      </c>
      <c r="C104" s="22" t="s">
        <v>45</v>
      </c>
      <c r="D104" s="22"/>
      <c r="E104" s="22">
        <v>1</v>
      </c>
      <c r="F104" s="22">
        <v>2.496</v>
      </c>
      <c r="G104" s="24">
        <v>4.3979999999999996E-5</v>
      </c>
      <c r="H104" s="24">
        <v>4.0139999999999998E-7</v>
      </c>
      <c r="I104" s="24">
        <v>1.0399999999999999E-4</v>
      </c>
      <c r="J104" s="24">
        <v>1.4319999999999998E-6</v>
      </c>
      <c r="K104" s="24">
        <v>1.627</v>
      </c>
      <c r="L104" s="24">
        <v>1.629</v>
      </c>
      <c r="M104" s="24">
        <v>3.4399999999999999E-3</v>
      </c>
      <c r="N104" s="24">
        <v>3.4100000000000003E-3</v>
      </c>
      <c r="O104" s="24">
        <v>2.0000000000000002E-5</v>
      </c>
      <c r="P104" s="24">
        <v>2.1239999999999999E-6</v>
      </c>
      <c r="Q104" s="24">
        <v>2.0879999999999997E-5</v>
      </c>
    </row>
    <row r="105" spans="2:17" x14ac:dyDescent="0.25">
      <c r="B105" s="22">
        <v>207</v>
      </c>
      <c r="C105" s="22" t="s">
        <v>45</v>
      </c>
      <c r="D105" s="22"/>
      <c r="E105" s="22">
        <v>1</v>
      </c>
      <c r="F105" s="22">
        <v>2.4569999999999999</v>
      </c>
      <c r="G105" s="24">
        <v>5.3139999999999996E-5</v>
      </c>
      <c r="H105" s="24">
        <v>5.6310000000000006E-7</v>
      </c>
      <c r="I105" s="24">
        <v>1.2209999999999999E-4</v>
      </c>
      <c r="J105" s="24">
        <v>1.778E-6</v>
      </c>
      <c r="K105" s="24">
        <v>1.601</v>
      </c>
      <c r="L105" s="24">
        <v>1.599</v>
      </c>
      <c r="M105" s="24">
        <v>3.4900000000000005E-3</v>
      </c>
      <c r="N105" s="24">
        <v>3.5000000000000001E-3</v>
      </c>
      <c r="O105" s="24">
        <v>3.0000000000000001E-5</v>
      </c>
      <c r="P105" s="24">
        <v>3.128E-6</v>
      </c>
      <c r="Q105" s="24">
        <v>2.5049999999999999E-5</v>
      </c>
    </row>
    <row r="106" spans="2:17" x14ac:dyDescent="0.25">
      <c r="B106" s="22">
        <v>209</v>
      </c>
      <c r="C106" s="22" t="s">
        <v>45</v>
      </c>
      <c r="D106" s="22"/>
      <c r="E106" s="22">
        <v>1</v>
      </c>
      <c r="F106" s="22">
        <v>2.4700000000000002</v>
      </c>
      <c r="G106" s="24">
        <v>6.2929999999999995E-5</v>
      </c>
      <c r="H106" s="24">
        <v>4.4970000000000001E-7</v>
      </c>
      <c r="I106" s="24">
        <v>1.405E-4</v>
      </c>
      <c r="J106" s="24">
        <v>1.4359999999999999E-6</v>
      </c>
      <c r="K106" s="24">
        <v>1.59</v>
      </c>
      <c r="L106" s="24">
        <v>1.589</v>
      </c>
      <c r="M106" s="24">
        <v>3.79E-3</v>
      </c>
      <c r="N106" s="24">
        <v>3.7799999999999999E-3</v>
      </c>
      <c r="O106" s="24">
        <v>3.0000000000000001E-5</v>
      </c>
      <c r="P106" s="24">
        <v>2.2269999999999996E-6</v>
      </c>
      <c r="Q106" s="24">
        <v>2.9659999999999997E-5</v>
      </c>
    </row>
    <row r="107" spans="2:17" x14ac:dyDescent="0.25">
      <c r="B107" s="22">
        <v>210</v>
      </c>
      <c r="C107" s="22" t="s">
        <v>45</v>
      </c>
      <c r="D107" s="22"/>
      <c r="E107" s="22">
        <v>1</v>
      </c>
      <c r="F107" s="22">
        <v>2.4769999999999999</v>
      </c>
      <c r="G107" s="24">
        <v>5.4490000000000002E-5</v>
      </c>
      <c r="H107" s="24">
        <v>5.7429999999999995E-7</v>
      </c>
      <c r="I107" s="24">
        <v>1.2339999999999999E-4</v>
      </c>
      <c r="J107" s="24">
        <v>1.8779999999999998E-6</v>
      </c>
      <c r="K107" s="24">
        <v>1.6080000000000001</v>
      </c>
      <c r="L107" s="24">
        <v>1.607</v>
      </c>
      <c r="M107" s="24">
        <v>3.6099999999999999E-3</v>
      </c>
      <c r="N107" s="24">
        <v>3.6000000000000003E-3</v>
      </c>
      <c r="O107" s="24">
        <v>3.0000000000000001E-5</v>
      </c>
      <c r="P107" s="24">
        <v>4.7110000000000003E-6</v>
      </c>
      <c r="Q107" s="24">
        <v>3.1109999999999999E-5</v>
      </c>
    </row>
    <row r="108" spans="2:17" x14ac:dyDescent="0.25">
      <c r="B108" s="22">
        <v>216</v>
      </c>
      <c r="C108" s="22" t="s">
        <v>45</v>
      </c>
      <c r="D108" s="22"/>
      <c r="E108" s="22">
        <v>1</v>
      </c>
      <c r="F108" s="22">
        <v>2.16</v>
      </c>
      <c r="G108" s="24">
        <v>3.7799999999999997E-5</v>
      </c>
      <c r="H108" s="24">
        <v>4.7339999999999999E-7</v>
      </c>
      <c r="I108" s="24">
        <v>8.6319999999999987E-5</v>
      </c>
      <c r="J108" s="24">
        <v>1.6589999999999999E-6</v>
      </c>
      <c r="K108" s="24">
        <v>1.65</v>
      </c>
      <c r="L108" s="24">
        <v>1.649</v>
      </c>
      <c r="M108" s="24">
        <v>3.7200000000000002E-3</v>
      </c>
      <c r="N108" s="24">
        <v>3.7100000000000002E-3</v>
      </c>
      <c r="O108" s="24">
        <v>2.0000000000000002E-5</v>
      </c>
      <c r="P108" s="24">
        <v>2.616E-6</v>
      </c>
      <c r="Q108" s="24">
        <v>1.8449999999999998E-5</v>
      </c>
    </row>
    <row r="109" spans="2:17" x14ac:dyDescent="0.25">
      <c r="B109" s="22">
        <v>217</v>
      </c>
      <c r="C109" s="22" t="s">
        <v>45</v>
      </c>
      <c r="D109" s="22"/>
      <c r="E109" s="22">
        <v>1</v>
      </c>
      <c r="F109" s="22">
        <v>2.5569999999999999</v>
      </c>
      <c r="G109" s="24">
        <v>1.0119999999999999E-4</v>
      </c>
      <c r="H109" s="24">
        <v>7.3210000000000005E-7</v>
      </c>
      <c r="I109" s="24">
        <v>2.2119999999999998E-4</v>
      </c>
      <c r="J109" s="24">
        <v>1.7989999999999998E-6</v>
      </c>
      <c r="K109" s="24">
        <v>1.5640000000000001</v>
      </c>
      <c r="L109" s="24">
        <v>1.5660000000000001</v>
      </c>
      <c r="M109" s="24">
        <v>3.5099999999999997E-3</v>
      </c>
      <c r="N109" s="24">
        <v>3.48E-3</v>
      </c>
      <c r="O109" s="24">
        <v>2.0000000000000002E-5</v>
      </c>
      <c r="P109" s="24">
        <v>4.7039999999999993E-6</v>
      </c>
      <c r="Q109" s="24">
        <v>4.6439999999999996E-5</v>
      </c>
    </row>
    <row r="110" spans="2:17" x14ac:dyDescent="0.25">
      <c r="B110" s="22">
        <v>218</v>
      </c>
      <c r="C110" s="22" t="s">
        <v>45</v>
      </c>
      <c r="D110" s="22"/>
      <c r="E110" s="22">
        <v>1</v>
      </c>
      <c r="F110" s="22">
        <v>2.5840000000000001</v>
      </c>
      <c r="G110" s="24">
        <v>8.2559999999999996E-5</v>
      </c>
      <c r="H110" s="24">
        <v>6.7349999999999999E-7</v>
      </c>
      <c r="I110" s="24">
        <v>1.9099999999999998E-4</v>
      </c>
      <c r="J110" s="24">
        <v>1.469E-6</v>
      </c>
      <c r="K110" s="24">
        <v>1.5389999999999999</v>
      </c>
      <c r="L110" s="24">
        <v>1.5389999999999999</v>
      </c>
      <c r="M110" s="24">
        <v>3.5299999999999997E-3</v>
      </c>
      <c r="N110" s="24">
        <v>3.5200000000000001E-3</v>
      </c>
      <c r="O110" s="24">
        <v>2.0000000000000002E-5</v>
      </c>
      <c r="P110" s="24">
        <v>6.4230000000000002E-6</v>
      </c>
      <c r="Q110" s="24">
        <v>3.7459999999999997E-5</v>
      </c>
    </row>
    <row r="111" spans="2:17" x14ac:dyDescent="0.25">
      <c r="B111" s="22">
        <v>219</v>
      </c>
      <c r="C111" s="22" t="s">
        <v>45</v>
      </c>
      <c r="D111" s="22"/>
      <c r="E111" s="22">
        <v>1</v>
      </c>
      <c r="F111" s="22">
        <v>2.5840000000000001</v>
      </c>
      <c r="G111" s="24">
        <v>1.047E-5</v>
      </c>
      <c r="H111" s="24">
        <v>9.2500000000000001E-8</v>
      </c>
      <c r="I111" s="24">
        <v>2.8449999999999997E-5</v>
      </c>
      <c r="J111" s="24">
        <v>2.3869999999999999E-7</v>
      </c>
      <c r="K111" s="24">
        <v>1.5369999999999999</v>
      </c>
      <c r="L111" s="24">
        <v>1.536</v>
      </c>
      <c r="M111" s="24">
        <v>3.1900000000000001E-3</v>
      </c>
      <c r="N111" s="24">
        <v>3.1700000000000001E-3</v>
      </c>
      <c r="O111" s="24">
        <v>3.0000000000000001E-5</v>
      </c>
      <c r="P111" s="24">
        <v>5.0000000000000008E-7</v>
      </c>
      <c r="Q111" s="24">
        <v>4.583E-6</v>
      </c>
    </row>
    <row r="112" spans="2:17" x14ac:dyDescent="0.25">
      <c r="B112" s="22">
        <v>222</v>
      </c>
      <c r="C112" s="22" t="s">
        <v>45</v>
      </c>
      <c r="D112" s="22"/>
      <c r="E112" s="22">
        <v>1</v>
      </c>
      <c r="F112" s="22">
        <v>2.5259999999999998</v>
      </c>
      <c r="G112" s="24">
        <v>8.3200000000000003E-5</v>
      </c>
      <c r="H112" s="24">
        <v>4.5680000000000001E-7</v>
      </c>
      <c r="I112" s="24">
        <v>2.0209999999999998E-4</v>
      </c>
      <c r="J112" s="24">
        <v>1.347E-6</v>
      </c>
      <c r="K112" s="24">
        <v>1.5429999999999999</v>
      </c>
      <c r="L112" s="24">
        <v>1.5429999999999999</v>
      </c>
      <c r="M112" s="24">
        <v>3.6800000000000001E-3</v>
      </c>
      <c r="N112" s="24">
        <v>3.6800000000000001E-3</v>
      </c>
      <c r="O112" s="24">
        <v>3.0000000000000001E-5</v>
      </c>
      <c r="P112" s="24">
        <v>3.366E-6</v>
      </c>
      <c r="Q112" s="24">
        <v>3.5439999999999999E-5</v>
      </c>
    </row>
    <row r="113" spans="2:17" x14ac:dyDescent="0.25">
      <c r="B113" s="22">
        <v>223</v>
      </c>
      <c r="C113" s="22" t="s">
        <v>45</v>
      </c>
      <c r="D113" s="22"/>
      <c r="E113" s="22">
        <v>1</v>
      </c>
      <c r="F113" s="22">
        <v>2.625</v>
      </c>
      <c r="G113" s="24">
        <v>1.099E-4</v>
      </c>
      <c r="H113" s="24">
        <v>7.6750000000000006E-7</v>
      </c>
      <c r="I113" s="24">
        <v>2.3440000000000001E-4</v>
      </c>
      <c r="J113" s="24">
        <v>1.4839999999999999E-6</v>
      </c>
      <c r="K113" s="24">
        <v>1.478</v>
      </c>
      <c r="L113" s="24">
        <v>1.478</v>
      </c>
      <c r="M113" s="24">
        <v>3.6200000000000004E-3</v>
      </c>
      <c r="N113" s="24">
        <v>3.6099999999999999E-3</v>
      </c>
      <c r="O113" s="24">
        <v>2.0000000000000002E-5</v>
      </c>
      <c r="P113" s="24">
        <v>7.029E-6</v>
      </c>
      <c r="Q113" s="24">
        <v>4.7490000000000001E-5</v>
      </c>
    </row>
    <row r="114" spans="2:17" x14ac:dyDescent="0.25">
      <c r="B114" s="22">
        <v>224</v>
      </c>
      <c r="C114" s="22" t="s">
        <v>45</v>
      </c>
      <c r="D114" s="22"/>
      <c r="E114" s="22">
        <v>1</v>
      </c>
      <c r="F114" s="22">
        <v>2.4369999999999998</v>
      </c>
      <c r="G114" s="24">
        <v>5.3219999999999995E-5</v>
      </c>
      <c r="H114" s="24">
        <v>3.9100000000000005E-7</v>
      </c>
      <c r="I114" s="24">
        <v>1.203E-4</v>
      </c>
      <c r="J114" s="24">
        <v>1.333E-6</v>
      </c>
      <c r="K114" s="24">
        <v>1.605</v>
      </c>
      <c r="L114" s="24">
        <v>1.6020000000000001</v>
      </c>
      <c r="M114" s="24">
        <v>3.6099999999999999E-3</v>
      </c>
      <c r="N114" s="24">
        <v>3.6000000000000003E-3</v>
      </c>
      <c r="O114" s="24">
        <v>2.0000000000000002E-5</v>
      </c>
      <c r="P114" s="24">
        <v>2.0590000000000001E-6</v>
      </c>
      <c r="Q114" s="24">
        <v>2.4689999999999999E-5</v>
      </c>
    </row>
    <row r="115" spans="2:17" x14ac:dyDescent="0.25">
      <c r="B115" s="22">
        <v>225</v>
      </c>
      <c r="C115" s="22" t="s">
        <v>45</v>
      </c>
      <c r="D115" s="22"/>
      <c r="E115" s="22">
        <v>1</v>
      </c>
      <c r="F115" s="22">
        <v>2.4900000000000002</v>
      </c>
      <c r="G115" s="24">
        <v>3.8979999999999996E-5</v>
      </c>
      <c r="H115" s="24">
        <v>2.7360000000000001E-7</v>
      </c>
      <c r="I115" s="24">
        <v>8.7319999999999984E-5</v>
      </c>
      <c r="J115" s="24">
        <v>8.216000000000001E-7</v>
      </c>
      <c r="K115" s="24">
        <v>1.5509999999999999</v>
      </c>
      <c r="L115" s="24">
        <v>1.5529999999999999</v>
      </c>
      <c r="M115" s="24">
        <v>3.64E-3</v>
      </c>
      <c r="N115" s="24">
        <v>3.64E-3</v>
      </c>
      <c r="O115" s="24">
        <v>3.0000000000000001E-5</v>
      </c>
      <c r="P115" s="24">
        <v>1.491E-6</v>
      </c>
      <c r="Q115" s="24">
        <v>1.8539999999999999E-5</v>
      </c>
    </row>
    <row r="116" spans="2:17" x14ac:dyDescent="0.25">
      <c r="B116" s="22">
        <v>226</v>
      </c>
      <c r="C116" s="22" t="s">
        <v>45</v>
      </c>
      <c r="D116" s="22"/>
      <c r="E116" s="22">
        <v>1</v>
      </c>
      <c r="F116" s="22">
        <v>2.6419999999999999</v>
      </c>
      <c r="G116" s="24">
        <v>7.1349999999999986E-5</v>
      </c>
      <c r="H116" s="24">
        <v>4.3370000000000003E-7</v>
      </c>
      <c r="I116" s="24">
        <v>1.639E-4</v>
      </c>
      <c r="J116" s="24">
        <v>1.1959999999999999E-6</v>
      </c>
      <c r="K116" s="24">
        <v>1.524</v>
      </c>
      <c r="L116" s="24">
        <v>1.524</v>
      </c>
      <c r="M116" s="24">
        <v>3.5899999999999999E-3</v>
      </c>
      <c r="N116" s="24">
        <v>3.5800000000000003E-3</v>
      </c>
      <c r="O116" s="24">
        <v>2.0000000000000002E-5</v>
      </c>
      <c r="P116" s="24">
        <v>3.3279999999999997E-6</v>
      </c>
      <c r="Q116" s="24">
        <v>3.1510000000000002E-5</v>
      </c>
    </row>
    <row r="117" spans="2:17" x14ac:dyDescent="0.25">
      <c r="B117" s="22">
        <v>227</v>
      </c>
      <c r="C117" s="22" t="s">
        <v>45</v>
      </c>
      <c r="D117" s="22"/>
      <c r="E117" s="22">
        <v>1</v>
      </c>
      <c r="F117" s="22">
        <v>2.343</v>
      </c>
      <c r="G117" s="24">
        <v>5.0969999999999995E-5</v>
      </c>
      <c r="H117" s="24">
        <v>5.299E-7</v>
      </c>
      <c r="I117" s="24">
        <v>1.094E-4</v>
      </c>
      <c r="J117" s="24">
        <v>1.6109999999999999E-6</v>
      </c>
      <c r="K117" s="24">
        <v>1.5940000000000001</v>
      </c>
      <c r="L117" s="24">
        <v>1.593</v>
      </c>
      <c r="M117" s="24">
        <v>3.6600000000000001E-3</v>
      </c>
      <c r="N117" s="24">
        <v>3.6700000000000001E-3</v>
      </c>
      <c r="O117" s="24">
        <v>2.0000000000000002E-5</v>
      </c>
      <c r="P117" s="24">
        <v>2.492E-6</v>
      </c>
      <c r="Q117" s="24">
        <v>2.584E-5</v>
      </c>
    </row>
    <row r="118" spans="2:17" x14ac:dyDescent="0.25">
      <c r="B118" s="22">
        <v>228</v>
      </c>
      <c r="C118" s="22" t="s">
        <v>45</v>
      </c>
      <c r="D118" s="22"/>
      <c r="E118" s="22">
        <v>1</v>
      </c>
      <c r="F118" s="22">
        <v>2.399</v>
      </c>
      <c r="G118" s="24">
        <v>4.2709999999999996E-5</v>
      </c>
      <c r="H118" s="24">
        <v>2.6860000000000006E-7</v>
      </c>
      <c r="I118" s="24">
        <v>9.4250000000000001E-5</v>
      </c>
      <c r="J118" s="24">
        <v>7.9930000000000002E-7</v>
      </c>
      <c r="K118" s="24">
        <v>1.528</v>
      </c>
      <c r="L118" s="24">
        <v>1.528</v>
      </c>
      <c r="M118" s="24">
        <v>3.7799999999999999E-3</v>
      </c>
      <c r="N118" s="24">
        <v>3.7799999999999999E-3</v>
      </c>
      <c r="O118" s="24">
        <v>3.0000000000000001E-5</v>
      </c>
      <c r="P118" s="24">
        <v>3.7959999999999997E-6</v>
      </c>
      <c r="Q118" s="24">
        <v>3.2200000000000003E-5</v>
      </c>
    </row>
    <row r="119" spans="2:17" x14ac:dyDescent="0.25">
      <c r="B119" s="22">
        <v>230</v>
      </c>
      <c r="C119" s="22" t="s">
        <v>45</v>
      </c>
      <c r="D119" s="22"/>
      <c r="E119" s="22">
        <v>1</v>
      </c>
      <c r="F119" s="22">
        <v>2.379</v>
      </c>
      <c r="G119" s="24">
        <v>2.4449999999999998E-5</v>
      </c>
      <c r="H119" s="24">
        <v>2.5620000000000003E-7</v>
      </c>
      <c r="I119" s="24">
        <v>6.2100000000000005E-5</v>
      </c>
      <c r="J119" s="24">
        <v>9.3780000000000005E-7</v>
      </c>
      <c r="K119" s="24">
        <v>1.645</v>
      </c>
      <c r="L119" s="24">
        <v>1.647</v>
      </c>
      <c r="M119" s="24">
        <v>3.6200000000000004E-3</v>
      </c>
      <c r="N119" s="24">
        <v>3.63E-3</v>
      </c>
      <c r="O119" s="24">
        <v>2.0000000000000002E-5</v>
      </c>
      <c r="P119" s="24">
        <v>1.7129999999999999E-6</v>
      </c>
      <c r="Q119" s="24">
        <v>1.0749999999999999E-5</v>
      </c>
    </row>
    <row r="120" spans="2:17" x14ac:dyDescent="0.25">
      <c r="B120" s="22">
        <v>234</v>
      </c>
      <c r="C120" s="22" t="s">
        <v>45</v>
      </c>
      <c r="D120" s="22"/>
      <c r="E120" s="22">
        <v>1</v>
      </c>
      <c r="F120" s="22">
        <v>2.4950000000000001</v>
      </c>
      <c r="G120" s="24">
        <v>3.3359999999999999E-5</v>
      </c>
      <c r="H120" s="24">
        <v>1.8140000000000002E-7</v>
      </c>
      <c r="I120" s="24">
        <v>7.531999999999999E-5</v>
      </c>
      <c r="J120" s="24">
        <v>6.0970000000000007E-7</v>
      </c>
      <c r="K120" s="24">
        <v>1.6240000000000001</v>
      </c>
      <c r="L120" s="24">
        <v>1.6240000000000001</v>
      </c>
      <c r="M120" s="24">
        <v>3.4199999999999999E-3</v>
      </c>
      <c r="N120" s="24">
        <v>3.3900000000000002E-3</v>
      </c>
      <c r="O120" s="24">
        <v>2.0000000000000002E-5</v>
      </c>
      <c r="P120" s="24">
        <v>9.639E-7</v>
      </c>
      <c r="Q120" s="24">
        <v>1.5029999999999998E-5</v>
      </c>
    </row>
    <row r="121" spans="2:17" x14ac:dyDescent="0.25">
      <c r="B121" s="22">
        <v>235</v>
      </c>
      <c r="C121" s="22" t="s">
        <v>45</v>
      </c>
      <c r="D121" s="22"/>
      <c r="E121" s="22">
        <v>1</v>
      </c>
      <c r="F121" s="22">
        <v>2.5649999999999999</v>
      </c>
      <c r="G121" s="24">
        <v>4.8419999999999996E-6</v>
      </c>
      <c r="H121" s="24">
        <v>5.1700000000000006E-8</v>
      </c>
      <c r="I121" s="24">
        <v>1.9059999999999997E-5</v>
      </c>
      <c r="J121" s="24">
        <v>1.0220000000000002E-7</v>
      </c>
      <c r="K121" s="24">
        <v>1.5840000000000001</v>
      </c>
      <c r="L121" s="24">
        <v>1.5860000000000001</v>
      </c>
      <c r="M121" s="24">
        <v>3.1900000000000001E-3</v>
      </c>
      <c r="N121" s="24">
        <v>3.1800000000000001E-3</v>
      </c>
      <c r="O121" s="24">
        <v>2.0000000000000002E-5</v>
      </c>
      <c r="P121" s="24">
        <v>3.5480000000000003E-7</v>
      </c>
      <c r="Q121" s="24">
        <v>1.7829999999999999E-6</v>
      </c>
    </row>
    <row r="122" spans="2:17" x14ac:dyDescent="0.25">
      <c r="B122" s="22">
        <v>240</v>
      </c>
      <c r="C122" s="22" t="s">
        <v>45</v>
      </c>
      <c r="D122" s="22"/>
      <c r="E122" s="22">
        <v>1</v>
      </c>
      <c r="F122" s="22">
        <v>2.6339999999999999</v>
      </c>
      <c r="G122" s="24">
        <v>9.7359999999999989E-5</v>
      </c>
      <c r="H122" s="24">
        <v>6.5110000000000011E-7</v>
      </c>
      <c r="I122" s="24">
        <v>2.119E-4</v>
      </c>
      <c r="J122" s="24">
        <v>1.494E-6</v>
      </c>
      <c r="K122" s="24">
        <v>1.508</v>
      </c>
      <c r="L122" s="24">
        <v>1.508</v>
      </c>
      <c r="M122" s="24">
        <v>3.6200000000000004E-3</v>
      </c>
      <c r="N122" s="24">
        <v>3.6099999999999999E-3</v>
      </c>
      <c r="O122" s="24">
        <v>2.0000000000000002E-5</v>
      </c>
      <c r="P122" s="24">
        <v>4.9869999999999999E-6</v>
      </c>
      <c r="Q122" s="24">
        <v>4.3420000000000001E-5</v>
      </c>
    </row>
    <row r="123" spans="2:17" x14ac:dyDescent="0.25">
      <c r="B123" s="22">
        <v>242</v>
      </c>
      <c r="C123" s="22" t="s">
        <v>45</v>
      </c>
      <c r="D123" s="22"/>
      <c r="E123" s="22">
        <v>1</v>
      </c>
      <c r="F123" s="22">
        <v>2.363</v>
      </c>
      <c r="G123" s="24">
        <v>3.0710000000000002E-5</v>
      </c>
      <c r="H123" s="24">
        <v>2.6150000000000001E-7</v>
      </c>
      <c r="I123" s="24">
        <v>6.8940000000000001E-5</v>
      </c>
      <c r="J123" s="24">
        <v>8.0220000000000013E-7</v>
      </c>
      <c r="K123" s="24">
        <v>1.595</v>
      </c>
      <c r="L123" s="24">
        <v>1.595</v>
      </c>
      <c r="M123" s="24">
        <v>3.63E-3</v>
      </c>
      <c r="N123" s="24">
        <v>3.6099999999999999E-3</v>
      </c>
      <c r="O123" s="24">
        <v>2.0000000000000002E-5</v>
      </c>
      <c r="P123" s="24">
        <v>1.246E-6</v>
      </c>
      <c r="Q123" s="24">
        <v>1.522E-5</v>
      </c>
    </row>
    <row r="124" spans="2:17" x14ac:dyDescent="0.25">
      <c r="B124" s="22">
        <v>244</v>
      </c>
      <c r="C124" s="22" t="s">
        <v>45</v>
      </c>
      <c r="D124" s="22"/>
      <c r="E124" s="22">
        <v>1</v>
      </c>
      <c r="F124" s="22">
        <v>2.508</v>
      </c>
      <c r="G124" s="24">
        <v>1.6769999999999998E-4</v>
      </c>
      <c r="H124" s="24">
        <v>2.0779999999999998E-6</v>
      </c>
      <c r="I124" s="24">
        <v>3.3949999999999996E-4</v>
      </c>
      <c r="J124" s="24">
        <v>2.2739999999999997E-6</v>
      </c>
      <c r="K124" s="24">
        <v>1.45</v>
      </c>
      <c r="L124" s="24">
        <v>1.452</v>
      </c>
      <c r="M124" s="24">
        <v>3.7599999999999999E-3</v>
      </c>
      <c r="N124" s="24">
        <v>3.7499999999999999E-3</v>
      </c>
      <c r="O124" s="24">
        <v>2.0000000000000002E-5</v>
      </c>
      <c r="P124" s="24">
        <v>1.7439999999999999E-5</v>
      </c>
      <c r="Q124" s="24">
        <v>7.6139999999999999E-5</v>
      </c>
    </row>
    <row r="125" spans="2:17" x14ac:dyDescent="0.25">
      <c r="B125" s="22">
        <v>246</v>
      </c>
      <c r="C125" s="22" t="s">
        <v>45</v>
      </c>
      <c r="D125" s="22"/>
      <c r="E125" s="22">
        <v>1</v>
      </c>
      <c r="F125" s="22">
        <v>2.3260000000000001</v>
      </c>
      <c r="G125" s="24">
        <v>4.0299999999999997E-5</v>
      </c>
      <c r="H125" s="24">
        <v>3.1440000000000001E-7</v>
      </c>
      <c r="I125" s="24">
        <v>8.7559999999999995E-5</v>
      </c>
      <c r="J125" s="24">
        <v>9.2690000000000007E-7</v>
      </c>
      <c r="K125" s="24">
        <v>1.5640000000000001</v>
      </c>
      <c r="L125" s="24">
        <v>1.5629999999999999</v>
      </c>
      <c r="M125" s="24">
        <v>3.64E-3</v>
      </c>
      <c r="N125" s="24">
        <v>3.63E-3</v>
      </c>
      <c r="O125" s="24">
        <v>2.0000000000000002E-5</v>
      </c>
      <c r="P125" s="24">
        <v>1.6319999999999998E-6</v>
      </c>
      <c r="Q125" s="24">
        <v>1.9530000000000001E-5</v>
      </c>
    </row>
    <row r="126" spans="2:17" x14ac:dyDescent="0.25">
      <c r="B126" s="22">
        <v>248</v>
      </c>
      <c r="C126" s="22" t="s">
        <v>45</v>
      </c>
      <c r="D126" s="22"/>
      <c r="E126" s="22">
        <v>1</v>
      </c>
      <c r="F126" s="22">
        <v>2.3559999999999999</v>
      </c>
      <c r="G126" s="24">
        <v>3.8689999999999997E-5</v>
      </c>
      <c r="H126" s="24">
        <v>5.2839999999999999E-7</v>
      </c>
      <c r="I126" s="24">
        <v>8.4839999999999994E-5</v>
      </c>
      <c r="J126" s="24">
        <v>1.6419999999999999E-6</v>
      </c>
      <c r="K126" s="24">
        <v>1.6359999999999999</v>
      </c>
      <c r="L126" s="24">
        <v>1.6339999999999999</v>
      </c>
      <c r="M126" s="24">
        <v>3.5800000000000003E-3</v>
      </c>
      <c r="N126" s="24">
        <v>3.5699999999999998E-3</v>
      </c>
      <c r="O126" s="24">
        <v>2.0000000000000002E-5</v>
      </c>
      <c r="P126" s="24">
        <v>2.6639999999999998E-6</v>
      </c>
      <c r="Q126" s="24">
        <v>1.897E-5</v>
      </c>
    </row>
  </sheetData>
  <sheetProtection algorithmName="SHA-512" hashValue="V15IXRTVMqBULM2EnU3LgnyD+XOhS5SWtjUA1333ZJmEaj/p+/bzExrW6H5Kl/txMHV1zvej6J5H0Unx6IJmEg==" saltValue="E2PocsGL8xwiPqTf31C6eQ==" spinCount="100000" sheet="1" objects="1" scenarios="1" sort="0" autoFilter="0"/>
  <autoFilter ref="A10:Q126" xr:uid="{D56B4327-81A0-4F3D-8FF8-B65A322FBD2B}"/>
  <mergeCells count="13">
    <mergeCell ref="A1:F1"/>
    <mergeCell ref="K1:L1"/>
    <mergeCell ref="M1:N1"/>
    <mergeCell ref="A2:B2"/>
    <mergeCell ref="C2:D2"/>
    <mergeCell ref="E2:F2"/>
    <mergeCell ref="H2:Q2"/>
    <mergeCell ref="A3:B3"/>
    <mergeCell ref="C3:D3"/>
    <mergeCell ref="E3:F3"/>
    <mergeCell ref="H3:Q3"/>
    <mergeCell ref="A4:G4"/>
    <mergeCell ref="H4:Q4"/>
  </mergeCells>
  <conditionalFormatting sqref="A11:A64">
    <cfRule type="duplicateValues" dxfId="34" priority="11"/>
  </conditionalFormatting>
  <conditionalFormatting sqref="A3:G3">
    <cfRule type="cellIs" dxfId="33" priority="1" operator="equal">
      <formula>0</formula>
    </cfRule>
  </conditionalFormatting>
  <conditionalFormatting sqref="B10">
    <cfRule type="cellIs" dxfId="32" priority="10" operator="equal">
      <formula>"All Pass"</formula>
    </cfRule>
  </conditionalFormatting>
  <conditionalFormatting sqref="B11:B64">
    <cfRule type="duplicateValues" dxfId="31" priority="12"/>
  </conditionalFormatting>
  <conditionalFormatting sqref="C11:C1807">
    <cfRule type="containsBlanks" dxfId="30" priority="6">
      <formula>LEN(TRIM(C11))=0</formula>
    </cfRule>
    <cfRule type="cellIs" dxfId="29" priority="7" operator="equal">
      <formula>"ALL PASS"</formula>
    </cfRule>
    <cfRule type="cellIs" dxfId="28" priority="8" stopIfTrue="1" operator="equal">
      <formula>"ND"</formula>
    </cfRule>
    <cfRule type="cellIs" dxfId="27" priority="9" operator="notEqual">
      <formula>"ALL PASS"</formula>
    </cfRule>
  </conditionalFormatting>
  <conditionalFormatting sqref="E11:E1807">
    <cfRule type="cellIs" dxfId="26" priority="3" stopIfTrue="1" operator="equal">
      <formula>99</formula>
    </cfRule>
    <cfRule type="cellIs" dxfId="25" priority="4" operator="between">
      <formula>2</formula>
      <formula>98</formula>
    </cfRule>
    <cfRule type="cellIs" dxfId="24" priority="5" operator="equal">
      <formula>1</formula>
    </cfRule>
  </conditionalFormatting>
  <conditionalFormatting sqref="O1:Q1">
    <cfRule type="containsBlanks" dxfId="23" priority="2">
      <formula>LEN(TRIM(O1))=0</formula>
    </cfRule>
  </conditionalFormatting>
  <hyperlinks>
    <hyperlink ref="H1" location="INDEX!A1" display="RETURN TO INDEX" xr:uid="{65986DD4-979D-4CA9-99BF-BE1E6CC7C0D9}"/>
    <hyperlink ref="H1:I1" location="INDEX!A1" display="RETURN TO INDEX" xr:uid="{9FBCE9DC-4348-4D89-B1BF-11FA1AA98AB8}"/>
    <hyperlink ref="M1" location="'SCREENING STATUS'!A1" display="SCREENING STATUS" xr:uid="{11A94627-A667-4257-B074-12C4AC65BEEC}"/>
    <hyperlink ref="J1" location="SUMMARY!A1" display="SUMMARY" xr:uid="{A5494FCB-771F-40BF-B271-0BE255107C4A}"/>
    <hyperlink ref="K1" location="'SCREENING STATUS'!A1" display="SCREENING STATUS" xr:uid="{CF662B82-E151-4560-9CC6-C42A1F49532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0E54-B1B4-4D96-B9D0-F2576B327634}">
  <sheetPr>
    <tabColor theme="4" tint="-0.249977111117893"/>
  </sheetPr>
  <dimension ref="A1:H129"/>
  <sheetViews>
    <sheetView zoomScale="95" zoomScaleNormal="95" workbookViewId="0">
      <pane xSplit="3" ySplit="13" topLeftCell="D14" activePane="bottomRight" state="frozen"/>
      <selection activeCell="A2" sqref="A2:XFD2"/>
      <selection pane="topRight" activeCell="A2" sqref="A2:XFD2"/>
      <selection pane="bottomLeft" activeCell="A2" sqref="A2:XFD2"/>
      <selection pane="bottomRight" activeCell="D14" sqref="D14"/>
    </sheetView>
  </sheetViews>
  <sheetFormatPr defaultColWidth="0" defaultRowHeight="15" zeroHeight="1" x14ac:dyDescent="0.25"/>
  <cols>
    <col min="1" max="1" width="18.85546875" customWidth="1"/>
    <col min="2" max="2" width="12.28515625" style="6" customWidth="1"/>
    <col min="3" max="3" width="13.5703125" style="6" customWidth="1"/>
    <col min="4" max="4" width="5.5703125" style="6" customWidth="1"/>
    <col min="5" max="5" width="3.85546875" style="6" customWidth="1"/>
    <col min="6" max="7" width="18.85546875" customWidth="1"/>
    <col min="8" max="8" width="30.42578125" customWidth="1"/>
  </cols>
  <sheetData>
    <row r="1" spans="1:8" ht="24" x14ac:dyDescent="0.25">
      <c r="A1" s="81" t="s">
        <v>46</v>
      </c>
      <c r="B1" s="81"/>
      <c r="C1" s="81"/>
      <c r="D1" s="87" t="s">
        <v>1</v>
      </c>
      <c r="E1" s="87"/>
      <c r="F1" s="87"/>
      <c r="G1" s="87"/>
      <c r="H1" s="3" t="s">
        <v>2</v>
      </c>
    </row>
    <row r="2" spans="1:8" ht="15.75" x14ac:dyDescent="0.25">
      <c r="A2" s="76" t="s">
        <v>99</v>
      </c>
      <c r="B2" s="76"/>
      <c r="C2" s="76" t="s">
        <v>100</v>
      </c>
      <c r="D2" s="76"/>
      <c r="E2" s="76" t="s">
        <v>101</v>
      </c>
      <c r="F2" s="76"/>
      <c r="G2" s="7" t="s">
        <v>102</v>
      </c>
      <c r="H2" s="7"/>
    </row>
    <row r="3" spans="1:8" ht="23.25" customHeight="1" x14ac:dyDescent="0.25">
      <c r="A3" s="88" t="s">
        <v>103</v>
      </c>
      <c r="B3" s="88"/>
      <c r="C3" s="88" t="s">
        <v>103</v>
      </c>
      <c r="D3" s="88"/>
      <c r="E3" s="88"/>
      <c r="F3" s="88"/>
      <c r="G3" s="38">
        <v>2346</v>
      </c>
      <c r="H3" s="7"/>
    </row>
    <row r="4" spans="1:8" ht="24" x14ac:dyDescent="0.25">
      <c r="A4" s="83" t="s">
        <v>71</v>
      </c>
      <c r="B4" s="84"/>
      <c r="C4" s="84"/>
      <c r="D4" s="84"/>
      <c r="E4" s="84"/>
      <c r="F4" s="84"/>
      <c r="G4" s="84"/>
      <c r="H4" s="84"/>
    </row>
    <row r="5" spans="1:8" ht="24" x14ac:dyDescent="0.25">
      <c r="A5" s="77" t="s">
        <v>72</v>
      </c>
      <c r="B5" s="78"/>
      <c r="C5" s="78"/>
      <c r="D5" s="78"/>
      <c r="E5" s="78"/>
      <c r="F5" s="78"/>
      <c r="G5" s="78"/>
      <c r="H5" s="78"/>
    </row>
    <row r="6" spans="1:8" ht="24" x14ac:dyDescent="0.25">
      <c r="A6" s="77" t="s">
        <v>8</v>
      </c>
      <c r="B6" s="78"/>
      <c r="C6" s="78"/>
      <c r="D6" s="78"/>
      <c r="E6" s="78"/>
      <c r="F6" s="78"/>
      <c r="G6" s="78"/>
      <c r="H6" s="78"/>
    </row>
    <row r="7" spans="1:8" ht="24" x14ac:dyDescent="0.4">
      <c r="A7" s="85" t="str">
        <f>IF($B$8=$B$9,"PASS","FAIL")</f>
        <v>PASS</v>
      </c>
      <c r="B7" s="86"/>
      <c r="C7" s="86"/>
      <c r="D7" s="86"/>
      <c r="E7" s="86"/>
      <c r="F7" s="86"/>
      <c r="G7" s="86"/>
      <c r="H7" s="86"/>
    </row>
    <row r="8" spans="1:8" x14ac:dyDescent="0.25">
      <c r="A8" s="8" t="s">
        <v>9</v>
      </c>
      <c r="B8" s="9">
        <f>COUNTA(C$14:C$2000)-COUNTIF(C14:C$2000,"ND")</f>
        <v>116</v>
      </c>
      <c r="C8" s="10"/>
      <c r="D8" s="11"/>
      <c r="E8" s="11"/>
      <c r="F8" s="12"/>
      <c r="G8" s="12"/>
      <c r="H8" s="13"/>
    </row>
    <row r="9" spans="1:8" x14ac:dyDescent="0.25">
      <c r="A9" s="14" t="s">
        <v>10</v>
      </c>
      <c r="B9" s="15">
        <f>COUNTIF(C14:C$2000,"All Pass")</f>
        <v>116</v>
      </c>
      <c r="C9" s="16"/>
      <c r="D9" s="16"/>
      <c r="E9" s="16"/>
      <c r="F9" s="17" t="s">
        <v>11</v>
      </c>
      <c r="G9" s="17" t="s">
        <v>51</v>
      </c>
      <c r="H9" s="18" t="s">
        <v>52</v>
      </c>
    </row>
    <row r="10" spans="1:8" x14ac:dyDescent="0.25">
      <c r="A10" s="14" t="s">
        <v>20</v>
      </c>
      <c r="B10" s="15">
        <f>COUNTIF(C14:C$2000,"ND")</f>
        <v>0</v>
      </c>
      <c r="C10" s="16"/>
      <c r="D10" s="16"/>
      <c r="E10" s="16"/>
      <c r="F10" s="17" t="s">
        <v>21</v>
      </c>
      <c r="G10" s="17" t="s">
        <v>62</v>
      </c>
      <c r="H10" s="18" t="s">
        <v>25</v>
      </c>
    </row>
    <row r="11" spans="1:8" x14ac:dyDescent="0.25">
      <c r="A11" s="14" t="s">
        <v>28</v>
      </c>
      <c r="B11" s="15">
        <f>B8-B9</f>
        <v>0</v>
      </c>
      <c r="C11" s="16"/>
      <c r="D11" s="16"/>
      <c r="E11" s="16"/>
      <c r="F11" s="17" t="s">
        <v>29</v>
      </c>
      <c r="G11" s="17" t="s">
        <v>34</v>
      </c>
      <c r="H11" s="18" t="s">
        <v>34</v>
      </c>
    </row>
    <row r="12" spans="1:8" x14ac:dyDescent="0.25">
      <c r="A12" s="16" t="s">
        <v>38</v>
      </c>
      <c r="B12" s="16" t="s">
        <v>39</v>
      </c>
      <c r="C12" s="16" t="s">
        <v>40</v>
      </c>
      <c r="D12" s="16" t="s">
        <v>41</v>
      </c>
      <c r="E12" s="16" t="s">
        <v>42</v>
      </c>
      <c r="F12" s="17" t="s">
        <v>68</v>
      </c>
      <c r="G12" s="17"/>
      <c r="H12" s="19"/>
    </row>
    <row r="13" spans="1:8" x14ac:dyDescent="0.25">
      <c r="A13" s="29"/>
      <c r="B13" s="30"/>
      <c r="C13" s="31"/>
      <c r="D13" s="31"/>
      <c r="E13" s="32"/>
      <c r="F13" s="33"/>
      <c r="G13" s="34"/>
      <c r="H13" s="35"/>
    </row>
    <row r="14" spans="1:8" x14ac:dyDescent="0.25">
      <c r="B14" s="22">
        <v>2</v>
      </c>
      <c r="C14" s="22" t="s">
        <v>45</v>
      </c>
      <c r="D14" s="22"/>
      <c r="E14" s="22">
        <v>1</v>
      </c>
      <c r="F14" s="22">
        <v>3.383</v>
      </c>
      <c r="G14" s="24">
        <v>1.639</v>
      </c>
      <c r="H14" s="24">
        <v>1.641</v>
      </c>
    </row>
    <row r="15" spans="1:8" x14ac:dyDescent="0.25">
      <c r="B15" s="22">
        <v>6</v>
      </c>
      <c r="C15" s="22" t="s">
        <v>45</v>
      </c>
      <c r="D15" s="22"/>
      <c r="E15" s="22">
        <v>1</v>
      </c>
      <c r="F15" s="22">
        <v>3.1160000000000001</v>
      </c>
      <c r="G15" s="24">
        <v>1.66</v>
      </c>
      <c r="H15" s="24">
        <v>1.66</v>
      </c>
    </row>
    <row r="16" spans="1:8" x14ac:dyDescent="0.25">
      <c r="B16" s="22">
        <v>9</v>
      </c>
      <c r="C16" s="22" t="s">
        <v>45</v>
      </c>
      <c r="D16" s="22"/>
      <c r="E16" s="22">
        <v>1</v>
      </c>
      <c r="F16" s="22">
        <v>3.2970000000000002</v>
      </c>
      <c r="G16" s="24">
        <v>1.6879999999999999</v>
      </c>
      <c r="H16" s="24">
        <v>1.6879999999999999</v>
      </c>
    </row>
    <row r="17" spans="2:8" x14ac:dyDescent="0.25">
      <c r="B17" s="22">
        <v>13</v>
      </c>
      <c r="C17" s="22" t="s">
        <v>45</v>
      </c>
      <c r="D17" s="22"/>
      <c r="E17" s="22">
        <v>1</v>
      </c>
      <c r="F17" s="22">
        <v>3.5390000000000001</v>
      </c>
      <c r="G17" s="24">
        <v>1.5860000000000001</v>
      </c>
      <c r="H17" s="24">
        <v>1.5860000000000001</v>
      </c>
    </row>
    <row r="18" spans="2:8" x14ac:dyDescent="0.25">
      <c r="B18" s="22">
        <v>16</v>
      </c>
      <c r="C18" s="22" t="s">
        <v>45</v>
      </c>
      <c r="D18" s="22"/>
      <c r="E18" s="22">
        <v>1</v>
      </c>
      <c r="F18" s="22">
        <v>3.4239999999999999</v>
      </c>
      <c r="G18" s="24">
        <v>1.669</v>
      </c>
      <c r="H18" s="24">
        <v>1.6679999999999999</v>
      </c>
    </row>
    <row r="19" spans="2:8" x14ac:dyDescent="0.25">
      <c r="B19" s="22">
        <v>17</v>
      </c>
      <c r="C19" s="22" t="s">
        <v>45</v>
      </c>
      <c r="D19" s="22"/>
      <c r="E19" s="22">
        <v>1</v>
      </c>
      <c r="F19" s="22">
        <v>3.4470000000000001</v>
      </c>
      <c r="G19" s="24">
        <v>1.6519999999999999</v>
      </c>
      <c r="H19" s="24">
        <v>1.655</v>
      </c>
    </row>
    <row r="20" spans="2:8" x14ac:dyDescent="0.25">
      <c r="B20" s="22">
        <v>18</v>
      </c>
      <c r="C20" s="22" t="s">
        <v>45</v>
      </c>
      <c r="D20" s="22"/>
      <c r="E20" s="22">
        <v>1</v>
      </c>
      <c r="F20" s="22">
        <v>3.367</v>
      </c>
      <c r="G20" s="24">
        <v>1.663</v>
      </c>
      <c r="H20" s="24">
        <v>1.663</v>
      </c>
    </row>
    <row r="21" spans="2:8" x14ac:dyDescent="0.25">
      <c r="B21" s="22">
        <v>20</v>
      </c>
      <c r="C21" s="22" t="s">
        <v>45</v>
      </c>
      <c r="D21" s="22"/>
      <c r="E21" s="22">
        <v>1</v>
      </c>
      <c r="F21" s="22">
        <v>3.427</v>
      </c>
      <c r="G21" s="24">
        <v>1.635</v>
      </c>
      <c r="H21" s="24">
        <v>1.635</v>
      </c>
    </row>
    <row r="22" spans="2:8" x14ac:dyDescent="0.25">
      <c r="B22" s="22">
        <v>21</v>
      </c>
      <c r="C22" s="22" t="s">
        <v>45</v>
      </c>
      <c r="D22" s="22"/>
      <c r="E22" s="22">
        <v>1</v>
      </c>
      <c r="F22" s="22">
        <v>3.177</v>
      </c>
      <c r="G22" s="24">
        <v>1.661</v>
      </c>
      <c r="H22" s="24">
        <v>1.663</v>
      </c>
    </row>
    <row r="23" spans="2:8" x14ac:dyDescent="0.25">
      <c r="B23" s="22">
        <v>23</v>
      </c>
      <c r="C23" s="22" t="s">
        <v>45</v>
      </c>
      <c r="D23" s="22"/>
      <c r="E23" s="22">
        <v>1</v>
      </c>
      <c r="F23" s="22">
        <v>3.262</v>
      </c>
      <c r="G23" s="24">
        <v>1.7050000000000001</v>
      </c>
      <c r="H23" s="24">
        <v>1.7070000000000001</v>
      </c>
    </row>
    <row r="24" spans="2:8" x14ac:dyDescent="0.25">
      <c r="B24" s="22">
        <v>24</v>
      </c>
      <c r="C24" s="22" t="s">
        <v>45</v>
      </c>
      <c r="D24" s="22"/>
      <c r="E24" s="22">
        <v>1</v>
      </c>
      <c r="F24" s="22">
        <v>3.165</v>
      </c>
      <c r="G24" s="24">
        <v>1.6220000000000001</v>
      </c>
      <c r="H24" s="24">
        <v>1.6240000000000001</v>
      </c>
    </row>
    <row r="25" spans="2:8" x14ac:dyDescent="0.25">
      <c r="B25" s="22">
        <v>25</v>
      </c>
      <c r="C25" s="22" t="s">
        <v>45</v>
      </c>
      <c r="D25" s="22"/>
      <c r="E25" s="22">
        <v>1</v>
      </c>
      <c r="F25" s="22">
        <v>3.2829999999999999</v>
      </c>
      <c r="G25" s="24">
        <v>1.633</v>
      </c>
      <c r="H25" s="24">
        <v>1.6319999999999999</v>
      </c>
    </row>
    <row r="26" spans="2:8" x14ac:dyDescent="0.25">
      <c r="B26" s="22">
        <v>26</v>
      </c>
      <c r="C26" s="22" t="s">
        <v>45</v>
      </c>
      <c r="D26" s="22"/>
      <c r="E26" s="22">
        <v>1</v>
      </c>
      <c r="F26" s="22">
        <v>3.4929999999999999</v>
      </c>
      <c r="G26" s="24">
        <v>1.6519999999999999</v>
      </c>
      <c r="H26" s="24">
        <v>1.6539999999999999</v>
      </c>
    </row>
    <row r="27" spans="2:8" x14ac:dyDescent="0.25">
      <c r="B27" s="22">
        <v>29</v>
      </c>
      <c r="C27" s="22" t="s">
        <v>45</v>
      </c>
      <c r="D27" s="22"/>
      <c r="E27" s="22">
        <v>1</v>
      </c>
      <c r="F27" s="22">
        <v>3.3610000000000002</v>
      </c>
      <c r="G27" s="24">
        <v>1.6519999999999999</v>
      </c>
      <c r="H27" s="24">
        <v>1.6539999999999999</v>
      </c>
    </row>
    <row r="28" spans="2:8" x14ac:dyDescent="0.25">
      <c r="B28" s="22">
        <v>31</v>
      </c>
      <c r="C28" s="22" t="s">
        <v>45</v>
      </c>
      <c r="D28" s="22"/>
      <c r="E28" s="22">
        <v>1</v>
      </c>
      <c r="F28" s="22">
        <v>3.3420000000000001</v>
      </c>
      <c r="G28" s="24">
        <v>1.6679999999999999</v>
      </c>
      <c r="H28" s="24">
        <v>1.67</v>
      </c>
    </row>
    <row r="29" spans="2:8" x14ac:dyDescent="0.25">
      <c r="B29" s="22">
        <v>33</v>
      </c>
      <c r="C29" s="22" t="s">
        <v>45</v>
      </c>
      <c r="D29" s="22"/>
      <c r="E29" s="22">
        <v>1</v>
      </c>
      <c r="F29" s="22">
        <v>3.0329999999999999</v>
      </c>
      <c r="G29" s="24">
        <v>1.6519999999999999</v>
      </c>
      <c r="H29" s="24">
        <v>1.6519999999999999</v>
      </c>
    </row>
    <row r="30" spans="2:8" x14ac:dyDescent="0.25">
      <c r="B30" s="22">
        <v>40</v>
      </c>
      <c r="C30" s="22" t="s">
        <v>45</v>
      </c>
      <c r="D30" s="22"/>
      <c r="E30" s="22">
        <v>1</v>
      </c>
      <c r="F30" s="22">
        <v>3.2440000000000002</v>
      </c>
      <c r="G30" s="24">
        <v>1.655</v>
      </c>
      <c r="H30" s="24">
        <v>1.657</v>
      </c>
    </row>
    <row r="31" spans="2:8" x14ac:dyDescent="0.25">
      <c r="B31" s="22">
        <v>41</v>
      </c>
      <c r="C31" s="22" t="s">
        <v>45</v>
      </c>
      <c r="D31" s="22"/>
      <c r="E31" s="22">
        <v>1</v>
      </c>
      <c r="F31" s="22">
        <v>3.3410000000000002</v>
      </c>
      <c r="G31" s="24">
        <v>1.6990000000000001</v>
      </c>
      <c r="H31" s="24">
        <v>1.7010000000000001</v>
      </c>
    </row>
    <row r="32" spans="2:8" x14ac:dyDescent="0.25">
      <c r="B32" s="22">
        <v>42</v>
      </c>
      <c r="C32" s="22" t="s">
        <v>45</v>
      </c>
      <c r="D32" s="22"/>
      <c r="E32" s="22">
        <v>1</v>
      </c>
      <c r="F32" s="22">
        <v>3.37</v>
      </c>
      <c r="G32" s="24">
        <v>1.6970000000000001</v>
      </c>
      <c r="H32" s="24">
        <v>1.6970000000000001</v>
      </c>
    </row>
    <row r="33" spans="2:8" x14ac:dyDescent="0.25">
      <c r="B33" s="22">
        <v>44</v>
      </c>
      <c r="C33" s="22" t="s">
        <v>45</v>
      </c>
      <c r="D33" s="22"/>
      <c r="E33" s="22">
        <v>1</v>
      </c>
      <c r="F33" s="22">
        <v>3.41</v>
      </c>
      <c r="G33" s="24">
        <v>1.7070000000000001</v>
      </c>
      <c r="H33" s="24">
        <v>1.7070000000000001</v>
      </c>
    </row>
    <row r="34" spans="2:8" x14ac:dyDescent="0.25">
      <c r="B34" s="22">
        <v>47</v>
      </c>
      <c r="C34" s="22" t="s">
        <v>45</v>
      </c>
      <c r="D34" s="22"/>
      <c r="E34" s="22">
        <v>1</v>
      </c>
      <c r="F34" s="22">
        <v>3.2120000000000002</v>
      </c>
      <c r="G34" s="24">
        <v>1.6910000000000001</v>
      </c>
      <c r="H34" s="24">
        <v>1.694</v>
      </c>
    </row>
    <row r="35" spans="2:8" x14ac:dyDescent="0.25">
      <c r="B35" s="22">
        <v>48</v>
      </c>
      <c r="C35" s="22" t="s">
        <v>45</v>
      </c>
      <c r="D35" s="22"/>
      <c r="E35" s="22">
        <v>1</v>
      </c>
      <c r="F35" s="22">
        <v>3.286</v>
      </c>
      <c r="G35" s="24">
        <v>1.6140000000000001</v>
      </c>
      <c r="H35" s="24">
        <v>1.6160000000000001</v>
      </c>
    </row>
    <row r="36" spans="2:8" x14ac:dyDescent="0.25">
      <c r="B36" s="22">
        <v>50</v>
      </c>
      <c r="C36" s="22" t="s">
        <v>45</v>
      </c>
      <c r="D36" s="22"/>
      <c r="E36" s="22">
        <v>1</v>
      </c>
      <c r="F36" s="22">
        <v>3.452</v>
      </c>
      <c r="G36" s="24">
        <v>1.6559999999999999</v>
      </c>
      <c r="H36" s="24">
        <v>1.657</v>
      </c>
    </row>
    <row r="37" spans="2:8" x14ac:dyDescent="0.25">
      <c r="B37" s="22">
        <v>54</v>
      </c>
      <c r="C37" s="22" t="s">
        <v>45</v>
      </c>
      <c r="D37" s="22"/>
      <c r="E37" s="22">
        <v>1</v>
      </c>
      <c r="F37" s="22">
        <v>3.3279999999999998</v>
      </c>
      <c r="G37" s="24">
        <v>1.708</v>
      </c>
      <c r="H37" s="24">
        <v>1.708</v>
      </c>
    </row>
    <row r="38" spans="2:8" x14ac:dyDescent="0.25">
      <c r="B38" s="22">
        <v>57</v>
      </c>
      <c r="C38" s="22" t="s">
        <v>45</v>
      </c>
      <c r="D38" s="22"/>
      <c r="E38" s="22">
        <v>1</v>
      </c>
      <c r="F38" s="22">
        <v>3.399</v>
      </c>
      <c r="G38" s="24">
        <v>1.706</v>
      </c>
      <c r="H38" s="24">
        <v>1.7070000000000001</v>
      </c>
    </row>
    <row r="39" spans="2:8" x14ac:dyDescent="0.25">
      <c r="B39" s="22">
        <v>58</v>
      </c>
      <c r="C39" s="22" t="s">
        <v>45</v>
      </c>
      <c r="D39" s="22"/>
      <c r="E39" s="22">
        <v>1</v>
      </c>
      <c r="F39" s="22">
        <v>3.5550000000000002</v>
      </c>
      <c r="G39" s="24">
        <v>1.6180000000000001</v>
      </c>
      <c r="H39" s="24">
        <v>1.619</v>
      </c>
    </row>
    <row r="40" spans="2:8" x14ac:dyDescent="0.25">
      <c r="B40" s="22">
        <v>60</v>
      </c>
      <c r="C40" s="22" t="s">
        <v>45</v>
      </c>
      <c r="D40" s="22"/>
      <c r="E40" s="22">
        <v>1</v>
      </c>
      <c r="F40" s="22">
        <v>3.2189999999999999</v>
      </c>
      <c r="G40" s="24">
        <v>1.601</v>
      </c>
      <c r="H40" s="24">
        <v>1.601</v>
      </c>
    </row>
    <row r="41" spans="2:8" x14ac:dyDescent="0.25">
      <c r="B41" s="22">
        <v>65</v>
      </c>
      <c r="C41" s="22" t="s">
        <v>45</v>
      </c>
      <c r="D41" s="22"/>
      <c r="E41" s="22">
        <v>1</v>
      </c>
      <c r="F41" s="22">
        <v>3.488</v>
      </c>
      <c r="G41" s="24">
        <v>1.6719999999999999</v>
      </c>
      <c r="H41" s="24">
        <v>1.673</v>
      </c>
    </row>
    <row r="42" spans="2:8" x14ac:dyDescent="0.25">
      <c r="B42" s="22">
        <v>67</v>
      </c>
      <c r="C42" s="22" t="s">
        <v>45</v>
      </c>
      <c r="D42" s="22"/>
      <c r="E42" s="22">
        <v>1</v>
      </c>
      <c r="F42" s="22">
        <v>3.2010000000000001</v>
      </c>
      <c r="G42" s="24">
        <v>1.615</v>
      </c>
      <c r="H42" s="24">
        <v>1.6160000000000001</v>
      </c>
    </row>
    <row r="43" spans="2:8" x14ac:dyDescent="0.25">
      <c r="B43" s="22">
        <v>70</v>
      </c>
      <c r="C43" s="22" t="s">
        <v>45</v>
      </c>
      <c r="D43" s="22"/>
      <c r="E43" s="22">
        <v>1</v>
      </c>
      <c r="F43" s="22">
        <v>3.258</v>
      </c>
      <c r="G43" s="24">
        <v>1.633</v>
      </c>
      <c r="H43" s="24">
        <v>1.633</v>
      </c>
    </row>
    <row r="44" spans="2:8" x14ac:dyDescent="0.25">
      <c r="B44" s="22">
        <v>74</v>
      </c>
      <c r="C44" s="22" t="s">
        <v>45</v>
      </c>
      <c r="D44" s="22"/>
      <c r="E44" s="22">
        <v>1</v>
      </c>
      <c r="F44" s="22">
        <v>3.3170000000000002</v>
      </c>
      <c r="G44" s="24">
        <v>1.605</v>
      </c>
      <c r="H44" s="24">
        <v>1.6060000000000001</v>
      </c>
    </row>
    <row r="45" spans="2:8" x14ac:dyDescent="0.25">
      <c r="B45" s="22">
        <v>76</v>
      </c>
      <c r="C45" s="22" t="s">
        <v>45</v>
      </c>
      <c r="D45" s="22"/>
      <c r="E45" s="22">
        <v>1</v>
      </c>
      <c r="F45" s="22">
        <v>3.2389999999999999</v>
      </c>
      <c r="G45" s="24">
        <v>1.6259999999999999</v>
      </c>
      <c r="H45" s="24">
        <v>1.627</v>
      </c>
    </row>
    <row r="46" spans="2:8" x14ac:dyDescent="0.25">
      <c r="B46" s="22">
        <v>77</v>
      </c>
      <c r="C46" s="22" t="s">
        <v>45</v>
      </c>
      <c r="D46" s="22"/>
      <c r="E46" s="22">
        <v>1</v>
      </c>
      <c r="F46" s="22">
        <v>3.3650000000000002</v>
      </c>
      <c r="G46" s="24">
        <v>1.6339999999999999</v>
      </c>
      <c r="H46" s="24">
        <v>1.637</v>
      </c>
    </row>
    <row r="47" spans="2:8" x14ac:dyDescent="0.25">
      <c r="B47" s="22">
        <v>80</v>
      </c>
      <c r="C47" s="22" t="s">
        <v>45</v>
      </c>
      <c r="D47" s="22"/>
      <c r="E47" s="22">
        <v>1</v>
      </c>
      <c r="F47" s="22">
        <v>3.4239999999999999</v>
      </c>
      <c r="G47" s="24">
        <v>1.6180000000000001</v>
      </c>
      <c r="H47" s="24">
        <v>1.62</v>
      </c>
    </row>
    <row r="48" spans="2:8" x14ac:dyDescent="0.25">
      <c r="B48" s="22">
        <v>81</v>
      </c>
      <c r="C48" s="22" t="s">
        <v>45</v>
      </c>
      <c r="D48" s="22"/>
      <c r="E48" s="22">
        <v>1</v>
      </c>
      <c r="F48" s="22">
        <v>3.399</v>
      </c>
      <c r="G48" s="24">
        <v>1.706</v>
      </c>
      <c r="H48" s="24">
        <v>1.708</v>
      </c>
    </row>
    <row r="49" spans="2:8" x14ac:dyDescent="0.25">
      <c r="B49" s="22">
        <v>82</v>
      </c>
      <c r="C49" s="22" t="s">
        <v>45</v>
      </c>
      <c r="D49" s="22"/>
      <c r="E49" s="22">
        <v>1</v>
      </c>
      <c r="F49" s="22">
        <v>3.4089999999999998</v>
      </c>
      <c r="G49" s="24">
        <v>1.6870000000000001</v>
      </c>
      <c r="H49" s="24">
        <v>1.6870000000000001</v>
      </c>
    </row>
    <row r="50" spans="2:8" x14ac:dyDescent="0.25">
      <c r="B50" s="22">
        <v>83</v>
      </c>
      <c r="C50" s="22" t="s">
        <v>45</v>
      </c>
      <c r="D50" s="22"/>
      <c r="E50" s="22">
        <v>1</v>
      </c>
      <c r="F50" s="22">
        <v>3.3380000000000001</v>
      </c>
      <c r="G50" s="24">
        <v>1.6830000000000001</v>
      </c>
      <c r="H50" s="24">
        <v>1.6850000000000001</v>
      </c>
    </row>
    <row r="51" spans="2:8" x14ac:dyDescent="0.25">
      <c r="B51" s="22">
        <v>87</v>
      </c>
      <c r="C51" s="22" t="s">
        <v>45</v>
      </c>
      <c r="D51" s="22"/>
      <c r="E51" s="22">
        <v>1</v>
      </c>
      <c r="F51" s="22">
        <v>3.4910000000000001</v>
      </c>
      <c r="G51" s="24">
        <v>1.6759999999999999</v>
      </c>
      <c r="H51" s="24">
        <v>1.6759999999999999</v>
      </c>
    </row>
    <row r="52" spans="2:8" x14ac:dyDescent="0.25">
      <c r="B52" s="22">
        <v>88</v>
      </c>
      <c r="C52" s="22" t="s">
        <v>45</v>
      </c>
      <c r="D52" s="22"/>
      <c r="E52" s="22">
        <v>1</v>
      </c>
      <c r="F52" s="22">
        <v>3.5409999999999999</v>
      </c>
      <c r="G52" s="24">
        <v>1.629</v>
      </c>
      <c r="H52" s="24">
        <v>1.631</v>
      </c>
    </row>
    <row r="53" spans="2:8" x14ac:dyDescent="0.25">
      <c r="B53" s="22">
        <v>89</v>
      </c>
      <c r="C53" s="22" t="s">
        <v>45</v>
      </c>
      <c r="D53" s="22"/>
      <c r="E53" s="22">
        <v>1</v>
      </c>
      <c r="F53" s="22">
        <v>3.4409999999999998</v>
      </c>
      <c r="G53" s="24">
        <v>1.6930000000000001</v>
      </c>
      <c r="H53" s="24">
        <v>1.694</v>
      </c>
    </row>
    <row r="54" spans="2:8" x14ac:dyDescent="0.25">
      <c r="B54" s="22">
        <v>90</v>
      </c>
      <c r="C54" s="22" t="s">
        <v>45</v>
      </c>
      <c r="D54" s="22"/>
      <c r="E54" s="22">
        <v>1</v>
      </c>
      <c r="F54" s="22">
        <v>3.488</v>
      </c>
      <c r="G54" s="24">
        <v>1.607</v>
      </c>
      <c r="H54" s="24">
        <v>1.609</v>
      </c>
    </row>
    <row r="55" spans="2:8" x14ac:dyDescent="0.25">
      <c r="B55" s="22">
        <v>91</v>
      </c>
      <c r="C55" s="22" t="s">
        <v>45</v>
      </c>
      <c r="D55" s="22"/>
      <c r="E55" s="22">
        <v>1</v>
      </c>
      <c r="F55" s="22">
        <v>3.0680000000000001</v>
      </c>
      <c r="G55" s="24">
        <v>1.7350000000000001</v>
      </c>
      <c r="H55" s="24">
        <v>1.7350000000000001</v>
      </c>
    </row>
    <row r="56" spans="2:8" x14ac:dyDescent="0.25">
      <c r="B56" s="22">
        <v>92</v>
      </c>
      <c r="C56" s="22" t="s">
        <v>45</v>
      </c>
      <c r="D56" s="22"/>
      <c r="E56" s="22">
        <v>1</v>
      </c>
      <c r="F56" s="22">
        <v>3.173</v>
      </c>
      <c r="G56" s="24">
        <v>1.6439999999999999</v>
      </c>
      <c r="H56" s="24">
        <v>1.6439999999999999</v>
      </c>
    </row>
    <row r="57" spans="2:8" x14ac:dyDescent="0.25">
      <c r="B57" s="22">
        <v>98</v>
      </c>
      <c r="C57" s="22" t="s">
        <v>45</v>
      </c>
      <c r="D57" s="22"/>
      <c r="E57" s="22">
        <v>1</v>
      </c>
      <c r="F57" s="22">
        <v>3.4609999999999999</v>
      </c>
      <c r="G57" s="24">
        <v>1.6830000000000001</v>
      </c>
      <c r="H57" s="24">
        <v>1.6850000000000001</v>
      </c>
    </row>
    <row r="58" spans="2:8" x14ac:dyDescent="0.25">
      <c r="B58" s="22">
        <v>100</v>
      </c>
      <c r="C58" s="22" t="s">
        <v>45</v>
      </c>
      <c r="D58" s="22"/>
      <c r="E58" s="22">
        <v>1</v>
      </c>
      <c r="F58" s="22">
        <v>3.1709999999999998</v>
      </c>
      <c r="G58" s="24">
        <v>1.6359999999999999</v>
      </c>
      <c r="H58" s="24">
        <v>1.635</v>
      </c>
    </row>
    <row r="59" spans="2:8" x14ac:dyDescent="0.25">
      <c r="B59" s="22">
        <v>103</v>
      </c>
      <c r="C59" s="22" t="s">
        <v>45</v>
      </c>
      <c r="D59" s="22"/>
      <c r="E59" s="22">
        <v>1</v>
      </c>
      <c r="F59" s="22">
        <v>3.22</v>
      </c>
      <c r="G59" s="24">
        <v>1.5669999999999999</v>
      </c>
      <c r="H59" s="24">
        <v>1.5740000000000001</v>
      </c>
    </row>
    <row r="60" spans="2:8" x14ac:dyDescent="0.25">
      <c r="B60" s="22">
        <v>104</v>
      </c>
      <c r="C60" s="22" t="s">
        <v>45</v>
      </c>
      <c r="D60" s="22"/>
      <c r="E60" s="22">
        <v>1</v>
      </c>
      <c r="F60" s="22">
        <v>3.24</v>
      </c>
      <c r="G60" s="24">
        <v>1.6679999999999999</v>
      </c>
      <c r="H60" s="24">
        <v>1.67</v>
      </c>
    </row>
    <row r="61" spans="2:8" x14ac:dyDescent="0.25">
      <c r="B61" s="22">
        <v>106</v>
      </c>
      <c r="C61" s="22" t="s">
        <v>45</v>
      </c>
      <c r="D61" s="22"/>
      <c r="E61" s="22">
        <v>1</v>
      </c>
      <c r="F61" s="22">
        <v>3.4009999999999998</v>
      </c>
      <c r="G61" s="24">
        <v>1.6930000000000001</v>
      </c>
      <c r="H61" s="24">
        <v>1.6930000000000001</v>
      </c>
    </row>
    <row r="62" spans="2:8" x14ac:dyDescent="0.25">
      <c r="B62" s="22">
        <v>109</v>
      </c>
      <c r="C62" s="22" t="s">
        <v>45</v>
      </c>
      <c r="D62" s="22"/>
      <c r="E62" s="22">
        <v>1</v>
      </c>
      <c r="F62" s="22">
        <v>3.165</v>
      </c>
      <c r="G62" s="24">
        <v>1.732</v>
      </c>
      <c r="H62" s="24">
        <v>1.7330000000000001</v>
      </c>
    </row>
    <row r="63" spans="2:8" x14ac:dyDescent="0.25">
      <c r="B63" s="22">
        <v>111</v>
      </c>
      <c r="C63" s="22" t="s">
        <v>45</v>
      </c>
      <c r="D63" s="22"/>
      <c r="E63" s="22">
        <v>1</v>
      </c>
      <c r="F63" s="22">
        <v>3.5550000000000002</v>
      </c>
      <c r="G63" s="24">
        <v>1.637</v>
      </c>
      <c r="H63" s="24">
        <v>1.6379999999999999</v>
      </c>
    </row>
    <row r="64" spans="2:8" x14ac:dyDescent="0.25">
      <c r="B64" s="22">
        <v>112</v>
      </c>
      <c r="C64" s="22" t="s">
        <v>45</v>
      </c>
      <c r="D64" s="22"/>
      <c r="E64" s="22">
        <v>1</v>
      </c>
      <c r="F64" s="22">
        <v>9.9950000000000011E-2</v>
      </c>
      <c r="G64" s="24">
        <v>1.675</v>
      </c>
      <c r="H64" s="24">
        <v>1.675</v>
      </c>
    </row>
    <row r="65" spans="2:8" x14ac:dyDescent="0.25">
      <c r="B65" s="22">
        <v>114</v>
      </c>
      <c r="C65" s="22" t="s">
        <v>45</v>
      </c>
      <c r="D65" s="22"/>
      <c r="E65" s="22">
        <v>1</v>
      </c>
      <c r="F65" s="22">
        <v>3.4820000000000002</v>
      </c>
      <c r="G65" s="24">
        <v>1.651</v>
      </c>
      <c r="H65" s="24">
        <v>1.6539999999999999</v>
      </c>
    </row>
    <row r="66" spans="2:8" x14ac:dyDescent="0.25">
      <c r="B66" s="22">
        <v>119</v>
      </c>
      <c r="C66" s="22" t="s">
        <v>45</v>
      </c>
      <c r="D66" s="22"/>
      <c r="E66" s="22">
        <v>1</v>
      </c>
      <c r="F66" s="22">
        <v>3.3650000000000002</v>
      </c>
      <c r="G66" s="24">
        <v>1.71</v>
      </c>
      <c r="H66" s="24">
        <v>1.71</v>
      </c>
    </row>
    <row r="67" spans="2:8" x14ac:dyDescent="0.25">
      <c r="B67" s="22">
        <v>120</v>
      </c>
      <c r="C67" s="22" t="s">
        <v>45</v>
      </c>
      <c r="D67" s="22"/>
      <c r="E67" s="22">
        <v>1</v>
      </c>
      <c r="F67" s="22">
        <v>3.367</v>
      </c>
      <c r="G67" s="24">
        <v>1.6830000000000001</v>
      </c>
      <c r="H67" s="24">
        <v>1.6839999999999999</v>
      </c>
    </row>
    <row r="68" spans="2:8" x14ac:dyDescent="0.25">
      <c r="B68" s="22">
        <v>124</v>
      </c>
      <c r="C68" s="22" t="s">
        <v>45</v>
      </c>
      <c r="D68" s="22"/>
      <c r="E68" s="22">
        <v>1</v>
      </c>
      <c r="F68" s="22">
        <v>3.2090000000000001</v>
      </c>
      <c r="G68" s="24">
        <v>1.681</v>
      </c>
      <c r="H68" s="24">
        <v>1.6819999999999999</v>
      </c>
    </row>
    <row r="69" spans="2:8" x14ac:dyDescent="0.25">
      <c r="B69" s="22">
        <v>127</v>
      </c>
      <c r="C69" s="22" t="s">
        <v>45</v>
      </c>
      <c r="D69" s="22"/>
      <c r="E69" s="22">
        <v>1</v>
      </c>
      <c r="F69" s="22">
        <v>3.4569999999999999</v>
      </c>
      <c r="G69" s="24">
        <v>1.599</v>
      </c>
      <c r="H69" s="24">
        <v>1.6020000000000001</v>
      </c>
    </row>
    <row r="70" spans="2:8" x14ac:dyDescent="0.25">
      <c r="B70" s="22">
        <v>128</v>
      </c>
      <c r="C70" s="22" t="s">
        <v>45</v>
      </c>
      <c r="D70" s="22"/>
      <c r="E70" s="22">
        <v>1</v>
      </c>
      <c r="F70" s="22">
        <v>3.38</v>
      </c>
      <c r="G70" s="24">
        <v>1.675</v>
      </c>
      <c r="H70" s="24">
        <v>1.675</v>
      </c>
    </row>
    <row r="71" spans="2:8" x14ac:dyDescent="0.25">
      <c r="B71" s="22">
        <v>133</v>
      </c>
      <c r="C71" s="22" t="s">
        <v>45</v>
      </c>
      <c r="D71" s="22"/>
      <c r="E71" s="22">
        <v>1</v>
      </c>
      <c r="F71" s="22">
        <v>3.129</v>
      </c>
      <c r="G71" s="24">
        <v>1.7070000000000001</v>
      </c>
      <c r="H71" s="24">
        <v>1.708</v>
      </c>
    </row>
    <row r="72" spans="2:8" x14ac:dyDescent="0.25">
      <c r="B72" s="22">
        <v>135</v>
      </c>
      <c r="C72" s="22" t="s">
        <v>45</v>
      </c>
      <c r="D72" s="22"/>
      <c r="E72" s="22">
        <v>1</v>
      </c>
      <c r="F72" s="22">
        <v>3.3809999999999998</v>
      </c>
      <c r="G72" s="24">
        <v>1.671</v>
      </c>
      <c r="H72" s="24">
        <v>1.6739999999999999</v>
      </c>
    </row>
    <row r="73" spans="2:8" x14ac:dyDescent="0.25">
      <c r="B73" s="22">
        <v>136</v>
      </c>
      <c r="C73" s="22" t="s">
        <v>45</v>
      </c>
      <c r="D73" s="22"/>
      <c r="E73" s="22">
        <v>1</v>
      </c>
      <c r="F73" s="22">
        <v>9.9729999999999999E-2</v>
      </c>
      <c r="G73" s="24">
        <v>1.8109999999999999</v>
      </c>
      <c r="H73" s="24">
        <v>1.8120000000000001</v>
      </c>
    </row>
    <row r="74" spans="2:8" x14ac:dyDescent="0.25">
      <c r="B74" s="22">
        <v>137</v>
      </c>
      <c r="C74" s="22" t="s">
        <v>45</v>
      </c>
      <c r="D74" s="22"/>
      <c r="E74" s="22">
        <v>1</v>
      </c>
      <c r="F74" s="22">
        <v>1.7569999999999999</v>
      </c>
      <c r="G74" s="24">
        <v>1.8280000000000001</v>
      </c>
      <c r="H74" s="24">
        <v>1.83</v>
      </c>
    </row>
    <row r="75" spans="2:8" x14ac:dyDescent="0.25">
      <c r="B75" s="22">
        <v>139</v>
      </c>
      <c r="C75" s="22" t="s">
        <v>45</v>
      </c>
      <c r="D75" s="22"/>
      <c r="E75" s="22">
        <v>1</v>
      </c>
      <c r="F75" s="22">
        <v>3.0339999999999998</v>
      </c>
      <c r="G75" s="24">
        <v>1.6950000000000001</v>
      </c>
      <c r="H75" s="24">
        <v>1.696</v>
      </c>
    </row>
    <row r="76" spans="2:8" x14ac:dyDescent="0.25">
      <c r="B76" s="22">
        <v>140</v>
      </c>
      <c r="C76" s="22" t="s">
        <v>45</v>
      </c>
      <c r="D76" s="22"/>
      <c r="E76" s="22">
        <v>1</v>
      </c>
      <c r="F76" s="22">
        <v>1.998</v>
      </c>
      <c r="G76" s="24">
        <v>1.619</v>
      </c>
      <c r="H76" s="24">
        <v>1.6220000000000001</v>
      </c>
    </row>
    <row r="77" spans="2:8" x14ac:dyDescent="0.25">
      <c r="B77" s="22">
        <v>141</v>
      </c>
      <c r="C77" s="22" t="s">
        <v>45</v>
      </c>
      <c r="D77" s="22"/>
      <c r="E77" s="22">
        <v>1</v>
      </c>
      <c r="F77" s="22">
        <v>3.113</v>
      </c>
      <c r="G77" s="24">
        <v>1.706</v>
      </c>
      <c r="H77" s="24">
        <v>1.704</v>
      </c>
    </row>
    <row r="78" spans="2:8" x14ac:dyDescent="0.25">
      <c r="B78" s="22">
        <v>143</v>
      </c>
      <c r="C78" s="22" t="s">
        <v>45</v>
      </c>
      <c r="D78" s="22"/>
      <c r="E78" s="22">
        <v>1</v>
      </c>
      <c r="F78" s="22">
        <v>3.5649999999999999</v>
      </c>
      <c r="G78" s="24">
        <v>1.593</v>
      </c>
      <c r="H78" s="24">
        <v>1.595</v>
      </c>
    </row>
    <row r="79" spans="2:8" x14ac:dyDescent="0.25">
      <c r="B79" s="22">
        <v>145</v>
      </c>
      <c r="C79" s="22" t="s">
        <v>45</v>
      </c>
      <c r="D79" s="22"/>
      <c r="E79" s="22">
        <v>1</v>
      </c>
      <c r="F79" s="22">
        <v>3.33</v>
      </c>
      <c r="G79" s="24">
        <v>1.6220000000000001</v>
      </c>
      <c r="H79" s="24">
        <v>1.623</v>
      </c>
    </row>
    <row r="80" spans="2:8" x14ac:dyDescent="0.25">
      <c r="B80" s="22">
        <v>146</v>
      </c>
      <c r="C80" s="22" t="s">
        <v>45</v>
      </c>
      <c r="D80" s="22"/>
      <c r="E80" s="22">
        <v>1</v>
      </c>
      <c r="F80" s="22">
        <v>3.4790000000000001</v>
      </c>
      <c r="G80" s="24">
        <v>1.651</v>
      </c>
      <c r="H80" s="24">
        <v>1.653</v>
      </c>
    </row>
    <row r="81" spans="2:8" x14ac:dyDescent="0.25">
      <c r="B81" s="22">
        <v>148</v>
      </c>
      <c r="C81" s="22" t="s">
        <v>45</v>
      </c>
      <c r="D81" s="22"/>
      <c r="E81" s="22">
        <v>1</v>
      </c>
      <c r="F81" s="22">
        <v>3.2559999999999998</v>
      </c>
      <c r="G81" s="24">
        <v>1.5940000000000001</v>
      </c>
      <c r="H81" s="24">
        <v>1.597</v>
      </c>
    </row>
    <row r="82" spans="2:8" x14ac:dyDescent="0.25">
      <c r="B82" s="22">
        <v>149</v>
      </c>
      <c r="C82" s="22" t="s">
        <v>45</v>
      </c>
      <c r="D82" s="22"/>
      <c r="E82" s="22">
        <v>1</v>
      </c>
      <c r="F82" s="22">
        <v>3.407</v>
      </c>
      <c r="G82" s="24">
        <v>1.653</v>
      </c>
      <c r="H82" s="24">
        <v>1.655</v>
      </c>
    </row>
    <row r="83" spans="2:8" x14ac:dyDescent="0.25">
      <c r="B83" s="22">
        <v>152</v>
      </c>
      <c r="C83" s="22" t="s">
        <v>45</v>
      </c>
      <c r="D83" s="22"/>
      <c r="E83" s="22">
        <v>1</v>
      </c>
      <c r="F83" s="22">
        <v>3.335</v>
      </c>
      <c r="G83" s="24">
        <v>1.7350000000000001</v>
      </c>
      <c r="H83" s="24">
        <v>1.7350000000000001</v>
      </c>
    </row>
    <row r="84" spans="2:8" x14ac:dyDescent="0.25">
      <c r="B84" s="22">
        <v>154</v>
      </c>
      <c r="C84" s="22" t="s">
        <v>45</v>
      </c>
      <c r="D84" s="22"/>
      <c r="E84" s="22">
        <v>1</v>
      </c>
      <c r="F84" s="22">
        <v>3.5939999999999999</v>
      </c>
      <c r="G84" s="24">
        <v>1.6</v>
      </c>
      <c r="H84" s="24">
        <v>1.6020000000000001</v>
      </c>
    </row>
    <row r="85" spans="2:8" x14ac:dyDescent="0.25">
      <c r="B85" s="22">
        <v>155</v>
      </c>
      <c r="C85" s="22" t="s">
        <v>45</v>
      </c>
      <c r="D85" s="22"/>
      <c r="E85" s="22">
        <v>1</v>
      </c>
      <c r="F85" s="22">
        <v>3.3410000000000002</v>
      </c>
      <c r="G85" s="24">
        <v>1.7490000000000001</v>
      </c>
      <c r="H85" s="24">
        <v>1.7509999999999999</v>
      </c>
    </row>
    <row r="86" spans="2:8" x14ac:dyDescent="0.25">
      <c r="B86" s="22">
        <v>161</v>
      </c>
      <c r="C86" s="22" t="s">
        <v>45</v>
      </c>
      <c r="D86" s="22"/>
      <c r="E86" s="22">
        <v>1</v>
      </c>
      <c r="F86" s="22">
        <v>3.3740000000000001</v>
      </c>
      <c r="G86" s="24">
        <v>1.6830000000000001</v>
      </c>
      <c r="H86" s="24">
        <v>1.6830000000000001</v>
      </c>
    </row>
    <row r="87" spans="2:8" x14ac:dyDescent="0.25">
      <c r="B87" s="22">
        <v>162</v>
      </c>
      <c r="C87" s="22" t="s">
        <v>45</v>
      </c>
      <c r="D87" s="22"/>
      <c r="E87" s="22">
        <v>1</v>
      </c>
      <c r="F87" s="22">
        <v>3.3479999999999999</v>
      </c>
      <c r="G87" s="24">
        <v>1.7190000000000001</v>
      </c>
      <c r="H87" s="24">
        <v>1.7190000000000001</v>
      </c>
    </row>
    <row r="88" spans="2:8" x14ac:dyDescent="0.25">
      <c r="B88" s="22">
        <v>165</v>
      </c>
      <c r="C88" s="22" t="s">
        <v>45</v>
      </c>
      <c r="D88" s="22"/>
      <c r="E88" s="22">
        <v>1</v>
      </c>
      <c r="F88" s="22">
        <v>3.3410000000000002</v>
      </c>
      <c r="G88" s="24">
        <v>1.671</v>
      </c>
      <c r="H88" s="24">
        <v>1.671</v>
      </c>
    </row>
    <row r="89" spans="2:8" x14ac:dyDescent="0.25">
      <c r="B89" s="22">
        <v>167</v>
      </c>
      <c r="C89" s="22" t="s">
        <v>45</v>
      </c>
      <c r="D89" s="22"/>
      <c r="E89" s="22">
        <v>1</v>
      </c>
      <c r="F89" s="22">
        <v>3.3820000000000001</v>
      </c>
      <c r="G89" s="24">
        <v>1.6579999999999999</v>
      </c>
      <c r="H89" s="24">
        <v>1.66</v>
      </c>
    </row>
    <row r="90" spans="2:8" x14ac:dyDescent="0.25">
      <c r="B90" s="22">
        <v>170</v>
      </c>
      <c r="C90" s="22" t="s">
        <v>45</v>
      </c>
      <c r="D90" s="22"/>
      <c r="E90" s="22">
        <v>1</v>
      </c>
      <c r="F90" s="22">
        <v>3.0070000000000001</v>
      </c>
      <c r="G90" s="24">
        <v>1.6930000000000001</v>
      </c>
      <c r="H90" s="24">
        <v>1.694</v>
      </c>
    </row>
    <row r="91" spans="2:8" x14ac:dyDescent="0.25">
      <c r="B91" s="22">
        <v>173</v>
      </c>
      <c r="C91" s="22" t="s">
        <v>45</v>
      </c>
      <c r="D91" s="22"/>
      <c r="E91" s="22">
        <v>1</v>
      </c>
      <c r="F91" s="22">
        <v>3.3639999999999999</v>
      </c>
      <c r="G91" s="24">
        <v>1.702</v>
      </c>
      <c r="H91" s="24">
        <v>1.704</v>
      </c>
    </row>
    <row r="92" spans="2:8" x14ac:dyDescent="0.25">
      <c r="B92" s="22">
        <v>174</v>
      </c>
      <c r="C92" s="22" t="s">
        <v>45</v>
      </c>
      <c r="D92" s="22"/>
      <c r="E92" s="22">
        <v>1</v>
      </c>
      <c r="F92" s="22">
        <v>3.391</v>
      </c>
      <c r="G92" s="24">
        <v>1.5760000000000001</v>
      </c>
      <c r="H92" s="24">
        <v>1.577</v>
      </c>
    </row>
    <row r="93" spans="2:8" x14ac:dyDescent="0.25">
      <c r="B93" s="22">
        <v>175</v>
      </c>
      <c r="C93" s="22" t="s">
        <v>45</v>
      </c>
      <c r="D93" s="22"/>
      <c r="E93" s="22">
        <v>1</v>
      </c>
      <c r="F93" s="22">
        <v>3.35</v>
      </c>
      <c r="G93" s="24">
        <v>1.6719999999999999</v>
      </c>
      <c r="H93" s="24">
        <v>1.6719999999999999</v>
      </c>
    </row>
    <row r="94" spans="2:8" x14ac:dyDescent="0.25">
      <c r="B94" s="22">
        <v>178</v>
      </c>
      <c r="C94" s="22" t="s">
        <v>45</v>
      </c>
      <c r="D94" s="22"/>
      <c r="E94" s="22">
        <v>1</v>
      </c>
      <c r="F94" s="22">
        <v>3.46</v>
      </c>
      <c r="G94" s="24">
        <v>1.6559999999999999</v>
      </c>
      <c r="H94" s="24">
        <v>1.655</v>
      </c>
    </row>
    <row r="95" spans="2:8" x14ac:dyDescent="0.25">
      <c r="B95" s="22">
        <v>180</v>
      </c>
      <c r="C95" s="22" t="s">
        <v>45</v>
      </c>
      <c r="D95" s="22"/>
      <c r="E95" s="22">
        <v>1</v>
      </c>
      <c r="F95" s="22">
        <v>3.2869999999999999</v>
      </c>
      <c r="G95" s="24">
        <v>1.706</v>
      </c>
      <c r="H95" s="24">
        <v>1.706</v>
      </c>
    </row>
    <row r="96" spans="2:8" x14ac:dyDescent="0.25">
      <c r="B96" s="22">
        <v>181</v>
      </c>
      <c r="C96" s="22" t="s">
        <v>45</v>
      </c>
      <c r="D96" s="22"/>
      <c r="E96" s="22">
        <v>1</v>
      </c>
      <c r="F96" s="22">
        <v>3.327</v>
      </c>
      <c r="G96" s="24">
        <v>1.6830000000000001</v>
      </c>
      <c r="H96" s="24">
        <v>1.6819999999999999</v>
      </c>
    </row>
    <row r="97" spans="2:8" x14ac:dyDescent="0.25">
      <c r="B97" s="22">
        <v>182</v>
      </c>
      <c r="C97" s="22" t="s">
        <v>45</v>
      </c>
      <c r="D97" s="22"/>
      <c r="E97" s="22">
        <v>1</v>
      </c>
      <c r="F97" s="22">
        <v>3.2</v>
      </c>
      <c r="G97" s="24">
        <v>1.6439999999999999</v>
      </c>
      <c r="H97" s="24">
        <v>1.645</v>
      </c>
    </row>
    <row r="98" spans="2:8" x14ac:dyDescent="0.25">
      <c r="B98" s="22">
        <v>183</v>
      </c>
      <c r="C98" s="22" t="s">
        <v>45</v>
      </c>
      <c r="D98" s="22"/>
      <c r="E98" s="22">
        <v>1</v>
      </c>
      <c r="F98" s="22">
        <v>3.37</v>
      </c>
      <c r="G98" s="24">
        <v>1.677</v>
      </c>
      <c r="H98" s="24">
        <v>1.679</v>
      </c>
    </row>
    <row r="99" spans="2:8" x14ac:dyDescent="0.25">
      <c r="B99" s="22">
        <v>184</v>
      </c>
      <c r="C99" s="22" t="s">
        <v>45</v>
      </c>
      <c r="D99" s="22"/>
      <c r="E99" s="22">
        <v>1</v>
      </c>
      <c r="F99" s="22">
        <v>3.145</v>
      </c>
      <c r="G99" s="24">
        <v>1.748</v>
      </c>
      <c r="H99" s="24">
        <v>1.7490000000000001</v>
      </c>
    </row>
    <row r="100" spans="2:8" x14ac:dyDescent="0.25">
      <c r="B100" s="22">
        <v>187</v>
      </c>
      <c r="C100" s="22" t="s">
        <v>45</v>
      </c>
      <c r="D100" s="22"/>
      <c r="E100" s="22">
        <v>1</v>
      </c>
      <c r="F100" s="22">
        <v>1.7589999999999999</v>
      </c>
      <c r="G100" s="24">
        <v>1.847</v>
      </c>
      <c r="H100" s="24">
        <v>1.8460000000000001</v>
      </c>
    </row>
    <row r="101" spans="2:8" x14ac:dyDescent="0.25">
      <c r="B101" s="22">
        <v>191</v>
      </c>
      <c r="C101" s="22" t="s">
        <v>45</v>
      </c>
      <c r="D101" s="22"/>
      <c r="E101" s="22">
        <v>1</v>
      </c>
      <c r="F101" s="22">
        <v>3.5190000000000001</v>
      </c>
      <c r="G101" s="24">
        <v>1.657</v>
      </c>
      <c r="H101" s="24">
        <v>1.6579999999999999</v>
      </c>
    </row>
    <row r="102" spans="2:8" x14ac:dyDescent="0.25">
      <c r="B102" s="22">
        <v>192</v>
      </c>
      <c r="C102" s="22" t="s">
        <v>45</v>
      </c>
      <c r="D102" s="22"/>
      <c r="E102" s="22">
        <v>1</v>
      </c>
      <c r="F102" s="22">
        <v>3.4769999999999999</v>
      </c>
      <c r="G102" s="24">
        <v>1.649</v>
      </c>
      <c r="H102" s="24">
        <v>1.6479999999999999</v>
      </c>
    </row>
    <row r="103" spans="2:8" x14ac:dyDescent="0.25">
      <c r="B103" s="22">
        <v>193</v>
      </c>
      <c r="C103" s="22" t="s">
        <v>45</v>
      </c>
      <c r="D103" s="22"/>
      <c r="E103" s="22">
        <v>1</v>
      </c>
      <c r="F103" s="22">
        <v>3.415</v>
      </c>
      <c r="G103" s="24">
        <v>1.6479999999999999</v>
      </c>
      <c r="H103" s="24">
        <v>1.651</v>
      </c>
    </row>
    <row r="104" spans="2:8" x14ac:dyDescent="0.25">
      <c r="B104" s="22">
        <v>194</v>
      </c>
      <c r="C104" s="22" t="s">
        <v>45</v>
      </c>
      <c r="D104" s="22"/>
      <c r="E104" s="22">
        <v>1</v>
      </c>
      <c r="F104" s="22">
        <v>3.391</v>
      </c>
      <c r="G104" s="24">
        <v>1.5640000000000001</v>
      </c>
      <c r="H104" s="24">
        <v>1.5660000000000001</v>
      </c>
    </row>
    <row r="105" spans="2:8" x14ac:dyDescent="0.25">
      <c r="B105" s="22">
        <v>196</v>
      </c>
      <c r="C105" s="22" t="s">
        <v>45</v>
      </c>
      <c r="D105" s="22"/>
      <c r="E105" s="22">
        <v>1</v>
      </c>
      <c r="F105" s="22">
        <v>3.3860000000000001</v>
      </c>
      <c r="G105" s="24">
        <v>1.6359999999999999</v>
      </c>
      <c r="H105" s="24">
        <v>1.6359999999999999</v>
      </c>
    </row>
    <row r="106" spans="2:8" x14ac:dyDescent="0.25">
      <c r="B106" s="22">
        <v>200</v>
      </c>
      <c r="C106" s="22" t="s">
        <v>45</v>
      </c>
      <c r="D106" s="22"/>
      <c r="E106" s="22">
        <v>1</v>
      </c>
      <c r="F106" s="22">
        <v>3.3559999999999999</v>
      </c>
      <c r="G106" s="24">
        <v>1.694</v>
      </c>
      <c r="H106" s="24">
        <v>1.694</v>
      </c>
    </row>
    <row r="107" spans="2:8" x14ac:dyDescent="0.25">
      <c r="B107" s="22">
        <v>201</v>
      </c>
      <c r="C107" s="22" t="s">
        <v>45</v>
      </c>
      <c r="D107" s="22"/>
      <c r="E107" s="22">
        <v>1</v>
      </c>
      <c r="F107" s="22">
        <v>3.298</v>
      </c>
      <c r="G107" s="24">
        <v>1.6990000000000001</v>
      </c>
      <c r="H107" s="24">
        <v>1.702</v>
      </c>
    </row>
    <row r="108" spans="2:8" x14ac:dyDescent="0.25">
      <c r="B108" s="22">
        <v>207</v>
      </c>
      <c r="C108" s="22" t="s">
        <v>45</v>
      </c>
      <c r="D108" s="22"/>
      <c r="E108" s="22">
        <v>1</v>
      </c>
      <c r="F108" s="22">
        <v>3.448</v>
      </c>
      <c r="G108" s="24">
        <v>1.6879999999999999</v>
      </c>
      <c r="H108" s="24">
        <v>1.6850000000000001</v>
      </c>
    </row>
    <row r="109" spans="2:8" x14ac:dyDescent="0.25">
      <c r="B109" s="22">
        <v>209</v>
      </c>
      <c r="C109" s="22" t="s">
        <v>45</v>
      </c>
      <c r="D109" s="22"/>
      <c r="E109" s="22">
        <v>1</v>
      </c>
      <c r="F109" s="22">
        <v>3.411</v>
      </c>
      <c r="G109" s="24">
        <v>1.6679999999999999</v>
      </c>
      <c r="H109" s="24">
        <v>1.6679999999999999</v>
      </c>
    </row>
    <row r="110" spans="2:8" x14ac:dyDescent="0.25">
      <c r="B110" s="22">
        <v>210</v>
      </c>
      <c r="C110" s="22" t="s">
        <v>45</v>
      </c>
      <c r="D110" s="22"/>
      <c r="E110" s="22">
        <v>1</v>
      </c>
      <c r="F110" s="22">
        <v>3.34</v>
      </c>
      <c r="G110" s="24">
        <v>1.718</v>
      </c>
      <c r="H110" s="24">
        <v>1.7170000000000001</v>
      </c>
    </row>
    <row r="111" spans="2:8" x14ac:dyDescent="0.25">
      <c r="B111" s="22">
        <v>216</v>
      </c>
      <c r="C111" s="22" t="s">
        <v>45</v>
      </c>
      <c r="D111" s="22"/>
      <c r="E111" s="22">
        <v>1</v>
      </c>
      <c r="F111" s="22">
        <v>3.3</v>
      </c>
      <c r="G111" s="24">
        <v>1.665</v>
      </c>
      <c r="H111" s="24">
        <v>1.6659999999999999</v>
      </c>
    </row>
    <row r="112" spans="2:8" x14ac:dyDescent="0.25">
      <c r="B112" s="22">
        <v>217</v>
      </c>
      <c r="C112" s="22" t="s">
        <v>45</v>
      </c>
      <c r="D112" s="22"/>
      <c r="E112" s="22">
        <v>1</v>
      </c>
      <c r="F112" s="22">
        <v>3.355</v>
      </c>
      <c r="G112" s="24">
        <v>1.7190000000000001</v>
      </c>
      <c r="H112" s="24">
        <v>1.7210000000000001</v>
      </c>
    </row>
    <row r="113" spans="2:8" x14ac:dyDescent="0.25">
      <c r="B113" s="22">
        <v>218</v>
      </c>
      <c r="C113" s="22" t="s">
        <v>45</v>
      </c>
      <c r="D113" s="22"/>
      <c r="E113" s="22">
        <v>1</v>
      </c>
      <c r="F113" s="22">
        <v>3.5230000000000001</v>
      </c>
      <c r="G113" s="24">
        <v>1.6459999999999999</v>
      </c>
      <c r="H113" s="24">
        <v>1.6459999999999999</v>
      </c>
    </row>
    <row r="114" spans="2:8" x14ac:dyDescent="0.25">
      <c r="B114" s="22">
        <v>219</v>
      </c>
      <c r="C114" s="22" t="s">
        <v>45</v>
      </c>
      <c r="D114" s="22"/>
      <c r="E114" s="22">
        <v>1</v>
      </c>
      <c r="F114" s="22">
        <v>3.173</v>
      </c>
      <c r="G114" s="24">
        <v>1.6379999999999999</v>
      </c>
      <c r="H114" s="24">
        <v>1.641</v>
      </c>
    </row>
    <row r="115" spans="2:8" x14ac:dyDescent="0.25">
      <c r="B115" s="22">
        <v>222</v>
      </c>
      <c r="C115" s="22" t="s">
        <v>45</v>
      </c>
      <c r="D115" s="22"/>
      <c r="E115" s="22">
        <v>1</v>
      </c>
      <c r="F115" s="22">
        <v>3.4780000000000002</v>
      </c>
      <c r="G115" s="24">
        <v>1.647</v>
      </c>
      <c r="H115" s="24">
        <v>1.649</v>
      </c>
    </row>
    <row r="116" spans="2:8" x14ac:dyDescent="0.25">
      <c r="B116" s="22">
        <v>223</v>
      </c>
      <c r="C116" s="22" t="s">
        <v>45</v>
      </c>
      <c r="D116" s="22"/>
      <c r="E116" s="22">
        <v>1</v>
      </c>
      <c r="F116" s="22">
        <v>3.569</v>
      </c>
      <c r="G116" s="24">
        <v>1.593</v>
      </c>
      <c r="H116" s="24">
        <v>1.593</v>
      </c>
    </row>
    <row r="117" spans="2:8" x14ac:dyDescent="0.25">
      <c r="B117" s="22">
        <v>224</v>
      </c>
      <c r="C117" s="22" t="s">
        <v>45</v>
      </c>
      <c r="D117" s="22"/>
      <c r="E117" s="22">
        <v>1</v>
      </c>
      <c r="F117" s="22">
        <v>3.3439999999999999</v>
      </c>
      <c r="G117" s="24">
        <v>1.6659999999999999</v>
      </c>
      <c r="H117" s="24">
        <v>1.6659999999999999</v>
      </c>
    </row>
    <row r="118" spans="2:8" x14ac:dyDescent="0.25">
      <c r="B118" s="22">
        <v>225</v>
      </c>
      <c r="C118" s="22" t="s">
        <v>45</v>
      </c>
      <c r="D118" s="22"/>
      <c r="E118" s="22">
        <v>1</v>
      </c>
      <c r="F118" s="22">
        <v>3.3769999999999998</v>
      </c>
      <c r="G118" s="24">
        <v>1.625</v>
      </c>
      <c r="H118" s="24">
        <v>1.627</v>
      </c>
    </row>
    <row r="119" spans="2:8" x14ac:dyDescent="0.25">
      <c r="B119" s="22">
        <v>226</v>
      </c>
      <c r="C119" s="22" t="s">
        <v>45</v>
      </c>
      <c r="D119" s="22"/>
      <c r="E119" s="22">
        <v>1</v>
      </c>
      <c r="F119" s="22">
        <v>3.6160000000000001</v>
      </c>
      <c r="G119" s="24">
        <v>1.637</v>
      </c>
      <c r="H119" s="24">
        <v>1.639</v>
      </c>
    </row>
    <row r="120" spans="2:8" x14ac:dyDescent="0.25">
      <c r="B120" s="22">
        <v>227</v>
      </c>
      <c r="C120" s="22" t="s">
        <v>45</v>
      </c>
      <c r="D120" s="22"/>
      <c r="E120" s="22">
        <v>1</v>
      </c>
      <c r="F120" s="22">
        <v>3.2469999999999999</v>
      </c>
      <c r="G120" s="24">
        <v>1.6850000000000001</v>
      </c>
      <c r="H120" s="24">
        <v>1.6879999999999999</v>
      </c>
    </row>
    <row r="121" spans="2:8" x14ac:dyDescent="0.25">
      <c r="B121" s="22">
        <v>228</v>
      </c>
      <c r="C121" s="22" t="s">
        <v>45</v>
      </c>
      <c r="D121" s="22"/>
      <c r="E121" s="22">
        <v>1</v>
      </c>
      <c r="F121" s="22">
        <v>3.2989999999999999</v>
      </c>
      <c r="G121" s="24">
        <v>1.609</v>
      </c>
      <c r="H121" s="24">
        <v>1.61</v>
      </c>
    </row>
    <row r="122" spans="2:8" x14ac:dyDescent="0.25">
      <c r="B122" s="22">
        <v>230</v>
      </c>
      <c r="C122" s="22" t="s">
        <v>45</v>
      </c>
      <c r="D122" s="22"/>
      <c r="E122" s="22">
        <v>1</v>
      </c>
      <c r="F122" s="22">
        <v>3.2549999999999999</v>
      </c>
      <c r="G122" s="24">
        <v>1.6950000000000001</v>
      </c>
      <c r="H122" s="24">
        <v>1.6970000000000001</v>
      </c>
    </row>
    <row r="123" spans="2:8" x14ac:dyDescent="0.25">
      <c r="B123" s="22">
        <v>234</v>
      </c>
      <c r="C123" s="22" t="s">
        <v>45</v>
      </c>
      <c r="D123" s="22"/>
      <c r="E123" s="22">
        <v>1</v>
      </c>
      <c r="F123" s="22">
        <v>3.45</v>
      </c>
      <c r="G123" s="24">
        <v>1.659</v>
      </c>
      <c r="H123" s="24">
        <v>1.66</v>
      </c>
    </row>
    <row r="124" spans="2:8" x14ac:dyDescent="0.25">
      <c r="B124" s="22">
        <v>235</v>
      </c>
      <c r="C124" s="22" t="s">
        <v>45</v>
      </c>
      <c r="D124" s="22"/>
      <c r="E124" s="22">
        <v>1</v>
      </c>
      <c r="F124" s="22">
        <v>3.3380000000000001</v>
      </c>
      <c r="G124" s="24">
        <v>1.671</v>
      </c>
      <c r="H124" s="24">
        <v>1.673</v>
      </c>
    </row>
    <row r="125" spans="2:8" x14ac:dyDescent="0.25">
      <c r="B125" s="22">
        <v>240</v>
      </c>
      <c r="C125" s="22" t="s">
        <v>45</v>
      </c>
      <c r="D125" s="22"/>
      <c r="E125" s="22">
        <v>1</v>
      </c>
      <c r="F125" s="22">
        <v>3.5619999999999998</v>
      </c>
      <c r="G125" s="24">
        <v>1.619</v>
      </c>
      <c r="H125" s="24">
        <v>1.621</v>
      </c>
    </row>
    <row r="126" spans="2:8" x14ac:dyDescent="0.25">
      <c r="B126" s="22">
        <v>242</v>
      </c>
      <c r="C126" s="22" t="s">
        <v>45</v>
      </c>
      <c r="D126" s="22"/>
      <c r="E126" s="22">
        <v>1</v>
      </c>
      <c r="F126" s="22">
        <v>3.2559999999999998</v>
      </c>
      <c r="G126" s="24">
        <v>1.6519999999999999</v>
      </c>
      <c r="H126" s="24">
        <v>1.655</v>
      </c>
    </row>
    <row r="127" spans="2:8" x14ac:dyDescent="0.25">
      <c r="B127" s="22">
        <v>244</v>
      </c>
      <c r="C127" s="22" t="s">
        <v>45</v>
      </c>
      <c r="D127" s="22"/>
      <c r="E127" s="22">
        <v>1</v>
      </c>
      <c r="F127" s="22">
        <v>3.4289999999999998</v>
      </c>
      <c r="G127" s="24">
        <v>1.6319999999999999</v>
      </c>
      <c r="H127" s="24">
        <v>1.6339999999999999</v>
      </c>
    </row>
    <row r="128" spans="2:8" x14ac:dyDescent="0.25">
      <c r="B128" s="22">
        <v>246</v>
      </c>
      <c r="C128" s="22" t="s">
        <v>45</v>
      </c>
      <c r="D128" s="22"/>
      <c r="E128" s="22">
        <v>1</v>
      </c>
      <c r="F128" s="22">
        <v>3.2890000000000001</v>
      </c>
      <c r="G128" s="24">
        <v>1.651</v>
      </c>
      <c r="H128" s="24">
        <v>1.65</v>
      </c>
    </row>
    <row r="129" spans="2:8" x14ac:dyDescent="0.25">
      <c r="B129" s="22">
        <v>248</v>
      </c>
      <c r="C129" s="22" t="s">
        <v>45</v>
      </c>
      <c r="D129" s="22"/>
      <c r="E129" s="22">
        <v>1</v>
      </c>
      <c r="F129" s="22">
        <v>3.258</v>
      </c>
      <c r="G129" s="24">
        <v>1.6830000000000001</v>
      </c>
      <c r="H129" s="24">
        <v>1.6830000000000001</v>
      </c>
    </row>
  </sheetData>
  <sheetProtection algorithmName="SHA-512" hashValue="1WfzVJAR2q+kXfrijujza77p2kLL4cm6cOXzHMaqEVvnkRyQexA98KXsli+7TNhVG3rdMCevQt/ilTVQsN6IbQ==" saltValue="XTQdEA+cfTuX0nVwbDsP6w==" spinCount="100000" sheet="1" objects="1" scenarios="1" sort="0" autoFilter="0"/>
  <autoFilter ref="A13:H129" xr:uid="{43550E54-B1B4-4D96-B9D0-F2576B327634}"/>
  <mergeCells count="12">
    <mergeCell ref="A4:H4"/>
    <mergeCell ref="A5:H5"/>
    <mergeCell ref="A6:H6"/>
    <mergeCell ref="A7:H7"/>
    <mergeCell ref="A1:C1"/>
    <mergeCell ref="D1:G1"/>
    <mergeCell ref="A2:B2"/>
    <mergeCell ref="C2:D2"/>
    <mergeCell ref="E2:F2"/>
    <mergeCell ref="A3:B3"/>
    <mergeCell ref="C3:D3"/>
    <mergeCell ref="E3:F3"/>
  </mergeCells>
  <conditionalFormatting sqref="A14:A66">
    <cfRule type="duplicateValues" dxfId="22" priority="10"/>
  </conditionalFormatting>
  <conditionalFormatting sqref="A3:G3">
    <cfRule type="cellIs" dxfId="21" priority="1" operator="equal">
      <formula>0</formula>
    </cfRule>
  </conditionalFormatting>
  <conditionalFormatting sqref="B13">
    <cfRule type="cellIs" dxfId="20" priority="9" operator="equal">
      <formula>"All Pass"</formula>
    </cfRule>
  </conditionalFormatting>
  <conditionalFormatting sqref="B14:B66">
    <cfRule type="duplicateValues" dxfId="19" priority="11"/>
  </conditionalFormatting>
  <conditionalFormatting sqref="C14:C1807">
    <cfRule type="containsBlanks" dxfId="18" priority="5">
      <formula>LEN(TRIM(C14))=0</formula>
    </cfRule>
    <cfRule type="cellIs" dxfId="17" priority="6" operator="equal">
      <formula>"ALL PASS"</formula>
    </cfRule>
    <cfRule type="cellIs" dxfId="16" priority="7" stopIfTrue="1" operator="equal">
      <formula>"ND"</formula>
    </cfRule>
    <cfRule type="cellIs" dxfId="15" priority="8" operator="notEqual">
      <formula>"ALL PASS"</formula>
    </cfRule>
  </conditionalFormatting>
  <conditionalFormatting sqref="E14:E4807">
    <cfRule type="cellIs" dxfId="14" priority="2" stopIfTrue="1" operator="equal">
      <formula>99</formula>
    </cfRule>
    <cfRule type="cellIs" dxfId="13" priority="3" operator="between">
      <formula>2</formula>
      <formula>98</formula>
    </cfRule>
    <cfRule type="cellIs" dxfId="12" priority="4" operator="equal">
      <formula>1</formula>
    </cfRule>
  </conditionalFormatting>
  <hyperlinks>
    <hyperlink ref="D1" location="INDEX!A1" display="RETURN TO INDEX" xr:uid="{295A1EA2-C795-4517-A4BB-60CAD58B5706}"/>
    <hyperlink ref="D1:E1" location="INDEX!A1" display="RETURN TO INDEX" xr:uid="{C4D1A01C-0F43-46BD-A055-4788321D1355}"/>
    <hyperlink ref="H1" location="'QCI Sample Selection'!A1" display="QCI SAMPLE SELECTION" xr:uid="{A83277FE-CE33-4966-9191-BD799B5639A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D1552-A8B5-4FDD-9912-41C4F0D17A7F}">
  <sheetPr>
    <tabColor theme="4" tint="-0.249977111117893"/>
    <pageSetUpPr fitToPage="1"/>
  </sheetPr>
  <dimension ref="A1:E123"/>
  <sheetViews>
    <sheetView zoomScaleNormal="100" workbookViewId="0">
      <pane xSplit="1" ySplit="9" topLeftCell="B10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10" sqref="B10"/>
    </sheetView>
  </sheetViews>
  <sheetFormatPr defaultColWidth="0" defaultRowHeight="15" zeroHeight="1" x14ac:dyDescent="0.25"/>
  <cols>
    <col min="1" max="1" width="30.140625" customWidth="1"/>
    <col min="2" max="2" width="21" bestFit="1" customWidth="1"/>
    <col min="3" max="3" width="13.5703125" style="6" bestFit="1" customWidth="1"/>
    <col min="4" max="4" width="12" style="6" bestFit="1" customWidth="1"/>
    <col min="5" max="5" width="20" style="6" bestFit="1" customWidth="1"/>
    <col min="6" max="16384" width="9.140625" hidden="1"/>
  </cols>
  <sheetData>
    <row r="1" spans="1:5" ht="26.25" customHeight="1" x14ac:dyDescent="0.25">
      <c r="A1" s="1" t="s">
        <v>73</v>
      </c>
      <c r="B1" s="75" t="s">
        <v>1</v>
      </c>
      <c r="C1" s="75"/>
      <c r="D1" s="75" t="s">
        <v>2</v>
      </c>
      <c r="E1" s="75"/>
    </row>
    <row r="2" spans="1:5" ht="15.75" x14ac:dyDescent="0.25">
      <c r="A2" s="39" t="s">
        <v>99</v>
      </c>
      <c r="B2" s="40" t="s">
        <v>100</v>
      </c>
      <c r="C2" s="40" t="s">
        <v>101</v>
      </c>
      <c r="D2" s="40" t="s">
        <v>102</v>
      </c>
      <c r="E2" s="41"/>
    </row>
    <row r="3" spans="1:5" ht="18.75" x14ac:dyDescent="0.25">
      <c r="A3" s="42" t="s">
        <v>103</v>
      </c>
      <c r="B3" s="43" t="s">
        <v>103</v>
      </c>
      <c r="C3" s="43"/>
      <c r="D3" s="43">
        <v>2346</v>
      </c>
      <c r="E3" s="41"/>
    </row>
    <row r="4" spans="1:5" ht="27.6" customHeight="1" x14ac:dyDescent="0.35">
      <c r="A4" s="44" t="str">
        <f>"N= " &amp; COUNT($A$10:$A$123)</f>
        <v>N= 22</v>
      </c>
      <c r="B4" s="45"/>
      <c r="C4" s="46" t="s">
        <v>74</v>
      </c>
      <c r="D4" s="47"/>
      <c r="E4" s="47"/>
    </row>
    <row r="5" spans="1:5" ht="27.6" customHeight="1" x14ac:dyDescent="0.4">
      <c r="A5" s="48" t="str">
        <f>IF(COUNTIF($E$11:$E$123,"FAIL")=0,"PASS","FAIL")</f>
        <v>PASS</v>
      </c>
      <c r="B5" s="45"/>
      <c r="C5" s="49">
        <v>45301.405555555553</v>
      </c>
      <c r="D5" s="47"/>
      <c r="E5" s="47"/>
    </row>
    <row r="6" spans="1:5" ht="27.6" customHeight="1" x14ac:dyDescent="0.25">
      <c r="A6" s="50" t="s">
        <v>75</v>
      </c>
      <c r="B6" s="50" t="s">
        <v>76</v>
      </c>
      <c r="C6" s="50" t="s">
        <v>77</v>
      </c>
      <c r="D6" s="51"/>
      <c r="E6" s="52"/>
    </row>
    <row r="7" spans="1:5" ht="27.6" customHeight="1" x14ac:dyDescent="0.25">
      <c r="A7" s="50"/>
      <c r="B7" s="53" t="s">
        <v>78</v>
      </c>
      <c r="C7" s="53">
        <v>20</v>
      </c>
      <c r="D7" s="54" t="s">
        <v>79</v>
      </c>
      <c r="E7" s="52"/>
    </row>
    <row r="8" spans="1:5" ht="27.6" customHeight="1" x14ac:dyDescent="0.25">
      <c r="A8" s="55" t="s">
        <v>80</v>
      </c>
      <c r="B8" s="56">
        <v>2.8299999999999999E-9</v>
      </c>
      <c r="C8" s="56">
        <v>3.5000000000000002E-11</v>
      </c>
      <c r="D8" s="56">
        <v>1.6600000000000001E-9</v>
      </c>
      <c r="E8" s="52"/>
    </row>
    <row r="9" spans="1:5" ht="27.6" customHeight="1" x14ac:dyDescent="0.25">
      <c r="A9" s="55" t="s">
        <v>81</v>
      </c>
      <c r="B9" s="57" t="s">
        <v>82</v>
      </c>
      <c r="C9" s="57" t="s">
        <v>83</v>
      </c>
      <c r="D9" s="57" t="s">
        <v>84</v>
      </c>
      <c r="E9" s="58" t="s">
        <v>85</v>
      </c>
    </row>
    <row r="10" spans="1:5" ht="27.6" customHeight="1" x14ac:dyDescent="0.25">
      <c r="A10" s="59">
        <v>209</v>
      </c>
      <c r="B10" s="60">
        <v>1.81E-12</v>
      </c>
      <c r="C10" s="60">
        <v>2.23E-12</v>
      </c>
      <c r="D10" s="60">
        <v>5.7999999999999995E-13</v>
      </c>
      <c r="E10" s="61" t="str">
        <f>IF(AND(B10&lt;&gt;"",B10&lt;=B$8,C10&lt;&gt;"",C10&lt;=C$8,D10&lt;&gt;"",D10&lt;=D$8),"PASS","FAIL")</f>
        <v>PASS</v>
      </c>
    </row>
    <row r="11" spans="1:5" s="63" customFormat="1" ht="27.6" customHeight="1" x14ac:dyDescent="0.25">
      <c r="A11" s="62">
        <v>244</v>
      </c>
      <c r="B11" s="60">
        <v>2.0699999999999999E-12</v>
      </c>
      <c r="C11" s="60">
        <v>2.4799999999999999E-12</v>
      </c>
      <c r="D11" s="60">
        <v>6.9099999999999998E-13</v>
      </c>
      <c r="E11" s="61" t="str">
        <f t="shared" ref="E11:E31" si="0">IF(AND(B11&lt;&gt;"",B11&lt;=B$8,C11&lt;&gt;"",C11&lt;=C$8,D11&lt;&gt;"",D11&lt;=D$8),"PASS","FAIL")</f>
        <v>PASS</v>
      </c>
    </row>
    <row r="12" spans="1:5" s="63" customFormat="1" ht="27.6" customHeight="1" x14ac:dyDescent="0.25">
      <c r="A12" s="62">
        <v>254</v>
      </c>
      <c r="B12" s="60">
        <v>1.8E-12</v>
      </c>
      <c r="C12" s="60">
        <v>2.2699999999999998E-12</v>
      </c>
      <c r="D12" s="60">
        <v>5.93E-13</v>
      </c>
      <c r="E12" s="61" t="str">
        <f t="shared" si="0"/>
        <v>PASS</v>
      </c>
    </row>
    <row r="13" spans="1:5" s="63" customFormat="1" ht="27.6" customHeight="1" x14ac:dyDescent="0.25">
      <c r="A13" s="62">
        <v>261</v>
      </c>
      <c r="B13" s="60">
        <v>2.3400000000000001E-12</v>
      </c>
      <c r="C13" s="60">
        <v>2.9099999999999999E-12</v>
      </c>
      <c r="D13" s="60">
        <v>9E-13</v>
      </c>
      <c r="E13" s="61" t="str">
        <f t="shared" si="0"/>
        <v>PASS</v>
      </c>
    </row>
    <row r="14" spans="1:5" s="63" customFormat="1" ht="27.6" customHeight="1" x14ac:dyDescent="0.25">
      <c r="A14" s="62">
        <v>262</v>
      </c>
      <c r="B14" s="60">
        <v>1.81E-12</v>
      </c>
      <c r="C14" s="60">
        <v>2.2400000000000001E-12</v>
      </c>
      <c r="D14" s="60">
        <v>5.7599999999999997E-13</v>
      </c>
      <c r="E14" s="61" t="str">
        <f t="shared" si="0"/>
        <v>PASS</v>
      </c>
    </row>
    <row r="15" spans="1:5" s="63" customFormat="1" ht="27.6" customHeight="1" x14ac:dyDescent="0.25">
      <c r="A15" s="62">
        <v>263</v>
      </c>
      <c r="B15" s="60">
        <v>1.79E-12</v>
      </c>
      <c r="C15" s="60">
        <v>2.2400000000000001E-12</v>
      </c>
      <c r="D15" s="60">
        <v>5.7799999999999996E-13</v>
      </c>
      <c r="E15" s="61" t="str">
        <f t="shared" si="0"/>
        <v>PASS</v>
      </c>
    </row>
    <row r="16" spans="1:5" s="63" customFormat="1" ht="27.6" customHeight="1" x14ac:dyDescent="0.25">
      <c r="A16" s="62">
        <v>270</v>
      </c>
      <c r="B16" s="60">
        <v>1.75E-12</v>
      </c>
      <c r="C16" s="60">
        <v>2.2199999999999998E-12</v>
      </c>
      <c r="D16" s="60">
        <v>5.44E-13</v>
      </c>
      <c r="E16" s="61" t="str">
        <f t="shared" si="0"/>
        <v>PASS</v>
      </c>
    </row>
    <row r="17" spans="1:5" s="63" customFormat="1" ht="27.6" customHeight="1" x14ac:dyDescent="0.25">
      <c r="A17" s="62">
        <v>271</v>
      </c>
      <c r="B17" s="60">
        <v>1.79E-12</v>
      </c>
      <c r="C17" s="60">
        <v>2.2199999999999998E-12</v>
      </c>
      <c r="D17" s="60">
        <v>5.7199999999999999E-13</v>
      </c>
      <c r="E17" s="61" t="str">
        <f t="shared" si="0"/>
        <v>PASS</v>
      </c>
    </row>
    <row r="18" spans="1:5" s="63" customFormat="1" ht="27.6" customHeight="1" x14ac:dyDescent="0.25">
      <c r="A18" s="62">
        <v>272</v>
      </c>
      <c r="B18" s="60">
        <v>1.8199999999999999E-12</v>
      </c>
      <c r="C18" s="60">
        <v>2.2699999999999998E-12</v>
      </c>
      <c r="D18" s="60">
        <v>5.8900000000000001E-13</v>
      </c>
      <c r="E18" s="61" t="str">
        <f t="shared" si="0"/>
        <v>PASS</v>
      </c>
    </row>
    <row r="19" spans="1:5" s="63" customFormat="1" ht="27.6" customHeight="1" x14ac:dyDescent="0.25">
      <c r="A19" s="62">
        <v>283</v>
      </c>
      <c r="B19" s="60">
        <v>1.7699999999999999E-12</v>
      </c>
      <c r="C19" s="60">
        <v>2.2199999999999998E-12</v>
      </c>
      <c r="D19" s="60">
        <v>5.5599999999999995E-13</v>
      </c>
      <c r="E19" s="61" t="str">
        <f t="shared" si="0"/>
        <v>PASS</v>
      </c>
    </row>
    <row r="20" spans="1:5" s="63" customFormat="1" ht="27.6" customHeight="1" x14ac:dyDescent="0.25">
      <c r="A20" s="62">
        <v>284</v>
      </c>
      <c r="B20" s="60">
        <v>1.8E-12</v>
      </c>
      <c r="C20" s="60">
        <v>2.1900000000000002E-12</v>
      </c>
      <c r="D20" s="60">
        <v>5.6000000000000004E-13</v>
      </c>
      <c r="E20" s="61" t="str">
        <f t="shared" si="0"/>
        <v>PASS</v>
      </c>
    </row>
    <row r="21" spans="1:5" s="63" customFormat="1" ht="27.6" customHeight="1" x14ac:dyDescent="0.25">
      <c r="A21" s="59">
        <v>285</v>
      </c>
      <c r="B21" s="60">
        <v>2.3400000000000001E-12</v>
      </c>
      <c r="C21" s="60">
        <v>2.9099999999999999E-12</v>
      </c>
      <c r="D21" s="60">
        <v>8.9900000000000001E-13</v>
      </c>
      <c r="E21" s="61" t="str">
        <f t="shared" si="0"/>
        <v>PASS</v>
      </c>
    </row>
    <row r="22" spans="1:5" s="63" customFormat="1" ht="27.6" customHeight="1" x14ac:dyDescent="0.25">
      <c r="A22" s="62">
        <v>288</v>
      </c>
      <c r="B22" s="64">
        <v>2.3700000000000002E-12</v>
      </c>
      <c r="C22" s="64">
        <v>2.94E-12</v>
      </c>
      <c r="D22" s="64">
        <v>9.1399999999999994E-13</v>
      </c>
      <c r="E22" s="61" t="str">
        <f t="shared" si="0"/>
        <v>PASS</v>
      </c>
    </row>
    <row r="23" spans="1:5" s="63" customFormat="1" ht="27.6" customHeight="1" x14ac:dyDescent="0.25">
      <c r="A23" s="62">
        <v>290</v>
      </c>
      <c r="B23" s="64">
        <v>2.18E-12</v>
      </c>
      <c r="C23" s="64">
        <v>2.8200000000000001E-12</v>
      </c>
      <c r="D23" s="64">
        <v>9.0299999999999999E-13</v>
      </c>
      <c r="E23" s="61" t="str">
        <f t="shared" si="0"/>
        <v>PASS</v>
      </c>
    </row>
    <row r="24" spans="1:5" s="63" customFormat="1" ht="27.6" customHeight="1" x14ac:dyDescent="0.25">
      <c r="A24" s="62">
        <v>291</v>
      </c>
      <c r="B24" s="64">
        <v>1.9399999999999998E-12</v>
      </c>
      <c r="C24" s="64">
        <v>2.2999999999999999E-12</v>
      </c>
      <c r="D24" s="64">
        <v>5.7499999999999997E-13</v>
      </c>
      <c r="E24" s="61" t="str">
        <f t="shared" si="0"/>
        <v>PASS</v>
      </c>
    </row>
    <row r="25" spans="1:5" s="63" customFormat="1" ht="27.6" customHeight="1" x14ac:dyDescent="0.25">
      <c r="A25" s="62">
        <v>292</v>
      </c>
      <c r="B25" s="64">
        <v>2.36E-12</v>
      </c>
      <c r="C25" s="64">
        <v>2.9599999999999999E-12</v>
      </c>
      <c r="D25" s="64">
        <v>9.1799999999999993E-13</v>
      </c>
      <c r="E25" s="61" t="str">
        <f t="shared" si="0"/>
        <v>PASS</v>
      </c>
    </row>
    <row r="26" spans="1:5" s="63" customFormat="1" ht="27.6" customHeight="1" x14ac:dyDescent="0.25">
      <c r="A26" s="62">
        <v>293</v>
      </c>
      <c r="B26" s="64">
        <v>2.3700000000000002E-12</v>
      </c>
      <c r="C26" s="64">
        <v>2.94E-12</v>
      </c>
      <c r="D26" s="64">
        <v>9.2300000000000001E-13</v>
      </c>
      <c r="E26" s="61" t="str">
        <f t="shared" si="0"/>
        <v>PASS</v>
      </c>
    </row>
    <row r="27" spans="1:5" s="63" customFormat="1" ht="27.6" customHeight="1" x14ac:dyDescent="0.25">
      <c r="A27" s="62">
        <v>296</v>
      </c>
      <c r="B27" s="64">
        <v>2.38E-12</v>
      </c>
      <c r="C27" s="64">
        <v>2.9700000000000001E-12</v>
      </c>
      <c r="D27" s="64">
        <v>9.3099999999999997E-13</v>
      </c>
      <c r="E27" s="61" t="str">
        <f t="shared" si="0"/>
        <v>PASS</v>
      </c>
    </row>
    <row r="28" spans="1:5" s="63" customFormat="1" ht="27.6" customHeight="1" x14ac:dyDescent="0.25">
      <c r="A28" s="62">
        <v>299</v>
      </c>
      <c r="B28" s="64">
        <v>2.3900000000000001E-12</v>
      </c>
      <c r="C28" s="64">
        <v>2.9700000000000001E-12</v>
      </c>
      <c r="D28" s="64">
        <v>9.3299999999999996E-13</v>
      </c>
      <c r="E28" s="61" t="str">
        <f t="shared" si="0"/>
        <v>PASS</v>
      </c>
    </row>
    <row r="29" spans="1:5" s="63" customFormat="1" ht="27.6" customHeight="1" x14ac:dyDescent="0.25">
      <c r="A29" s="62">
        <v>303</v>
      </c>
      <c r="B29" s="64">
        <v>2.3700000000000002E-12</v>
      </c>
      <c r="C29" s="64">
        <v>2.9299999999999998E-12</v>
      </c>
      <c r="D29" s="64">
        <v>9.1399999999999994E-13</v>
      </c>
      <c r="E29" s="61" t="str">
        <f t="shared" si="0"/>
        <v>PASS</v>
      </c>
    </row>
    <row r="30" spans="1:5" s="63" customFormat="1" ht="27.6" customHeight="1" x14ac:dyDescent="0.25">
      <c r="A30" s="62">
        <v>306</v>
      </c>
      <c r="B30" s="64">
        <v>2.3700000000000002E-12</v>
      </c>
      <c r="C30" s="64">
        <v>2.9500000000000002E-12</v>
      </c>
      <c r="D30" s="64">
        <v>9.1900000000000002E-13</v>
      </c>
      <c r="E30" s="61" t="str">
        <f t="shared" si="0"/>
        <v>PASS</v>
      </c>
    </row>
    <row r="31" spans="1:5" s="63" customFormat="1" ht="27.6" customHeight="1" x14ac:dyDescent="0.25">
      <c r="A31" s="62">
        <v>307</v>
      </c>
      <c r="B31" s="64">
        <v>2.36E-12</v>
      </c>
      <c r="C31" s="64">
        <v>2.9700000000000001E-12</v>
      </c>
      <c r="D31" s="64">
        <v>9.2699999999999999E-13</v>
      </c>
      <c r="E31" s="61" t="str">
        <f t="shared" si="0"/>
        <v>PASS</v>
      </c>
    </row>
    <row r="32" spans="1:5" s="63" customFormat="1" ht="27.6" hidden="1" customHeight="1" x14ac:dyDescent="0.25">
      <c r="A32" s="62"/>
      <c r="B32" s="64"/>
      <c r="C32" s="64"/>
      <c r="D32" s="64"/>
      <c r="E32" s="61"/>
    </row>
    <row r="33" spans="1:5" s="63" customFormat="1" ht="27.6" hidden="1" customHeight="1" x14ac:dyDescent="0.25">
      <c r="A33" s="62"/>
      <c r="B33" s="64"/>
      <c r="C33" s="64"/>
      <c r="D33" s="64"/>
      <c r="E33" s="61"/>
    </row>
    <row r="34" spans="1:5" s="63" customFormat="1" ht="27.6" hidden="1" customHeight="1" x14ac:dyDescent="0.25">
      <c r="A34" s="62"/>
      <c r="B34" s="64"/>
      <c r="C34" s="64"/>
      <c r="D34" s="64"/>
      <c r="E34" s="61"/>
    </row>
    <row r="35" spans="1:5" s="63" customFormat="1" ht="27.6" hidden="1" customHeight="1" x14ac:dyDescent="0.25">
      <c r="A35" s="62"/>
      <c r="B35" s="64"/>
      <c r="C35" s="64"/>
      <c r="D35" s="64"/>
      <c r="E35" s="61"/>
    </row>
    <row r="36" spans="1:5" s="63" customFormat="1" ht="27.6" hidden="1" customHeight="1" x14ac:dyDescent="0.25">
      <c r="A36" s="62"/>
      <c r="B36" s="64"/>
      <c r="C36" s="64"/>
      <c r="D36" s="64"/>
      <c r="E36" s="61"/>
    </row>
    <row r="37" spans="1:5" s="63" customFormat="1" ht="27.6" hidden="1" customHeight="1" x14ac:dyDescent="0.25">
      <c r="A37" s="62"/>
      <c r="B37" s="64"/>
      <c r="C37" s="64"/>
      <c r="D37" s="64"/>
      <c r="E37" s="61"/>
    </row>
    <row r="38" spans="1:5" s="63" customFormat="1" ht="27.6" hidden="1" customHeight="1" x14ac:dyDescent="0.25">
      <c r="A38" s="62"/>
      <c r="B38" s="64"/>
      <c r="C38" s="64"/>
      <c r="D38" s="64"/>
      <c r="E38" s="61"/>
    </row>
    <row r="39" spans="1:5" s="63" customFormat="1" ht="27.6" hidden="1" customHeight="1" x14ac:dyDescent="0.25">
      <c r="A39" s="62"/>
      <c r="B39" s="64"/>
      <c r="C39" s="64"/>
      <c r="D39" s="64"/>
      <c r="E39" s="61"/>
    </row>
    <row r="40" spans="1:5" s="63" customFormat="1" ht="27.6" hidden="1" customHeight="1" x14ac:dyDescent="0.25">
      <c r="A40" s="62"/>
      <c r="B40" s="64"/>
      <c r="C40" s="64"/>
      <c r="D40" s="64"/>
      <c r="E40" s="61"/>
    </row>
    <row r="41" spans="1:5" s="63" customFormat="1" ht="27.6" hidden="1" customHeight="1" x14ac:dyDescent="0.25">
      <c r="A41" s="62"/>
      <c r="B41" s="64"/>
      <c r="C41" s="64"/>
      <c r="D41" s="64"/>
      <c r="E41" s="61"/>
    </row>
    <row r="42" spans="1:5" s="63" customFormat="1" ht="27.6" hidden="1" customHeight="1" x14ac:dyDescent="0.25">
      <c r="A42" s="62"/>
      <c r="B42" s="64"/>
      <c r="C42" s="64"/>
      <c r="D42" s="64"/>
      <c r="E42" s="61"/>
    </row>
    <row r="43" spans="1:5" s="63" customFormat="1" ht="27.6" hidden="1" customHeight="1" x14ac:dyDescent="0.25">
      <c r="A43" s="62"/>
      <c r="B43" s="64"/>
      <c r="C43" s="64"/>
      <c r="D43" s="64"/>
      <c r="E43" s="61"/>
    </row>
    <row r="44" spans="1:5" s="63" customFormat="1" ht="27.6" hidden="1" customHeight="1" x14ac:dyDescent="0.25">
      <c r="A44" s="62"/>
      <c r="B44" s="64"/>
      <c r="C44" s="64"/>
      <c r="D44" s="64"/>
      <c r="E44" s="61"/>
    </row>
    <row r="45" spans="1:5" s="63" customFormat="1" ht="27.6" hidden="1" customHeight="1" x14ac:dyDescent="0.25">
      <c r="A45" s="62"/>
      <c r="B45" s="64"/>
      <c r="C45" s="64"/>
      <c r="D45" s="64"/>
      <c r="E45" s="61"/>
    </row>
    <row r="46" spans="1:5" s="63" customFormat="1" ht="27.6" hidden="1" customHeight="1" x14ac:dyDescent="0.25">
      <c r="A46" s="62"/>
      <c r="B46" s="64"/>
      <c r="C46" s="64"/>
      <c r="D46" s="64"/>
      <c r="E46" s="61"/>
    </row>
    <row r="47" spans="1:5" s="63" customFormat="1" ht="27.6" hidden="1" customHeight="1" x14ac:dyDescent="0.25">
      <c r="A47" s="62"/>
      <c r="B47" s="64"/>
      <c r="C47" s="64"/>
      <c r="D47" s="64"/>
      <c r="E47" s="61"/>
    </row>
    <row r="48" spans="1:5" s="63" customFormat="1" ht="27.6" hidden="1" customHeight="1" x14ac:dyDescent="0.25">
      <c r="A48" s="62"/>
      <c r="B48" s="64"/>
      <c r="C48" s="64"/>
      <c r="D48" s="64"/>
      <c r="E48" s="61"/>
    </row>
    <row r="49" spans="1:5" s="63" customFormat="1" ht="27.6" hidden="1" customHeight="1" x14ac:dyDescent="0.25">
      <c r="A49" s="62"/>
      <c r="B49" s="64"/>
      <c r="C49" s="64"/>
      <c r="D49" s="64"/>
      <c r="E49" s="61"/>
    </row>
    <row r="50" spans="1:5" s="63" customFormat="1" ht="27.6" hidden="1" customHeight="1" x14ac:dyDescent="0.25">
      <c r="A50" s="62"/>
      <c r="B50" s="64"/>
      <c r="C50" s="64"/>
      <c r="D50" s="64"/>
      <c r="E50" s="61"/>
    </row>
    <row r="51" spans="1:5" s="63" customFormat="1" ht="27.6" hidden="1" customHeight="1" x14ac:dyDescent="0.25">
      <c r="A51" s="62"/>
      <c r="B51" s="64"/>
      <c r="C51" s="64"/>
      <c r="D51" s="64"/>
      <c r="E51" s="61"/>
    </row>
    <row r="52" spans="1:5" s="63" customFormat="1" ht="27.6" hidden="1" customHeight="1" x14ac:dyDescent="0.25">
      <c r="A52" s="62"/>
      <c r="B52" s="64"/>
      <c r="C52" s="64"/>
      <c r="D52" s="64"/>
      <c r="E52" s="61"/>
    </row>
    <row r="53" spans="1:5" s="63" customFormat="1" ht="27.6" hidden="1" customHeight="1" x14ac:dyDescent="0.25">
      <c r="A53" s="62"/>
      <c r="B53" s="64"/>
      <c r="C53" s="64"/>
      <c r="D53" s="64"/>
      <c r="E53" s="61"/>
    </row>
    <row r="54" spans="1:5" s="63" customFormat="1" ht="27.6" hidden="1" customHeight="1" x14ac:dyDescent="0.25">
      <c r="A54" s="62"/>
      <c r="B54" s="64"/>
      <c r="C54" s="64"/>
      <c r="D54" s="64"/>
      <c r="E54" s="61"/>
    </row>
    <row r="55" spans="1:5" s="63" customFormat="1" ht="27.6" hidden="1" customHeight="1" x14ac:dyDescent="0.25">
      <c r="A55" s="65"/>
      <c r="B55" s="66"/>
      <c r="C55" s="66"/>
      <c r="D55" s="66"/>
      <c r="E55" s="61"/>
    </row>
    <row r="56" spans="1:5" s="67" customFormat="1" ht="27.6" hidden="1" customHeight="1" x14ac:dyDescent="0.25">
      <c r="A56" s="65"/>
      <c r="B56" s="66"/>
      <c r="C56" s="66"/>
      <c r="D56" s="66"/>
      <c r="E56" s="61"/>
    </row>
    <row r="57" spans="1:5" s="67" customFormat="1" ht="27.6" hidden="1" customHeight="1" x14ac:dyDescent="0.25">
      <c r="A57" s="65"/>
      <c r="B57" s="66"/>
      <c r="C57" s="66"/>
      <c r="D57" s="66"/>
      <c r="E57" s="61"/>
    </row>
    <row r="58" spans="1:5" s="67" customFormat="1" ht="27.6" hidden="1" customHeight="1" x14ac:dyDescent="0.25">
      <c r="A58" s="65"/>
      <c r="B58" s="66"/>
      <c r="C58" s="66"/>
      <c r="D58" s="66"/>
      <c r="E58" s="61"/>
    </row>
    <row r="59" spans="1:5" s="67" customFormat="1" ht="27.6" hidden="1" customHeight="1" x14ac:dyDescent="0.25">
      <c r="A59" s="65"/>
      <c r="B59" s="66"/>
      <c r="C59" s="66"/>
      <c r="D59" s="66"/>
      <c r="E59" s="61"/>
    </row>
    <row r="60" spans="1:5" s="67" customFormat="1" ht="27.6" hidden="1" customHeight="1" x14ac:dyDescent="0.25">
      <c r="A60" s="65"/>
      <c r="B60" s="66"/>
      <c r="C60" s="66"/>
      <c r="D60" s="66"/>
      <c r="E60" s="61"/>
    </row>
    <row r="61" spans="1:5" s="67" customFormat="1" ht="27.6" hidden="1" customHeight="1" x14ac:dyDescent="0.25">
      <c r="A61" s="65"/>
      <c r="B61" s="66"/>
      <c r="C61" s="66"/>
      <c r="D61" s="66"/>
      <c r="E61" s="61"/>
    </row>
    <row r="62" spans="1:5" s="67" customFormat="1" ht="27.6" hidden="1" customHeight="1" x14ac:dyDescent="0.25">
      <c r="A62" s="65"/>
      <c r="B62" s="66"/>
      <c r="C62" s="66"/>
      <c r="D62" s="66"/>
      <c r="E62" s="61"/>
    </row>
    <row r="63" spans="1:5" s="67" customFormat="1" ht="27.6" hidden="1" customHeight="1" x14ac:dyDescent="0.25">
      <c r="A63" s="65"/>
      <c r="B63" s="66"/>
      <c r="C63" s="66"/>
      <c r="D63" s="66"/>
      <c r="E63" s="61"/>
    </row>
    <row r="64" spans="1:5" s="67" customFormat="1" ht="27.6" hidden="1" customHeight="1" x14ac:dyDescent="0.25">
      <c r="A64" s="65"/>
      <c r="B64" s="66"/>
      <c r="C64" s="66"/>
      <c r="D64" s="66"/>
      <c r="E64" s="61"/>
    </row>
    <row r="65" spans="1:5" s="67" customFormat="1" ht="27.6" hidden="1" customHeight="1" x14ac:dyDescent="0.25">
      <c r="A65" s="65"/>
      <c r="B65" s="66"/>
      <c r="C65" s="66"/>
      <c r="D65" s="66"/>
      <c r="E65" s="61"/>
    </row>
    <row r="66" spans="1:5" s="67" customFormat="1" ht="27.6" hidden="1" customHeight="1" x14ac:dyDescent="0.25">
      <c r="A66" s="65"/>
      <c r="B66" s="66"/>
      <c r="C66" s="66"/>
      <c r="D66" s="66"/>
      <c r="E66" s="61"/>
    </row>
    <row r="67" spans="1:5" s="67" customFormat="1" ht="27.6" hidden="1" customHeight="1" x14ac:dyDescent="0.25">
      <c r="A67" s="65"/>
      <c r="B67" s="66"/>
      <c r="C67" s="66"/>
      <c r="D67" s="66"/>
      <c r="E67" s="61"/>
    </row>
    <row r="68" spans="1:5" s="67" customFormat="1" ht="27.6" hidden="1" customHeight="1" x14ac:dyDescent="0.25">
      <c r="A68" s="65"/>
      <c r="B68" s="66"/>
      <c r="C68" s="66"/>
      <c r="D68" s="66"/>
      <c r="E68" s="61"/>
    </row>
    <row r="69" spans="1:5" s="67" customFormat="1" ht="27.6" hidden="1" customHeight="1" x14ac:dyDescent="0.25">
      <c r="A69" s="65"/>
      <c r="B69" s="66"/>
      <c r="C69" s="66"/>
      <c r="D69" s="66"/>
      <c r="E69" s="61"/>
    </row>
    <row r="70" spans="1:5" s="67" customFormat="1" ht="27.6" hidden="1" customHeight="1" x14ac:dyDescent="0.25">
      <c r="A70" s="65"/>
      <c r="B70" s="66"/>
      <c r="C70" s="66"/>
      <c r="D70" s="66"/>
      <c r="E70" s="61"/>
    </row>
    <row r="71" spans="1:5" s="67" customFormat="1" ht="27.6" hidden="1" customHeight="1" x14ac:dyDescent="0.25">
      <c r="A71" s="65"/>
      <c r="B71" s="66"/>
      <c r="C71" s="66"/>
      <c r="D71" s="66"/>
      <c r="E71" s="61"/>
    </row>
    <row r="72" spans="1:5" s="67" customFormat="1" ht="27.6" hidden="1" customHeight="1" x14ac:dyDescent="0.25">
      <c r="A72" s="65"/>
      <c r="B72" s="66"/>
      <c r="C72" s="66"/>
      <c r="D72" s="66"/>
      <c r="E72" s="61"/>
    </row>
    <row r="73" spans="1:5" s="67" customFormat="1" ht="27.6" hidden="1" customHeight="1" x14ac:dyDescent="0.25">
      <c r="A73" s="65"/>
      <c r="B73" s="66"/>
      <c r="C73" s="66"/>
      <c r="D73" s="66"/>
      <c r="E73" s="61"/>
    </row>
    <row r="74" spans="1:5" s="67" customFormat="1" ht="27.6" hidden="1" customHeight="1" x14ac:dyDescent="0.25">
      <c r="A74" s="65"/>
      <c r="B74" s="66"/>
      <c r="C74" s="66"/>
      <c r="D74" s="66"/>
      <c r="E74" s="61"/>
    </row>
    <row r="75" spans="1:5" s="67" customFormat="1" ht="27.6" hidden="1" customHeight="1" x14ac:dyDescent="0.25">
      <c r="A75" s="65"/>
      <c r="B75" s="66"/>
      <c r="C75" s="66"/>
      <c r="D75" s="66"/>
      <c r="E75" s="61"/>
    </row>
    <row r="76" spans="1:5" s="67" customFormat="1" ht="27.6" hidden="1" customHeight="1" x14ac:dyDescent="0.25">
      <c r="A76" s="65"/>
      <c r="B76" s="66"/>
      <c r="C76" s="66"/>
      <c r="D76" s="66"/>
      <c r="E76" s="61"/>
    </row>
    <row r="77" spans="1:5" s="67" customFormat="1" ht="27.6" hidden="1" customHeight="1" x14ac:dyDescent="0.25">
      <c r="A77" s="65"/>
      <c r="B77" s="66"/>
      <c r="C77" s="66"/>
      <c r="D77" s="66"/>
      <c r="E77" s="61"/>
    </row>
    <row r="78" spans="1:5" s="67" customFormat="1" ht="27.6" hidden="1" customHeight="1" x14ac:dyDescent="0.25">
      <c r="A78" s="65"/>
      <c r="B78" s="66"/>
      <c r="C78" s="66"/>
      <c r="D78" s="66"/>
      <c r="E78" s="61"/>
    </row>
    <row r="79" spans="1:5" s="67" customFormat="1" ht="27.6" hidden="1" customHeight="1" x14ac:dyDescent="0.25">
      <c r="A79" s="65"/>
      <c r="B79" s="66"/>
      <c r="C79" s="66"/>
      <c r="D79" s="66"/>
      <c r="E79" s="61"/>
    </row>
    <row r="80" spans="1:5" s="67" customFormat="1" ht="27.6" hidden="1" customHeight="1" x14ac:dyDescent="0.25">
      <c r="A80" s="65"/>
      <c r="B80" s="66"/>
      <c r="C80" s="66"/>
      <c r="D80" s="66"/>
      <c r="E80" s="61"/>
    </row>
    <row r="81" spans="1:5" s="67" customFormat="1" ht="27.6" hidden="1" customHeight="1" x14ac:dyDescent="0.25">
      <c r="A81" s="65"/>
      <c r="B81" s="66"/>
      <c r="C81" s="66"/>
      <c r="D81" s="66"/>
      <c r="E81" s="61"/>
    </row>
    <row r="82" spans="1:5" s="67" customFormat="1" ht="27.6" hidden="1" customHeight="1" x14ac:dyDescent="0.25">
      <c r="A82" s="65"/>
      <c r="B82" s="66"/>
      <c r="C82" s="66"/>
      <c r="D82" s="66"/>
      <c r="E82" s="61"/>
    </row>
    <row r="83" spans="1:5" s="67" customFormat="1" ht="27.6" hidden="1" customHeight="1" x14ac:dyDescent="0.25">
      <c r="A83" s="65"/>
      <c r="B83" s="66"/>
      <c r="C83" s="66"/>
      <c r="D83" s="66"/>
      <c r="E83" s="61"/>
    </row>
    <row r="84" spans="1:5" s="67" customFormat="1" ht="27.6" hidden="1" customHeight="1" x14ac:dyDescent="0.25">
      <c r="A84" s="65"/>
      <c r="B84" s="66"/>
      <c r="C84" s="66"/>
      <c r="D84" s="66"/>
      <c r="E84" s="61"/>
    </row>
    <row r="85" spans="1:5" s="67" customFormat="1" ht="27.6" hidden="1" customHeight="1" x14ac:dyDescent="0.25">
      <c r="A85" s="65"/>
      <c r="B85" s="66"/>
      <c r="C85" s="66"/>
      <c r="D85" s="66"/>
      <c r="E85" s="61"/>
    </row>
    <row r="86" spans="1:5" s="67" customFormat="1" ht="27.6" hidden="1" customHeight="1" x14ac:dyDescent="0.25">
      <c r="A86" s="65"/>
      <c r="B86" s="66"/>
      <c r="C86" s="66"/>
      <c r="D86" s="66"/>
      <c r="E86" s="61"/>
    </row>
    <row r="87" spans="1:5" s="67" customFormat="1" ht="27.6" hidden="1" customHeight="1" x14ac:dyDescent="0.25">
      <c r="A87" s="65"/>
      <c r="B87" s="66"/>
      <c r="C87" s="66"/>
      <c r="D87" s="66"/>
      <c r="E87" s="61"/>
    </row>
    <row r="88" spans="1:5" s="67" customFormat="1" ht="27.6" hidden="1" customHeight="1" x14ac:dyDescent="0.25">
      <c r="A88" s="65"/>
      <c r="B88" s="66"/>
      <c r="C88" s="66"/>
      <c r="D88" s="66"/>
      <c r="E88" s="61"/>
    </row>
    <row r="89" spans="1:5" s="67" customFormat="1" ht="27.6" hidden="1" customHeight="1" x14ac:dyDescent="0.25">
      <c r="A89" s="65"/>
      <c r="B89" s="66"/>
      <c r="C89" s="66"/>
      <c r="D89" s="66"/>
      <c r="E89" s="61"/>
    </row>
    <row r="90" spans="1:5" s="67" customFormat="1" ht="27.6" hidden="1" customHeight="1" x14ac:dyDescent="0.25">
      <c r="A90" s="65"/>
      <c r="B90" s="66"/>
      <c r="C90" s="66"/>
      <c r="D90" s="66"/>
      <c r="E90" s="61"/>
    </row>
    <row r="91" spans="1:5" s="67" customFormat="1" ht="27.6" hidden="1" customHeight="1" x14ac:dyDescent="0.25">
      <c r="A91" s="65"/>
      <c r="B91" s="66"/>
      <c r="C91" s="66"/>
      <c r="D91" s="66"/>
      <c r="E91" s="61"/>
    </row>
    <row r="92" spans="1:5" s="67" customFormat="1" ht="27.6" hidden="1" customHeight="1" x14ac:dyDescent="0.25">
      <c r="A92" s="65"/>
      <c r="B92" s="66"/>
      <c r="C92" s="66"/>
      <c r="D92" s="66"/>
      <c r="E92" s="61"/>
    </row>
    <row r="93" spans="1:5" s="67" customFormat="1" ht="27.6" hidden="1" customHeight="1" x14ac:dyDescent="0.25">
      <c r="A93" s="65"/>
      <c r="B93" s="66"/>
      <c r="C93" s="66"/>
      <c r="D93" s="66"/>
      <c r="E93" s="61"/>
    </row>
    <row r="94" spans="1:5" s="67" customFormat="1" ht="27.6" hidden="1" customHeight="1" x14ac:dyDescent="0.25">
      <c r="A94" s="65"/>
      <c r="B94" s="66"/>
      <c r="C94" s="66"/>
      <c r="D94" s="66"/>
      <c r="E94" s="61"/>
    </row>
    <row r="95" spans="1:5" s="67" customFormat="1" ht="27.6" hidden="1" customHeight="1" x14ac:dyDescent="0.25">
      <c r="A95" s="65"/>
      <c r="B95" s="66"/>
      <c r="C95" s="66"/>
      <c r="D95" s="66"/>
      <c r="E95" s="61"/>
    </row>
    <row r="96" spans="1:5" s="67" customFormat="1" ht="27.6" hidden="1" customHeight="1" x14ac:dyDescent="0.25">
      <c r="A96" s="65"/>
      <c r="B96" s="66"/>
      <c r="C96" s="66"/>
      <c r="D96" s="66"/>
      <c r="E96" s="61"/>
    </row>
    <row r="97" spans="1:5" s="67" customFormat="1" ht="27.6" hidden="1" customHeight="1" x14ac:dyDescent="0.25">
      <c r="A97" s="65"/>
      <c r="B97" s="66"/>
      <c r="C97" s="66"/>
      <c r="D97" s="66"/>
      <c r="E97" s="61"/>
    </row>
    <row r="98" spans="1:5" s="67" customFormat="1" ht="27.6" hidden="1" customHeight="1" x14ac:dyDescent="0.25">
      <c r="A98" s="65"/>
      <c r="B98" s="66"/>
      <c r="C98" s="66"/>
      <c r="D98" s="66"/>
      <c r="E98" s="61"/>
    </row>
    <row r="99" spans="1:5" s="67" customFormat="1" ht="27.6" hidden="1" customHeight="1" x14ac:dyDescent="0.25">
      <c r="A99" s="65"/>
      <c r="B99" s="66"/>
      <c r="C99" s="66"/>
      <c r="D99" s="66"/>
      <c r="E99" s="61"/>
    </row>
    <row r="100" spans="1:5" s="67" customFormat="1" ht="27.6" hidden="1" customHeight="1" x14ac:dyDescent="0.25">
      <c r="A100" s="65"/>
      <c r="B100" s="66"/>
      <c r="C100" s="66"/>
      <c r="D100" s="66"/>
      <c r="E100" s="61"/>
    </row>
    <row r="101" spans="1:5" s="67" customFormat="1" ht="27.6" hidden="1" customHeight="1" x14ac:dyDescent="0.25">
      <c r="A101" s="65"/>
      <c r="B101" s="66"/>
      <c r="C101" s="66"/>
      <c r="D101" s="66"/>
      <c r="E101" s="61"/>
    </row>
    <row r="102" spans="1:5" s="67" customFormat="1" ht="27.6" hidden="1" customHeight="1" x14ac:dyDescent="0.25">
      <c r="A102" s="65"/>
      <c r="B102" s="66"/>
      <c r="C102" s="66"/>
      <c r="D102" s="66"/>
      <c r="E102" s="61"/>
    </row>
    <row r="103" spans="1:5" s="67" customFormat="1" ht="27.6" hidden="1" customHeight="1" x14ac:dyDescent="0.25">
      <c r="A103" s="65"/>
      <c r="B103" s="66"/>
      <c r="C103" s="66"/>
      <c r="D103" s="66"/>
      <c r="E103" s="61"/>
    </row>
    <row r="104" spans="1:5" s="67" customFormat="1" ht="27.6" hidden="1" customHeight="1" x14ac:dyDescent="0.25">
      <c r="A104" s="65"/>
      <c r="B104" s="66"/>
      <c r="C104" s="66"/>
      <c r="D104" s="66"/>
      <c r="E104" s="61"/>
    </row>
    <row r="105" spans="1:5" s="67" customFormat="1" ht="27.6" hidden="1" customHeight="1" x14ac:dyDescent="0.25">
      <c r="A105" s="65"/>
      <c r="B105" s="66"/>
      <c r="C105" s="66"/>
      <c r="D105" s="66"/>
      <c r="E105" s="61"/>
    </row>
    <row r="106" spans="1:5" s="67" customFormat="1" ht="27.6" hidden="1" customHeight="1" x14ac:dyDescent="0.25">
      <c r="A106" s="65"/>
      <c r="B106" s="66"/>
      <c r="C106" s="66"/>
      <c r="D106" s="66"/>
      <c r="E106" s="61"/>
    </row>
    <row r="107" spans="1:5" s="67" customFormat="1" ht="27.6" hidden="1" customHeight="1" x14ac:dyDescent="0.25">
      <c r="A107" s="65"/>
      <c r="B107" s="66"/>
      <c r="C107" s="66"/>
      <c r="D107" s="66"/>
      <c r="E107" s="61"/>
    </row>
    <row r="108" spans="1:5" s="67" customFormat="1" ht="27.6" hidden="1" customHeight="1" x14ac:dyDescent="0.25">
      <c r="A108" s="65"/>
      <c r="B108" s="66"/>
      <c r="C108" s="66"/>
      <c r="D108" s="66"/>
      <c r="E108" s="61"/>
    </row>
    <row r="109" spans="1:5" s="67" customFormat="1" ht="27.6" hidden="1" customHeight="1" x14ac:dyDescent="0.25">
      <c r="A109" s="65"/>
      <c r="B109" s="66"/>
      <c r="C109" s="66"/>
      <c r="D109" s="66"/>
      <c r="E109" s="61"/>
    </row>
    <row r="110" spans="1:5" s="67" customFormat="1" ht="27.6" hidden="1" customHeight="1" x14ac:dyDescent="0.25">
      <c r="A110" s="65"/>
      <c r="B110" s="66"/>
      <c r="C110" s="66"/>
      <c r="D110" s="66"/>
      <c r="E110" s="61"/>
    </row>
    <row r="111" spans="1:5" s="67" customFormat="1" ht="27.6" hidden="1" customHeight="1" x14ac:dyDescent="0.25">
      <c r="A111" s="65"/>
      <c r="B111" s="66"/>
      <c r="C111" s="66"/>
      <c r="D111" s="66"/>
      <c r="E111" s="61"/>
    </row>
    <row r="112" spans="1:5" s="67" customFormat="1" ht="27.6" hidden="1" customHeight="1" x14ac:dyDescent="0.25">
      <c r="A112" s="65"/>
      <c r="B112" s="66"/>
      <c r="C112" s="66"/>
      <c r="D112" s="66"/>
      <c r="E112" s="61"/>
    </row>
    <row r="113" spans="1:5" s="67" customFormat="1" ht="27.6" hidden="1" customHeight="1" x14ac:dyDescent="0.25">
      <c r="A113" s="65"/>
      <c r="B113" s="66"/>
      <c r="C113" s="66"/>
      <c r="D113" s="66"/>
      <c r="E113" s="61"/>
    </row>
    <row r="114" spans="1:5" s="67" customFormat="1" ht="27.6" hidden="1" customHeight="1" x14ac:dyDescent="0.25">
      <c r="A114" s="65"/>
      <c r="B114" s="66"/>
      <c r="C114" s="66"/>
      <c r="D114" s="66"/>
      <c r="E114" s="61"/>
    </row>
    <row r="115" spans="1:5" s="67" customFormat="1" ht="27.6" hidden="1" customHeight="1" x14ac:dyDescent="0.25">
      <c r="A115" s="65"/>
      <c r="B115" s="66"/>
      <c r="C115" s="66"/>
      <c r="D115" s="66"/>
      <c r="E115" s="61"/>
    </row>
    <row r="116" spans="1:5" s="67" customFormat="1" ht="27.6" hidden="1" customHeight="1" x14ac:dyDescent="0.25">
      <c r="A116" s="65"/>
      <c r="B116" s="66"/>
      <c r="C116" s="66"/>
      <c r="D116" s="66"/>
      <c r="E116" s="61"/>
    </row>
    <row r="117" spans="1:5" s="67" customFormat="1" ht="27.6" hidden="1" customHeight="1" x14ac:dyDescent="0.25">
      <c r="A117" s="65"/>
      <c r="B117" s="66"/>
      <c r="C117" s="66"/>
      <c r="D117" s="66"/>
      <c r="E117" s="61"/>
    </row>
    <row r="118" spans="1:5" s="67" customFormat="1" ht="27.6" hidden="1" customHeight="1" x14ac:dyDescent="0.25">
      <c r="A118" s="65"/>
      <c r="B118" s="66"/>
      <c r="C118" s="66"/>
      <c r="D118" s="66"/>
      <c r="E118" s="61"/>
    </row>
    <row r="119" spans="1:5" s="67" customFormat="1" ht="27.6" hidden="1" customHeight="1" x14ac:dyDescent="0.25">
      <c r="A119" s="65"/>
      <c r="B119" s="66"/>
      <c r="C119" s="66"/>
      <c r="D119" s="66"/>
      <c r="E119" s="61"/>
    </row>
    <row r="120" spans="1:5" s="67" customFormat="1" ht="27.6" hidden="1" customHeight="1" x14ac:dyDescent="0.25">
      <c r="A120" s="65"/>
      <c r="B120" s="66"/>
      <c r="C120" s="66"/>
      <c r="D120" s="66"/>
      <c r="E120" s="61"/>
    </row>
    <row r="121" spans="1:5" s="67" customFormat="1" ht="27.6" hidden="1" customHeight="1" x14ac:dyDescent="0.25">
      <c r="A121" s="65"/>
      <c r="B121" s="66"/>
      <c r="C121" s="66"/>
      <c r="D121" s="66"/>
      <c r="E121" s="61"/>
    </row>
    <row r="122" spans="1:5" s="67" customFormat="1" ht="27.6" hidden="1" customHeight="1" x14ac:dyDescent="0.25">
      <c r="A122" s="65"/>
      <c r="B122" s="66"/>
      <c r="C122" s="66"/>
      <c r="D122" s="66"/>
      <c r="E122" s="61"/>
    </row>
    <row r="123" spans="1:5" s="67" customFormat="1" ht="27.6" hidden="1" customHeight="1" x14ac:dyDescent="0.25">
      <c r="A123" s="65"/>
      <c r="B123" s="66"/>
      <c r="C123" s="66"/>
      <c r="D123" s="66"/>
      <c r="E123" s="61"/>
    </row>
  </sheetData>
  <sheetProtection algorithmName="SHA-512" hashValue="4jgiWRMhd9T1gFJVa9vjgpDyPGBkMw9Lz2W4f8zmrFoDYcOnpQf3PDkKA2Fus7QMFGoF9qyhCcXs7m1RdGd11g==" saltValue="BqMPsW6UStuqA10+YZJm7w==" spinCount="100000" sheet="1" objects="1" scenarios="1" sort="0" autoFilter="0"/>
  <mergeCells count="2">
    <mergeCell ref="B1:C1"/>
    <mergeCell ref="D1:E1"/>
  </mergeCells>
  <conditionalFormatting sqref="A10:A123">
    <cfRule type="duplicateValues" dxfId="11" priority="2"/>
  </conditionalFormatting>
  <conditionalFormatting sqref="A3:D3">
    <cfRule type="cellIs" dxfId="10" priority="1" operator="equal">
      <formula>0</formula>
    </cfRule>
  </conditionalFormatting>
  <conditionalFormatting sqref="E10:E123">
    <cfRule type="cellIs" dxfId="9" priority="3" operator="equal">
      <formula>"F"</formula>
    </cfRule>
    <cfRule type="cellIs" dxfId="8" priority="4" operator="equal">
      <formula>"FAIL"</formula>
    </cfRule>
    <cfRule type="cellIs" dxfId="7" priority="5" operator="equal">
      <formula>"P"</formula>
    </cfRule>
    <cfRule type="cellIs" dxfId="6" priority="6" operator="equal">
      <formula>"PASS"</formula>
    </cfRule>
  </conditionalFormatting>
  <hyperlinks>
    <hyperlink ref="B1" location="INDEX!A1" display="RETURN TO INDEX" xr:uid="{EC78C407-3E3A-4CC3-AE8D-FBEF44569DD7}"/>
    <hyperlink ref="D1:E1" location="'QCI Sample Selection'!A1" display="QCI SAMPLE SELECTION" xr:uid="{B32D41D0-5658-4351-BC87-312228ECFA91}"/>
  </hyperlinks>
  <printOptions horizontalCentered="1" verticalCentered="1"/>
  <pageMargins left="0.25" right="0.25" top="0.75" bottom="0.75" header="0.3" footer="0.3"/>
  <pageSetup scale="27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EE3C-D905-4F10-A443-C45BE436A8F2}">
  <sheetPr>
    <tabColor theme="4" tint="-0.249977111117893"/>
  </sheetPr>
  <dimension ref="A1:K123"/>
  <sheetViews>
    <sheetView workbookViewId="0">
      <pane ySplit="9" topLeftCell="A10" activePane="bottomLeft" state="frozen"/>
      <selection activeCell="A2" sqref="A2:XFD2"/>
      <selection pane="bottomLeft" activeCell="B4" sqref="B4"/>
    </sheetView>
  </sheetViews>
  <sheetFormatPr defaultColWidth="0" defaultRowHeight="15" zeroHeight="1" x14ac:dyDescent="0.25"/>
  <cols>
    <col min="1" max="1" width="27.5703125" customWidth="1"/>
    <col min="2" max="2" width="21.5703125" customWidth="1"/>
    <col min="3" max="3" width="17.7109375" customWidth="1"/>
    <col min="4" max="4" width="14.7109375" bestFit="1" customWidth="1"/>
    <col min="5" max="5" width="15" customWidth="1"/>
    <col min="6" max="6" width="9.140625" hidden="1" customWidth="1"/>
    <col min="7" max="11" width="0" hidden="1" customWidth="1"/>
    <col min="12" max="16384" width="9.140625" hidden="1"/>
  </cols>
  <sheetData>
    <row r="1" spans="1:5" s="69" customFormat="1" ht="27.75" customHeight="1" x14ac:dyDescent="0.25">
      <c r="A1" s="68" t="s">
        <v>86</v>
      </c>
      <c r="B1" s="75" t="s">
        <v>1</v>
      </c>
      <c r="C1" s="75"/>
      <c r="D1" s="75" t="s">
        <v>2</v>
      </c>
      <c r="E1" s="75"/>
    </row>
    <row r="2" spans="1:5" ht="15.75" x14ac:dyDescent="0.25">
      <c r="A2" s="39" t="s">
        <v>99</v>
      </c>
      <c r="B2" s="40" t="s">
        <v>100</v>
      </c>
      <c r="C2" s="40" t="s">
        <v>101</v>
      </c>
      <c r="D2" s="40" t="s">
        <v>102</v>
      </c>
      <c r="E2" s="7"/>
    </row>
    <row r="3" spans="1:5" ht="18.75" x14ac:dyDescent="0.25">
      <c r="A3" s="42" t="s">
        <v>103</v>
      </c>
      <c r="B3" s="43" t="s">
        <v>103</v>
      </c>
      <c r="C3" s="43"/>
      <c r="D3" s="43">
        <v>2346</v>
      </c>
      <c r="E3" s="43"/>
    </row>
    <row r="4" spans="1:5" ht="27.6" customHeight="1" x14ac:dyDescent="0.35">
      <c r="A4" s="44" t="str">
        <f>"N= " &amp; COUNT($A$10:$A$200)</f>
        <v>N= 22</v>
      </c>
      <c r="B4" s="45" t="s">
        <v>87</v>
      </c>
      <c r="C4" s="46" t="s">
        <v>74</v>
      </c>
      <c r="D4" s="70"/>
      <c r="E4" s="71"/>
    </row>
    <row r="5" spans="1:5" ht="27.6" customHeight="1" x14ac:dyDescent="0.4">
      <c r="A5" s="48" t="str">
        <f>IF(COUNT($A$11:$A$500)=COUNTIF($E$11:$E$500,"PASS"),"PASS","FAIL")</f>
        <v>PASS</v>
      </c>
      <c r="B5" s="45" t="s">
        <v>88</v>
      </c>
      <c r="C5" s="49">
        <v>45301.436111111114</v>
      </c>
      <c r="D5" s="70"/>
      <c r="E5" s="70"/>
    </row>
    <row r="6" spans="1:5" ht="27.6" customHeight="1" x14ac:dyDescent="0.25">
      <c r="A6" s="55"/>
      <c r="B6" s="55" t="s">
        <v>89</v>
      </c>
      <c r="C6" s="55" t="s">
        <v>90</v>
      </c>
      <c r="D6" s="55" t="s">
        <v>91</v>
      </c>
      <c r="E6" s="55" t="s">
        <v>92</v>
      </c>
    </row>
    <row r="7" spans="1:5" ht="27.6" customHeight="1" x14ac:dyDescent="0.25">
      <c r="A7" s="55"/>
      <c r="B7" s="55" t="s">
        <v>93</v>
      </c>
      <c r="C7" s="55" t="s">
        <v>94</v>
      </c>
      <c r="D7" s="55" t="s">
        <v>95</v>
      </c>
      <c r="E7" s="55" t="s">
        <v>85</v>
      </c>
    </row>
    <row r="8" spans="1:5" ht="27.6" customHeight="1" x14ac:dyDescent="0.25">
      <c r="A8" s="55" t="s">
        <v>96</v>
      </c>
      <c r="B8" s="55" t="s">
        <v>97</v>
      </c>
      <c r="C8" s="55" t="s">
        <v>97</v>
      </c>
      <c r="D8" s="55" t="s">
        <v>97</v>
      </c>
      <c r="E8" s="55"/>
    </row>
    <row r="9" spans="1:5" ht="27.6" customHeight="1" x14ac:dyDescent="0.25">
      <c r="A9" s="55" t="s">
        <v>98</v>
      </c>
      <c r="B9" s="72">
        <v>10</v>
      </c>
      <c r="C9" s="72">
        <v>8</v>
      </c>
      <c r="D9" s="72">
        <v>25</v>
      </c>
      <c r="E9" s="55"/>
    </row>
    <row r="10" spans="1:5" ht="27.6" customHeight="1" x14ac:dyDescent="0.25">
      <c r="A10" s="59">
        <v>209</v>
      </c>
      <c r="B10" s="73">
        <v>7.4560000000000004</v>
      </c>
      <c r="C10" s="73">
        <v>2.82</v>
      </c>
      <c r="D10" s="73">
        <v>23.76</v>
      </c>
      <c r="E10" s="60" t="str">
        <f>IF(AND(B10&lt;&gt;"",B10&lt;=B$9,C10&lt;&gt;"",C10&lt;=C$9,D10&lt;&gt;"",D10&lt;=D$9),"PASS","FAIL")</f>
        <v>PASS</v>
      </c>
    </row>
    <row r="11" spans="1:5" ht="27.6" customHeight="1" x14ac:dyDescent="0.25">
      <c r="A11" s="59">
        <v>244</v>
      </c>
      <c r="B11" s="73">
        <v>6.46</v>
      </c>
      <c r="C11" s="73">
        <v>2.1840000000000002</v>
      </c>
      <c r="D11" s="73">
        <v>21.16</v>
      </c>
      <c r="E11" s="60" t="str">
        <f t="shared" ref="E11:E31" si="0">IF(AND(B11&lt;&gt;"",B11&lt;=B$9,C11&lt;&gt;"",C11&lt;=C$9,D11&lt;&gt;"",D11&lt;=D$9),"PASS","FAIL")</f>
        <v>PASS</v>
      </c>
    </row>
    <row r="12" spans="1:5" ht="27.6" customHeight="1" x14ac:dyDescent="0.25">
      <c r="A12" s="59">
        <v>254</v>
      </c>
      <c r="B12" s="73">
        <v>6.8840000000000003</v>
      </c>
      <c r="C12" s="73">
        <v>2.508</v>
      </c>
      <c r="D12" s="73">
        <v>23.188001</v>
      </c>
      <c r="E12" s="60" t="str">
        <f t="shared" si="0"/>
        <v>PASS</v>
      </c>
    </row>
    <row r="13" spans="1:5" ht="27.6" customHeight="1" x14ac:dyDescent="0.25">
      <c r="A13" s="59">
        <v>261</v>
      </c>
      <c r="B13" s="73">
        <v>6.8319999999999999</v>
      </c>
      <c r="C13" s="73">
        <v>2.476</v>
      </c>
      <c r="D13" s="73">
        <v>22.78</v>
      </c>
      <c r="E13" s="60" t="str">
        <f t="shared" si="0"/>
        <v>PASS</v>
      </c>
    </row>
    <row r="14" spans="1:5" ht="27.6" customHeight="1" x14ac:dyDescent="0.25">
      <c r="A14" s="59">
        <v>262</v>
      </c>
      <c r="B14" s="73">
        <v>6.8360000000000003</v>
      </c>
      <c r="C14" s="73">
        <v>2.5680000000000001</v>
      </c>
      <c r="D14" s="73">
        <v>23.048000999999999</v>
      </c>
      <c r="E14" s="60" t="str">
        <f t="shared" si="0"/>
        <v>PASS</v>
      </c>
    </row>
    <row r="15" spans="1:5" ht="27.6" customHeight="1" x14ac:dyDescent="0.25">
      <c r="A15" s="59">
        <v>263</v>
      </c>
      <c r="B15" s="73">
        <v>4.4000000000000004</v>
      </c>
      <c r="C15" s="73">
        <v>7.976</v>
      </c>
      <c r="D15" s="73">
        <v>24.247999</v>
      </c>
      <c r="E15" s="60" t="str">
        <f t="shared" si="0"/>
        <v>PASS</v>
      </c>
    </row>
    <row r="16" spans="1:5" ht="27.6" customHeight="1" x14ac:dyDescent="0.25">
      <c r="A16" s="59">
        <v>270</v>
      </c>
      <c r="B16" s="73">
        <v>4.42</v>
      </c>
      <c r="C16" s="73">
        <v>6.8159999999999998</v>
      </c>
      <c r="D16" s="73">
        <v>22.348001</v>
      </c>
      <c r="E16" s="60" t="str">
        <f t="shared" si="0"/>
        <v>PASS</v>
      </c>
    </row>
    <row r="17" spans="1:5" ht="27.6" customHeight="1" x14ac:dyDescent="0.25">
      <c r="A17" s="59">
        <v>271</v>
      </c>
      <c r="B17" s="73">
        <v>7.1239999999999997</v>
      </c>
      <c r="C17" s="73">
        <v>2.58</v>
      </c>
      <c r="D17" s="73">
        <v>23.031998999999999</v>
      </c>
      <c r="E17" s="60" t="str">
        <f t="shared" si="0"/>
        <v>PASS</v>
      </c>
    </row>
    <row r="18" spans="1:5" ht="27.6" customHeight="1" x14ac:dyDescent="0.25">
      <c r="A18" s="59">
        <v>272</v>
      </c>
      <c r="B18" s="73">
        <v>7.056</v>
      </c>
      <c r="C18" s="73">
        <v>2.7759999999999998</v>
      </c>
      <c r="D18" s="73">
        <v>23.711998999999999</v>
      </c>
      <c r="E18" s="60" t="str">
        <f t="shared" si="0"/>
        <v>PASS</v>
      </c>
    </row>
    <row r="19" spans="1:5" ht="27.6" customHeight="1" x14ac:dyDescent="0.25">
      <c r="A19" s="59">
        <v>283</v>
      </c>
      <c r="B19" s="73">
        <v>4.3159999999999998</v>
      </c>
      <c r="C19" s="73">
        <v>7.92</v>
      </c>
      <c r="D19" s="73">
        <v>22.835999999999999</v>
      </c>
      <c r="E19" s="60" t="str">
        <f t="shared" si="0"/>
        <v>PASS</v>
      </c>
    </row>
    <row r="20" spans="1:5" ht="27.6" customHeight="1" x14ac:dyDescent="0.25">
      <c r="A20" s="59">
        <v>284</v>
      </c>
      <c r="B20" s="73">
        <v>6.9279999999999999</v>
      </c>
      <c r="C20" s="73">
        <v>2.3319999999999999</v>
      </c>
      <c r="D20" s="73">
        <v>23.12</v>
      </c>
      <c r="E20" s="60" t="str">
        <f t="shared" si="0"/>
        <v>PASS</v>
      </c>
    </row>
    <row r="21" spans="1:5" ht="27.6" customHeight="1" x14ac:dyDescent="0.25">
      <c r="A21" s="59">
        <v>285</v>
      </c>
      <c r="B21" s="73">
        <v>7.0960000000000001</v>
      </c>
      <c r="C21" s="73">
        <v>2.7919999999999998</v>
      </c>
      <c r="D21" s="73">
        <v>23.767999</v>
      </c>
      <c r="E21" s="60" t="str">
        <f t="shared" si="0"/>
        <v>PASS</v>
      </c>
    </row>
    <row r="22" spans="1:5" ht="27.6" customHeight="1" x14ac:dyDescent="0.25">
      <c r="A22" s="59">
        <v>288</v>
      </c>
      <c r="B22" s="73">
        <v>6.984</v>
      </c>
      <c r="C22" s="73">
        <v>2.6240000000000001</v>
      </c>
      <c r="D22" s="73">
        <v>23.02</v>
      </c>
      <c r="E22" s="60" t="str">
        <f t="shared" si="0"/>
        <v>PASS</v>
      </c>
    </row>
    <row r="23" spans="1:5" ht="27.6" customHeight="1" x14ac:dyDescent="0.25">
      <c r="A23" s="59">
        <v>290</v>
      </c>
      <c r="B23" s="73">
        <v>4.1079999999999997</v>
      </c>
      <c r="C23" s="73">
        <v>7.6879999999999997</v>
      </c>
      <c r="D23" s="73">
        <v>23.048000999999999</v>
      </c>
      <c r="E23" s="60" t="str">
        <f t="shared" si="0"/>
        <v>PASS</v>
      </c>
    </row>
    <row r="24" spans="1:5" ht="27.6" customHeight="1" x14ac:dyDescent="0.25">
      <c r="A24" s="59">
        <v>291</v>
      </c>
      <c r="B24" s="73">
        <v>6.4640000000000004</v>
      </c>
      <c r="C24" s="73">
        <v>2.1960000000000002</v>
      </c>
      <c r="D24" s="73">
        <v>21.716000000000001</v>
      </c>
      <c r="E24" s="60" t="str">
        <f t="shared" si="0"/>
        <v>PASS</v>
      </c>
    </row>
    <row r="25" spans="1:5" ht="27.6" customHeight="1" x14ac:dyDescent="0.25">
      <c r="A25" s="59">
        <v>292</v>
      </c>
      <c r="B25" s="73">
        <v>6.2919999999999998</v>
      </c>
      <c r="C25" s="73">
        <v>2.3039999999999998</v>
      </c>
      <c r="D25" s="73">
        <v>21.588000999999998</v>
      </c>
      <c r="E25" s="60" t="str">
        <f t="shared" si="0"/>
        <v>PASS</v>
      </c>
    </row>
    <row r="26" spans="1:5" ht="27.6" customHeight="1" x14ac:dyDescent="0.25">
      <c r="A26" s="59">
        <v>293</v>
      </c>
      <c r="B26" s="73">
        <v>7.06</v>
      </c>
      <c r="C26" s="73">
        <v>2.6840000000000002</v>
      </c>
      <c r="D26" s="73">
        <v>23.6</v>
      </c>
      <c r="E26" s="60" t="str">
        <f t="shared" si="0"/>
        <v>PASS</v>
      </c>
    </row>
    <row r="27" spans="1:5" ht="27.6" customHeight="1" x14ac:dyDescent="0.25">
      <c r="A27" s="59">
        <v>296</v>
      </c>
      <c r="B27" s="73">
        <v>6.8440000000000003</v>
      </c>
      <c r="C27" s="73">
        <v>2.536</v>
      </c>
      <c r="D27" s="73">
        <v>23.356000000000002</v>
      </c>
      <c r="E27" s="60" t="str">
        <f t="shared" si="0"/>
        <v>PASS</v>
      </c>
    </row>
    <row r="28" spans="1:5" ht="27.6" customHeight="1" x14ac:dyDescent="0.25">
      <c r="A28" s="59">
        <v>299</v>
      </c>
      <c r="B28" s="73">
        <v>6.8879999999999999</v>
      </c>
      <c r="C28" s="73">
        <v>2.548</v>
      </c>
      <c r="D28" s="73">
        <v>23.284001</v>
      </c>
      <c r="E28" s="60" t="str">
        <f t="shared" si="0"/>
        <v>PASS</v>
      </c>
    </row>
    <row r="29" spans="1:5" ht="27.6" customHeight="1" x14ac:dyDescent="0.25">
      <c r="A29" s="59">
        <v>303</v>
      </c>
      <c r="B29" s="73">
        <v>6.476</v>
      </c>
      <c r="C29" s="73">
        <v>2.4279999999999999</v>
      </c>
      <c r="D29" s="73">
        <v>21.704000000000001</v>
      </c>
      <c r="E29" s="60" t="str">
        <f t="shared" si="0"/>
        <v>PASS</v>
      </c>
    </row>
    <row r="30" spans="1:5" ht="27.6" customHeight="1" x14ac:dyDescent="0.25">
      <c r="A30" s="59">
        <v>306</v>
      </c>
      <c r="B30" s="73">
        <v>7.2480000000000002</v>
      </c>
      <c r="C30" s="73">
        <v>2.7320000000000002</v>
      </c>
      <c r="D30" s="73">
        <v>23.571999000000002</v>
      </c>
      <c r="E30" s="60" t="str">
        <f t="shared" si="0"/>
        <v>PASS</v>
      </c>
    </row>
    <row r="31" spans="1:5" ht="27.6" customHeight="1" x14ac:dyDescent="0.25">
      <c r="A31" s="59">
        <v>307</v>
      </c>
      <c r="B31" s="73">
        <v>4.3159999999999998</v>
      </c>
      <c r="C31" s="73">
        <v>7.92</v>
      </c>
      <c r="D31" s="73">
        <v>22.835999999999999</v>
      </c>
      <c r="E31" s="60" t="str">
        <f t="shared" si="0"/>
        <v>PASS</v>
      </c>
    </row>
    <row r="32" spans="1:5" ht="27.6" hidden="1" customHeight="1" x14ac:dyDescent="0.25">
      <c r="A32" s="59"/>
      <c r="B32" s="60"/>
      <c r="C32" s="60"/>
      <c r="D32" s="60"/>
      <c r="E32" s="60"/>
    </row>
    <row r="33" spans="1:5" ht="27.6" hidden="1" customHeight="1" x14ac:dyDescent="0.25">
      <c r="A33" s="59"/>
      <c r="B33" s="60"/>
      <c r="C33" s="60"/>
      <c r="D33" s="60"/>
      <c r="E33" s="60"/>
    </row>
    <row r="34" spans="1:5" ht="27.6" hidden="1" customHeight="1" x14ac:dyDescent="0.25">
      <c r="A34" s="59"/>
      <c r="B34" s="60"/>
      <c r="C34" s="60"/>
      <c r="D34" s="60"/>
      <c r="E34" s="60"/>
    </row>
    <row r="35" spans="1:5" ht="27.6" hidden="1" customHeight="1" x14ac:dyDescent="0.25">
      <c r="A35" s="59"/>
      <c r="B35" s="60"/>
      <c r="C35" s="60"/>
      <c r="D35" s="60"/>
      <c r="E35" s="60"/>
    </row>
    <row r="36" spans="1:5" ht="27.6" hidden="1" customHeight="1" x14ac:dyDescent="0.25">
      <c r="A36" s="59"/>
      <c r="B36" s="60"/>
      <c r="C36" s="60"/>
      <c r="D36" s="60"/>
      <c r="E36" s="60"/>
    </row>
    <row r="37" spans="1:5" ht="27.6" hidden="1" customHeight="1" x14ac:dyDescent="0.25">
      <c r="A37" s="59"/>
      <c r="B37" s="60"/>
      <c r="C37" s="60"/>
      <c r="D37" s="60"/>
      <c r="E37" s="60"/>
    </row>
    <row r="38" spans="1:5" ht="27.6" hidden="1" customHeight="1" x14ac:dyDescent="0.25">
      <c r="A38" s="59"/>
      <c r="B38" s="60"/>
      <c r="C38" s="60"/>
      <c r="D38" s="60"/>
      <c r="E38" s="60"/>
    </row>
    <row r="39" spans="1:5" ht="27.6" hidden="1" customHeight="1" x14ac:dyDescent="0.25">
      <c r="A39" s="59"/>
      <c r="B39" s="60"/>
      <c r="C39" s="60"/>
      <c r="D39" s="60"/>
      <c r="E39" s="60"/>
    </row>
    <row r="40" spans="1:5" ht="27.6" hidden="1" customHeight="1" x14ac:dyDescent="0.25">
      <c r="A40" s="59"/>
      <c r="B40" s="60"/>
      <c r="C40" s="60"/>
      <c r="D40" s="60"/>
      <c r="E40" s="60"/>
    </row>
    <row r="41" spans="1:5" ht="27.6" hidden="1" customHeight="1" x14ac:dyDescent="0.25">
      <c r="A41" s="59"/>
      <c r="B41" s="60"/>
      <c r="C41" s="60"/>
      <c r="D41" s="60"/>
      <c r="E41" s="60"/>
    </row>
    <row r="42" spans="1:5" ht="27.6" hidden="1" customHeight="1" x14ac:dyDescent="0.25">
      <c r="A42" s="59"/>
      <c r="B42" s="60"/>
      <c r="C42" s="60"/>
      <c r="D42" s="60"/>
      <c r="E42" s="60"/>
    </row>
    <row r="43" spans="1:5" ht="27.6" hidden="1" customHeight="1" x14ac:dyDescent="0.25">
      <c r="A43" s="59"/>
      <c r="B43" s="60"/>
      <c r="C43" s="60"/>
      <c r="D43" s="60"/>
      <c r="E43" s="60"/>
    </row>
    <row r="44" spans="1:5" ht="27.6" hidden="1" customHeight="1" x14ac:dyDescent="0.25">
      <c r="A44" s="59"/>
      <c r="B44" s="60"/>
      <c r="C44" s="60"/>
      <c r="D44" s="60"/>
      <c r="E44" s="60"/>
    </row>
    <row r="45" spans="1:5" ht="27.6" hidden="1" customHeight="1" x14ac:dyDescent="0.25">
      <c r="A45" s="59"/>
      <c r="B45" s="60"/>
      <c r="C45" s="60"/>
      <c r="D45" s="60"/>
      <c r="E45" s="60"/>
    </row>
    <row r="46" spans="1:5" ht="27.6" hidden="1" customHeight="1" x14ac:dyDescent="0.25">
      <c r="A46" s="59"/>
      <c r="B46" s="60"/>
      <c r="C46" s="60"/>
      <c r="D46" s="60"/>
      <c r="E46" s="60"/>
    </row>
    <row r="47" spans="1:5" ht="27.6" hidden="1" customHeight="1" x14ac:dyDescent="0.25">
      <c r="A47" s="59"/>
      <c r="B47" s="60"/>
      <c r="C47" s="60"/>
      <c r="D47" s="60"/>
      <c r="E47" s="60"/>
    </row>
    <row r="48" spans="1:5" ht="27.6" hidden="1" customHeight="1" x14ac:dyDescent="0.25">
      <c r="A48" s="59"/>
      <c r="B48" s="60"/>
      <c r="C48" s="60"/>
      <c r="D48" s="60"/>
      <c r="E48" s="60"/>
    </row>
    <row r="49" spans="1:5" ht="27.6" hidden="1" customHeight="1" x14ac:dyDescent="0.25">
      <c r="A49" s="59"/>
      <c r="B49" s="60"/>
      <c r="C49" s="60"/>
      <c r="D49" s="60"/>
      <c r="E49" s="60"/>
    </row>
    <row r="50" spans="1:5" ht="27.6" hidden="1" customHeight="1" x14ac:dyDescent="0.25">
      <c r="A50" s="59"/>
      <c r="B50" s="60"/>
      <c r="C50" s="60"/>
      <c r="D50" s="60"/>
      <c r="E50" s="60"/>
    </row>
    <row r="51" spans="1:5" ht="27.6" hidden="1" customHeight="1" x14ac:dyDescent="0.25">
      <c r="A51" s="59"/>
      <c r="B51" s="60"/>
      <c r="C51" s="60"/>
      <c r="D51" s="60"/>
      <c r="E51" s="60"/>
    </row>
    <row r="52" spans="1:5" ht="27.6" hidden="1" customHeight="1" x14ac:dyDescent="0.25">
      <c r="A52" s="59"/>
      <c r="B52" s="60"/>
      <c r="C52" s="60"/>
      <c r="D52" s="60"/>
      <c r="E52" s="60"/>
    </row>
    <row r="53" spans="1:5" ht="27.6" hidden="1" customHeight="1" x14ac:dyDescent="0.25">
      <c r="A53" s="59"/>
      <c r="B53" s="60"/>
      <c r="C53" s="60"/>
      <c r="D53" s="60"/>
      <c r="E53" s="60"/>
    </row>
    <row r="54" spans="1:5" ht="27.6" hidden="1" customHeight="1" x14ac:dyDescent="0.25">
      <c r="A54" s="59"/>
      <c r="B54" s="60"/>
      <c r="C54" s="60"/>
      <c r="D54" s="60"/>
      <c r="E54" s="60"/>
    </row>
    <row r="55" spans="1:5" ht="27.6" hidden="1" customHeight="1" x14ac:dyDescent="0.25">
      <c r="A55" s="59"/>
      <c r="B55" s="60"/>
      <c r="C55" s="60"/>
      <c r="D55" s="60"/>
      <c r="E55" s="60"/>
    </row>
    <row r="56" spans="1:5" ht="27.6" hidden="1" customHeight="1" x14ac:dyDescent="0.25">
      <c r="A56" s="59"/>
      <c r="B56" s="60"/>
      <c r="C56" s="60"/>
      <c r="D56" s="60"/>
      <c r="E56" s="60"/>
    </row>
    <row r="57" spans="1:5" ht="27.6" hidden="1" customHeight="1" x14ac:dyDescent="0.25">
      <c r="A57" s="59"/>
      <c r="B57" s="60"/>
      <c r="C57" s="60"/>
      <c r="D57" s="60"/>
      <c r="E57" s="60"/>
    </row>
    <row r="58" spans="1:5" ht="27.6" hidden="1" customHeight="1" x14ac:dyDescent="0.25">
      <c r="A58" s="59"/>
      <c r="B58" s="60"/>
      <c r="C58" s="60"/>
      <c r="D58" s="60"/>
      <c r="E58" s="60"/>
    </row>
    <row r="59" spans="1:5" ht="27.6" hidden="1" customHeight="1" x14ac:dyDescent="0.25">
      <c r="A59" s="59"/>
      <c r="B59" s="60"/>
      <c r="C59" s="60"/>
      <c r="D59" s="60"/>
      <c r="E59" s="60"/>
    </row>
    <row r="60" spans="1:5" ht="27.6" hidden="1" customHeight="1" x14ac:dyDescent="0.25">
      <c r="A60" s="59"/>
      <c r="B60" s="60"/>
      <c r="C60" s="60"/>
      <c r="D60" s="60"/>
      <c r="E60" s="60"/>
    </row>
    <row r="61" spans="1:5" ht="27.6" hidden="1" customHeight="1" x14ac:dyDescent="0.25">
      <c r="A61" s="59"/>
      <c r="B61" s="60"/>
      <c r="C61" s="60"/>
      <c r="D61" s="60"/>
      <c r="E61" s="60"/>
    </row>
    <row r="62" spans="1:5" ht="27.6" hidden="1" customHeight="1" x14ac:dyDescent="0.25">
      <c r="A62" s="59"/>
      <c r="B62" s="60"/>
      <c r="C62" s="60"/>
      <c r="D62" s="60"/>
      <c r="E62" s="60"/>
    </row>
    <row r="63" spans="1:5" ht="27.6" hidden="1" customHeight="1" x14ac:dyDescent="0.25">
      <c r="A63" s="59"/>
      <c r="B63" s="60"/>
      <c r="C63" s="60"/>
      <c r="D63" s="60"/>
      <c r="E63" s="60"/>
    </row>
    <row r="64" spans="1:5" ht="27.6" hidden="1" customHeight="1" x14ac:dyDescent="0.25">
      <c r="A64" s="59"/>
      <c r="B64" s="60"/>
      <c r="C64" s="60"/>
      <c r="D64" s="60"/>
      <c r="E64" s="60"/>
    </row>
    <row r="65" spans="1:5" ht="27.6" hidden="1" customHeight="1" x14ac:dyDescent="0.25">
      <c r="A65" s="59"/>
      <c r="B65" s="60"/>
      <c r="C65" s="60"/>
      <c r="D65" s="60"/>
      <c r="E65" s="60"/>
    </row>
    <row r="66" spans="1:5" ht="27.6" hidden="1" customHeight="1" x14ac:dyDescent="0.25">
      <c r="A66" s="59"/>
      <c r="B66" s="60"/>
      <c r="C66" s="60"/>
      <c r="D66" s="60"/>
      <c r="E66" s="60"/>
    </row>
    <row r="67" spans="1:5" ht="27.6" hidden="1" customHeight="1" x14ac:dyDescent="0.25">
      <c r="A67" s="59"/>
      <c r="B67" s="60"/>
      <c r="C67" s="60"/>
      <c r="D67" s="60"/>
      <c r="E67" s="60"/>
    </row>
    <row r="68" spans="1:5" ht="27.6" hidden="1" customHeight="1" x14ac:dyDescent="0.25">
      <c r="A68" s="59"/>
      <c r="B68" s="60"/>
      <c r="C68" s="60"/>
      <c r="D68" s="60"/>
      <c r="E68" s="60"/>
    </row>
    <row r="69" spans="1:5" ht="27.6" hidden="1" customHeight="1" x14ac:dyDescent="0.25">
      <c r="A69" s="59"/>
      <c r="B69" s="60"/>
      <c r="C69" s="60"/>
      <c r="D69" s="60"/>
      <c r="E69" s="60"/>
    </row>
    <row r="70" spans="1:5" ht="27.6" hidden="1" customHeight="1" x14ac:dyDescent="0.25">
      <c r="A70" s="59"/>
      <c r="B70" s="60"/>
      <c r="C70" s="60"/>
      <c r="D70" s="60"/>
      <c r="E70" s="60"/>
    </row>
    <row r="71" spans="1:5" ht="27.6" hidden="1" customHeight="1" x14ac:dyDescent="0.25">
      <c r="A71" s="59"/>
      <c r="B71" s="60"/>
      <c r="C71" s="60"/>
      <c r="D71" s="60"/>
      <c r="E71" s="60"/>
    </row>
    <row r="72" spans="1:5" ht="27.6" hidden="1" customHeight="1" x14ac:dyDescent="0.25">
      <c r="A72" s="59"/>
      <c r="B72" s="60"/>
      <c r="C72" s="60"/>
      <c r="D72" s="60"/>
      <c r="E72" s="60"/>
    </row>
    <row r="73" spans="1:5" ht="27.6" hidden="1" customHeight="1" x14ac:dyDescent="0.25">
      <c r="A73" s="59"/>
      <c r="B73" s="60"/>
      <c r="C73" s="60"/>
      <c r="D73" s="60"/>
      <c r="E73" s="60"/>
    </row>
    <row r="74" spans="1:5" ht="27.6" hidden="1" customHeight="1" x14ac:dyDescent="0.25">
      <c r="A74" s="59"/>
      <c r="B74" s="60"/>
      <c r="C74" s="60"/>
      <c r="D74" s="60"/>
      <c r="E74" s="60"/>
    </row>
    <row r="75" spans="1:5" ht="27.6" hidden="1" customHeight="1" x14ac:dyDescent="0.25">
      <c r="A75" s="59"/>
      <c r="B75" s="60"/>
      <c r="C75" s="60"/>
      <c r="D75" s="60"/>
      <c r="E75" s="60"/>
    </row>
    <row r="76" spans="1:5" ht="27.6" hidden="1" customHeight="1" x14ac:dyDescent="0.25">
      <c r="A76" s="59"/>
      <c r="B76" s="60"/>
      <c r="C76" s="60"/>
      <c r="D76" s="60"/>
      <c r="E76" s="60"/>
    </row>
    <row r="77" spans="1:5" ht="27.6" hidden="1" customHeight="1" x14ac:dyDescent="0.25">
      <c r="A77" s="59"/>
      <c r="B77" s="60"/>
      <c r="C77" s="60"/>
      <c r="D77" s="60"/>
      <c r="E77" s="60"/>
    </row>
    <row r="78" spans="1:5" ht="27.6" hidden="1" customHeight="1" x14ac:dyDescent="0.25">
      <c r="A78" s="59"/>
      <c r="B78" s="60"/>
      <c r="C78" s="60"/>
      <c r="D78" s="60"/>
      <c r="E78" s="60"/>
    </row>
    <row r="79" spans="1:5" ht="27.6" hidden="1" customHeight="1" x14ac:dyDescent="0.25">
      <c r="A79" s="59"/>
      <c r="B79" s="60"/>
      <c r="C79" s="60"/>
      <c r="D79" s="60"/>
      <c r="E79" s="60"/>
    </row>
    <row r="80" spans="1:5" ht="27.6" hidden="1" customHeight="1" x14ac:dyDescent="0.25">
      <c r="A80" s="59"/>
      <c r="B80" s="60"/>
      <c r="C80" s="60"/>
      <c r="D80" s="60"/>
      <c r="E80" s="60"/>
    </row>
    <row r="81" spans="1:5" ht="27.6" hidden="1" customHeight="1" x14ac:dyDescent="0.25">
      <c r="A81" s="59"/>
      <c r="B81" s="60"/>
      <c r="C81" s="60"/>
      <c r="D81" s="60"/>
      <c r="E81" s="60"/>
    </row>
    <row r="82" spans="1:5" ht="27.6" hidden="1" customHeight="1" x14ac:dyDescent="0.25">
      <c r="A82" s="59"/>
      <c r="B82" s="60"/>
      <c r="C82" s="60"/>
      <c r="D82" s="60"/>
      <c r="E82" s="60"/>
    </row>
    <row r="83" spans="1:5" ht="27.6" hidden="1" customHeight="1" x14ac:dyDescent="0.25">
      <c r="A83" s="59"/>
      <c r="B83" s="60"/>
      <c r="C83" s="60"/>
      <c r="D83" s="60"/>
      <c r="E83" s="60"/>
    </row>
    <row r="84" spans="1:5" ht="27.6" hidden="1" customHeight="1" x14ac:dyDescent="0.25">
      <c r="A84" s="59"/>
      <c r="B84" s="60"/>
      <c r="C84" s="60"/>
      <c r="D84" s="60"/>
      <c r="E84" s="60"/>
    </row>
    <row r="85" spans="1:5" ht="27.6" hidden="1" customHeight="1" x14ac:dyDescent="0.25">
      <c r="A85" s="59"/>
      <c r="B85" s="60"/>
      <c r="C85" s="60"/>
      <c r="D85" s="60"/>
      <c r="E85" s="60"/>
    </row>
    <row r="86" spans="1:5" ht="27.6" hidden="1" customHeight="1" x14ac:dyDescent="0.25">
      <c r="A86" s="59"/>
      <c r="B86" s="60"/>
      <c r="C86" s="60"/>
      <c r="D86" s="60"/>
      <c r="E86" s="60"/>
    </row>
    <row r="87" spans="1:5" ht="27.6" hidden="1" customHeight="1" x14ac:dyDescent="0.25">
      <c r="A87" s="59"/>
      <c r="B87" s="60"/>
      <c r="C87" s="60"/>
      <c r="D87" s="60"/>
      <c r="E87" s="60"/>
    </row>
    <row r="88" spans="1:5" ht="27.6" hidden="1" customHeight="1" x14ac:dyDescent="0.25">
      <c r="A88" s="59"/>
      <c r="B88" s="60"/>
      <c r="C88" s="60"/>
      <c r="D88" s="60"/>
      <c r="E88" s="60"/>
    </row>
    <row r="89" spans="1:5" ht="27.6" hidden="1" customHeight="1" x14ac:dyDescent="0.25">
      <c r="A89" s="59"/>
      <c r="B89" s="60"/>
      <c r="C89" s="60"/>
      <c r="D89" s="60"/>
      <c r="E89" s="60"/>
    </row>
    <row r="90" spans="1:5" ht="27.6" hidden="1" customHeight="1" x14ac:dyDescent="0.25">
      <c r="A90" s="59"/>
      <c r="B90" s="60"/>
      <c r="C90" s="60"/>
      <c r="D90" s="60"/>
      <c r="E90" s="60"/>
    </row>
    <row r="91" spans="1:5" ht="27.6" hidden="1" customHeight="1" x14ac:dyDescent="0.25">
      <c r="A91" s="59"/>
      <c r="B91" s="60"/>
      <c r="C91" s="60"/>
      <c r="D91" s="60"/>
      <c r="E91" s="60"/>
    </row>
    <row r="92" spans="1:5" ht="27.6" hidden="1" customHeight="1" x14ac:dyDescent="0.25">
      <c r="A92" s="59"/>
      <c r="B92" s="60"/>
      <c r="C92" s="60"/>
      <c r="D92" s="60"/>
      <c r="E92" s="60"/>
    </row>
    <row r="93" spans="1:5" ht="27.6" hidden="1" customHeight="1" x14ac:dyDescent="0.25">
      <c r="A93" s="59"/>
      <c r="B93" s="60"/>
      <c r="C93" s="60"/>
      <c r="D93" s="60"/>
      <c r="E93" s="60"/>
    </row>
    <row r="94" spans="1:5" ht="27.6" hidden="1" customHeight="1" x14ac:dyDescent="0.25">
      <c r="A94" s="59"/>
      <c r="B94" s="60"/>
      <c r="C94" s="60"/>
      <c r="D94" s="60"/>
      <c r="E94" s="60"/>
    </row>
    <row r="95" spans="1:5" ht="27.6" hidden="1" customHeight="1" x14ac:dyDescent="0.25">
      <c r="A95" s="59"/>
      <c r="B95" s="60"/>
      <c r="C95" s="60"/>
      <c r="D95" s="60"/>
      <c r="E95" s="60"/>
    </row>
    <row r="96" spans="1:5" ht="27.6" hidden="1" customHeight="1" x14ac:dyDescent="0.25">
      <c r="A96" s="59"/>
      <c r="B96" s="60"/>
      <c r="C96" s="60"/>
      <c r="D96" s="60"/>
      <c r="E96" s="60"/>
    </row>
    <row r="97" spans="1:5" ht="27.6" hidden="1" customHeight="1" x14ac:dyDescent="0.25">
      <c r="A97" s="59"/>
      <c r="B97" s="60"/>
      <c r="C97" s="60"/>
      <c r="D97" s="60"/>
      <c r="E97" s="60"/>
    </row>
    <row r="98" spans="1:5" ht="27.6" hidden="1" customHeight="1" x14ac:dyDescent="0.25">
      <c r="A98" s="59"/>
      <c r="B98" s="60"/>
      <c r="C98" s="60"/>
      <c r="D98" s="60"/>
      <c r="E98" s="60"/>
    </row>
    <row r="99" spans="1:5" ht="27.6" hidden="1" customHeight="1" x14ac:dyDescent="0.25">
      <c r="A99" s="59"/>
      <c r="B99" s="60"/>
      <c r="C99" s="60"/>
      <c r="D99" s="60"/>
      <c r="E99" s="60"/>
    </row>
    <row r="100" spans="1:5" ht="27.6" hidden="1" customHeight="1" x14ac:dyDescent="0.25">
      <c r="A100" s="59"/>
      <c r="B100" s="60"/>
      <c r="C100" s="60"/>
      <c r="D100" s="60"/>
      <c r="E100" s="60"/>
    </row>
    <row r="101" spans="1:5" ht="27.6" hidden="1" customHeight="1" x14ac:dyDescent="0.25">
      <c r="A101" s="59"/>
      <c r="B101" s="60"/>
      <c r="C101" s="60"/>
      <c r="D101" s="60"/>
      <c r="E101" s="60"/>
    </row>
    <row r="102" spans="1:5" ht="27.6" hidden="1" customHeight="1" x14ac:dyDescent="0.25">
      <c r="A102" s="59"/>
      <c r="B102" s="60"/>
      <c r="C102" s="60"/>
      <c r="D102" s="60"/>
      <c r="E102" s="60"/>
    </row>
    <row r="103" spans="1:5" ht="27.6" hidden="1" customHeight="1" x14ac:dyDescent="0.25">
      <c r="A103" s="59"/>
      <c r="B103" s="60"/>
      <c r="C103" s="60"/>
      <c r="D103" s="60"/>
      <c r="E103" s="60"/>
    </row>
    <row r="104" spans="1:5" ht="27.6" hidden="1" customHeight="1" x14ac:dyDescent="0.25">
      <c r="A104" s="59"/>
      <c r="B104" s="60"/>
      <c r="C104" s="60"/>
      <c r="D104" s="60"/>
      <c r="E104" s="60"/>
    </row>
    <row r="105" spans="1:5" ht="27.6" hidden="1" customHeight="1" x14ac:dyDescent="0.25">
      <c r="A105" s="59"/>
      <c r="B105" s="60"/>
      <c r="C105" s="60"/>
      <c r="D105" s="60"/>
      <c r="E105" s="60"/>
    </row>
    <row r="106" spans="1:5" ht="27.6" hidden="1" customHeight="1" x14ac:dyDescent="0.25">
      <c r="A106" s="59"/>
      <c r="B106" s="60"/>
      <c r="C106" s="60"/>
      <c r="D106" s="60"/>
      <c r="E106" s="60"/>
    </row>
    <row r="107" spans="1:5" ht="27.6" hidden="1" customHeight="1" x14ac:dyDescent="0.25">
      <c r="A107" s="59"/>
      <c r="B107" s="60"/>
      <c r="C107" s="60"/>
      <c r="D107" s="60"/>
      <c r="E107" s="60"/>
    </row>
    <row r="108" spans="1:5" ht="27.6" hidden="1" customHeight="1" x14ac:dyDescent="0.25">
      <c r="A108" s="59"/>
      <c r="B108" s="60"/>
      <c r="C108" s="60"/>
      <c r="D108" s="60"/>
      <c r="E108" s="60"/>
    </row>
    <row r="109" spans="1:5" ht="27.6" hidden="1" customHeight="1" x14ac:dyDescent="0.25">
      <c r="A109" s="59"/>
      <c r="B109" s="60"/>
      <c r="C109" s="60"/>
      <c r="D109" s="60"/>
      <c r="E109" s="60"/>
    </row>
    <row r="110" spans="1:5" ht="27.6" hidden="1" customHeight="1" x14ac:dyDescent="0.25">
      <c r="A110" s="59"/>
      <c r="B110" s="60"/>
      <c r="C110" s="60"/>
      <c r="D110" s="60"/>
      <c r="E110" s="60"/>
    </row>
    <row r="111" spans="1:5" ht="27.6" hidden="1" customHeight="1" x14ac:dyDescent="0.25">
      <c r="A111" s="59"/>
      <c r="B111" s="60"/>
      <c r="C111" s="60"/>
      <c r="D111" s="60"/>
      <c r="E111" s="60"/>
    </row>
    <row r="112" spans="1:5" ht="27.6" hidden="1" customHeight="1" x14ac:dyDescent="0.25">
      <c r="A112" s="59"/>
      <c r="B112" s="60"/>
      <c r="C112" s="60"/>
      <c r="D112" s="60"/>
      <c r="E112" s="60"/>
    </row>
    <row r="113" spans="1:5" ht="27.6" hidden="1" customHeight="1" x14ac:dyDescent="0.25">
      <c r="A113" s="59"/>
      <c r="B113" s="60"/>
      <c r="C113" s="60"/>
      <c r="D113" s="60"/>
      <c r="E113" s="60"/>
    </row>
    <row r="114" spans="1:5" ht="27.6" hidden="1" customHeight="1" x14ac:dyDescent="0.25">
      <c r="A114" s="59"/>
      <c r="B114" s="60"/>
      <c r="C114" s="60"/>
      <c r="D114" s="60"/>
      <c r="E114" s="60"/>
    </row>
    <row r="115" spans="1:5" ht="27.6" hidden="1" customHeight="1" x14ac:dyDescent="0.25">
      <c r="A115" s="59"/>
      <c r="B115" s="60"/>
      <c r="C115" s="60"/>
      <c r="D115" s="60"/>
      <c r="E115" s="60"/>
    </row>
    <row r="116" spans="1:5" ht="27.6" hidden="1" customHeight="1" x14ac:dyDescent="0.25">
      <c r="A116" s="59"/>
      <c r="B116" s="60"/>
      <c r="C116" s="60"/>
      <c r="D116" s="60"/>
      <c r="E116" s="60"/>
    </row>
    <row r="117" spans="1:5" ht="27.6" hidden="1" customHeight="1" x14ac:dyDescent="0.25">
      <c r="A117" s="59"/>
      <c r="B117" s="60"/>
      <c r="C117" s="60"/>
      <c r="D117" s="60"/>
      <c r="E117" s="60"/>
    </row>
    <row r="118" spans="1:5" ht="27.6" hidden="1" customHeight="1" x14ac:dyDescent="0.25">
      <c r="A118" s="59"/>
      <c r="B118" s="60"/>
      <c r="C118" s="60"/>
      <c r="D118" s="60"/>
      <c r="E118" s="60"/>
    </row>
    <row r="119" spans="1:5" ht="27.6" hidden="1" customHeight="1" x14ac:dyDescent="0.25">
      <c r="A119" s="59"/>
      <c r="B119" s="60"/>
      <c r="C119" s="60"/>
      <c r="D119" s="60"/>
      <c r="E119" s="60"/>
    </row>
    <row r="120" spans="1:5" ht="27.6" hidden="1" customHeight="1" x14ac:dyDescent="0.25">
      <c r="A120" s="59"/>
      <c r="B120" s="60"/>
      <c r="C120" s="60"/>
      <c r="D120" s="60"/>
      <c r="E120" s="60"/>
    </row>
    <row r="121" spans="1:5" ht="27.6" hidden="1" customHeight="1" x14ac:dyDescent="0.25">
      <c r="A121" s="59"/>
      <c r="B121" s="60"/>
      <c r="C121" s="60"/>
      <c r="D121" s="60"/>
      <c r="E121" s="60"/>
    </row>
    <row r="122" spans="1:5" ht="27.6" hidden="1" customHeight="1" x14ac:dyDescent="0.25">
      <c r="A122" s="59"/>
      <c r="B122" s="60"/>
      <c r="C122" s="60"/>
      <c r="D122" s="60"/>
      <c r="E122" s="60"/>
    </row>
    <row r="123" spans="1:5" ht="27.6" hidden="1" customHeight="1" x14ac:dyDescent="0.25">
      <c r="A123" s="59"/>
      <c r="B123" s="60"/>
      <c r="C123" s="60"/>
      <c r="D123" s="60"/>
      <c r="E123" s="60"/>
    </row>
  </sheetData>
  <sheetProtection algorithmName="SHA-512" hashValue="vkKq0fNUVWlxnm25g6jJdAwnO6o+kHCTXJdFFccsVMIzwEYb09ppOnrDh42tvY87SAJESTC82Ku3/DgEEsjbOg==" saltValue="vwbAl+6n2scYmAhu6H05cw==" spinCount="100000" sheet="1" objects="1" scenarios="1" sort="0" autoFilter="0"/>
  <mergeCells count="2">
    <mergeCell ref="B1:C1"/>
    <mergeCell ref="D1:E1"/>
  </mergeCells>
  <conditionalFormatting sqref="A10:A2000">
    <cfRule type="duplicateValues" dxfId="5" priority="2"/>
  </conditionalFormatting>
  <conditionalFormatting sqref="A3:D3">
    <cfRule type="cellIs" dxfId="4" priority="1" operator="equal">
      <formula>0</formula>
    </cfRule>
  </conditionalFormatting>
  <conditionalFormatting sqref="E10:E2000">
    <cfRule type="cellIs" dxfId="3" priority="3" operator="equal">
      <formula>"F"</formula>
    </cfRule>
    <cfRule type="cellIs" dxfId="2" priority="4" operator="equal">
      <formula>"FAIL"</formula>
    </cfRule>
    <cfRule type="cellIs" dxfId="1" priority="5" operator="equal">
      <formula>"P"</formula>
    </cfRule>
    <cfRule type="cellIs" dxfId="0" priority="6" operator="equal">
      <formula>"PASS"</formula>
    </cfRule>
  </conditionalFormatting>
  <hyperlinks>
    <hyperlink ref="B1" location="INDEX!A1" display="RETURN TO INDEX" xr:uid="{39295362-11CC-4F4E-AC5A-8FC4BCF0B4B5}"/>
    <hyperlink ref="D1:E1" location="'QCI Sample Selection'!A1" display="QCI SAMPLE SELECTION" xr:uid="{2594CA39-F6F1-4CA4-9B1C-140D870B4EDE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Group A Traveler</vt:lpstr>
      <vt:lpstr>GROUP A1</vt:lpstr>
      <vt:lpstr>GROUP A2 25C</vt:lpstr>
      <vt:lpstr>GROUP A3 125C</vt:lpstr>
      <vt:lpstr>GROUP A3 -55C</vt:lpstr>
      <vt:lpstr>GROUP A7 CAPACITANCE</vt:lpstr>
      <vt:lpstr>GROUP A7 GATE 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Shmoil Pourdavoud</dc:creator>
  <cp:lastModifiedBy>Shmoil Pourdavoud</cp:lastModifiedBy>
  <dcterms:created xsi:type="dcterms:W3CDTF">2024-09-19T17:22:17Z</dcterms:created>
  <dcterms:modified xsi:type="dcterms:W3CDTF">2024-10-09T18:25:23Z</dcterms:modified>
</cp:coreProperties>
</file>