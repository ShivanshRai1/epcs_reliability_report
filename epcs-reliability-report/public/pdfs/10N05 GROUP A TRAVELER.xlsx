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A\"/>
    </mc:Choice>
  </mc:AlternateContent>
  <xr:revisionPtr revIDLastSave="0" documentId="13_ncr:1_{3F4B354F-DB17-4D15-B435-69FA1889D8E5}" xr6:coauthVersionLast="47" xr6:coauthVersionMax="47" xr10:uidLastSave="{00000000-0000-0000-0000-000000000000}"/>
  <workbookProtection workbookAlgorithmName="SHA-512" workbookHashValue="6BO8whjFhRZtIx+TjbFH04c+hs30vRFz+aTU+LUNzoHIvJEiRhLylUc5RKllrvgM17I5yg2VeuommJufVxJMLA==" workbookSaltValue="Ie0JHauzg20f69SdSxKFWQ==" workbookSpinCount="100000" lockStructure="1"/>
  <bookViews>
    <workbookView xWindow="-24315" yWindow="2655" windowWidth="21600" windowHeight="11835" xr2:uid="{A0072D6E-2BD7-4539-99C6-AA2D81D1FDF9}"/>
  </bookViews>
  <sheets>
    <sheet name="Group A Traveler" sheetId="1" r:id="rId1"/>
    <sheet name="GROUP A1" sheetId="2" r:id="rId2"/>
    <sheet name="GROUP A2 25C" sheetId="3" r:id="rId3"/>
    <sheet name="GROUP A3 125C" sheetId="4" r:id="rId4"/>
    <sheet name="GROUP A3 -55C" sheetId="5" r:id="rId5"/>
    <sheet name="GROUP A7 CAPACITANCE" sheetId="6" r:id="rId6"/>
    <sheet name="GROUP A7 GATE CHARGE" sheetId="7" r:id="rId7"/>
  </sheets>
  <definedNames>
    <definedName name="_xlnm._FilterDatabase" localSheetId="2" hidden="1">'GROUP A2 25C'!$A$10:$Q$126</definedName>
    <definedName name="_xlnm._FilterDatabase" localSheetId="3" hidden="1">'GROUP A3 125C'!$A$10:$N$126</definedName>
    <definedName name="_xlnm._FilterDatabase" localSheetId="4" hidden="1">'GROUP A3 -55C'!$A$13:$G$129</definedName>
    <definedName name="_xlnm._FilterDatabase" localSheetId="5" hidden="1">'GROUP A7 CAPACITANCE'!$A$10:$E$10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7" l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A5" i="7" s="1"/>
  <c r="E14" i="7"/>
  <c r="E13" i="7"/>
  <c r="E12" i="7"/>
  <c r="E11" i="7"/>
  <c r="E10" i="7"/>
  <c r="A4" i="7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A5" i="6" s="1"/>
  <c r="E10" i="6"/>
  <c r="A4" i="6"/>
  <c r="B10" i="5"/>
  <c r="B9" i="5"/>
  <c r="B8" i="5"/>
  <c r="A7" i="5" s="1"/>
  <c r="B7" i="4"/>
  <c r="B6" i="4"/>
  <c r="B5" i="4"/>
  <c r="B8" i="4" s="1"/>
  <c r="B7" i="3"/>
  <c r="B6" i="3"/>
  <c r="B5" i="3"/>
  <c r="A4" i="3" s="1"/>
  <c r="B8" i="3" l="1"/>
  <c r="B11" i="5"/>
  <c r="A4" i="4"/>
</calcChain>
</file>

<file path=xl/sharedStrings.xml><?xml version="1.0" encoding="utf-8"?>
<sst xmlns="http://schemas.openxmlformats.org/spreadsheetml/2006/main" count="644" uniqueCount="105">
  <si>
    <t>GROUP A TRAVELER</t>
  </si>
  <si>
    <t>INDEX</t>
  </si>
  <si>
    <t>QCI SAMPLE SELECTION</t>
  </si>
  <si>
    <t>.</t>
  </si>
  <si>
    <t>GROUP A1 PHYSICAL</t>
  </si>
  <si>
    <t>GROUP A2 25C ELECTRICALS</t>
  </si>
  <si>
    <t>SUMMARY</t>
  </si>
  <si>
    <t>SCREENING STATUS</t>
  </si>
  <si>
    <t>N=116 C=0</t>
  </si>
  <si>
    <t>TOTAL SUBMITTED</t>
  </si>
  <si>
    <t>TOTAL PASS</t>
  </si>
  <si>
    <t xml:space="preserve">  1) IDON      [&gt; 10.01MA]</t>
  </si>
  <si>
    <t xml:space="preserve">  2) IGSSF     [&lt; 2.000MA]</t>
  </si>
  <si>
    <t xml:space="preserve">  3) IDSS      [&lt; 60.00UA]</t>
  </si>
  <si>
    <t xml:space="preserve">  4) IGSSF     [&lt; 2.000MA]</t>
  </si>
  <si>
    <t xml:space="preserve">  5) IGSSR     [&lt; 60.00UA]</t>
  </si>
  <si>
    <t xml:space="preserve">  6) VGSTH     [&gt;   800MV]</t>
  </si>
  <si>
    <t xml:space="preserve">  7) VGSTH     [&lt; 2.500]</t>
  </si>
  <si>
    <t xml:space="preserve">  8) RDSON     [&lt; 49.80M]</t>
  </si>
  <si>
    <t xml:space="preserve">  9) VSD       [&lt; 4.000 V]</t>
  </si>
  <si>
    <t xml:space="preserve"> 10) IDSS      [&lt; 60.00UA]</t>
  </si>
  <si>
    <t xml:space="preserve"> 11) IGSSF     [&lt; 2.000MA]</t>
  </si>
  <si>
    <t>TOTAL EMPTY</t>
  </si>
  <si>
    <t xml:space="preserve">   IDON &gt; 10.01MA</t>
  </si>
  <si>
    <t xml:space="preserve">  IGSSF &lt; 2.000MA</t>
  </si>
  <si>
    <t xml:space="preserve">   IDSS &lt; 60.00UA</t>
  </si>
  <si>
    <t xml:space="preserve">  IGSSR &lt; 60.00UA</t>
  </si>
  <si>
    <t xml:space="preserve">  VGSTH &gt; 801.0MV</t>
  </si>
  <si>
    <t xml:space="preserve">VGSTH &lt; 2.500 </t>
  </si>
  <si>
    <t xml:space="preserve">  RDSON &lt; 49.80M </t>
  </si>
  <si>
    <t xml:space="preserve">    VSD &lt; 4.000 V</t>
  </si>
  <si>
    <t>TOTAL REJECTS</t>
  </si>
  <si>
    <t xml:space="preserve">    VDS = 19.54MV</t>
  </si>
  <si>
    <t xml:space="preserve">   VGSF = 4.501 V</t>
  </si>
  <si>
    <t xml:space="preserve">    VDS = 10.01 V</t>
  </si>
  <si>
    <t xml:space="preserve">   VGSF = 6.000 V</t>
  </si>
  <si>
    <t xml:space="preserve">   VGSR = 4.000 V</t>
  </si>
  <si>
    <t xml:space="preserve">     ID = 1.199MA</t>
  </si>
  <si>
    <t>VGSTH = S6</t>
  </si>
  <si>
    <t xml:space="preserve">    VGS = 5.001 V</t>
  </si>
  <si>
    <t xml:space="preserve">     IS = 1.001 A</t>
  </si>
  <si>
    <t xml:space="preserve">    VDS = 100.1 V</t>
  </si>
  <si>
    <t xml:space="preserve">   VGSF = 5.001 V</t>
  </si>
  <si>
    <t>Card-Position</t>
  </si>
  <si>
    <t>Serial No</t>
  </si>
  <si>
    <t>Label</t>
  </si>
  <si>
    <t>Sort</t>
  </si>
  <si>
    <t>Bin</t>
  </si>
  <si>
    <t xml:space="preserve">    VGS = 4.000 V</t>
  </si>
  <si>
    <t xml:space="preserve">     ID = 5.001 A</t>
  </si>
  <si>
    <t>All Pass</t>
  </si>
  <si>
    <t/>
  </si>
  <si>
    <t>All pass</t>
  </si>
  <si>
    <t>GROUP A3 125C ELECTRICALS</t>
  </si>
  <si>
    <t xml:space="preserve">  2) IGSSF     [&lt; 4.000MA]</t>
  </si>
  <si>
    <t xml:space="preserve">  3) IDSS      [&lt; 149.9UA]</t>
  </si>
  <si>
    <t xml:space="preserve">  4) IGSSF     [&lt; 4.000MA]</t>
  </si>
  <si>
    <t xml:space="preserve">  5) IGSSR     [&lt; 119.9UA]</t>
  </si>
  <si>
    <t xml:space="preserve">  6) VGSTH     [&gt;   700MV]</t>
  </si>
  <si>
    <t xml:space="preserve">  7) VGSTH     [&lt; 3.000]</t>
  </si>
  <si>
    <t xml:space="preserve">  8) RDSON     [&lt; 75.19M]</t>
  </si>
  <si>
    <t xml:space="preserve">  9) VSD       [&lt; 4.500 V]</t>
  </si>
  <si>
    <t xml:space="preserve">  IGSSF &lt; 4.000MA</t>
  </si>
  <si>
    <t xml:space="preserve">   IDSS &lt; 149.9UA</t>
  </si>
  <si>
    <t xml:space="preserve">  IGSSR &lt; 119.9UA</t>
  </si>
  <si>
    <t xml:space="preserve">  VGSTH &gt; 700.9MV</t>
  </si>
  <si>
    <t xml:space="preserve">VGSTH &lt; 3.000 </t>
  </si>
  <si>
    <t xml:space="preserve">  RDSON &lt; 75.20M </t>
  </si>
  <si>
    <t xml:space="preserve">    VSD &lt; 4.501 V</t>
  </si>
  <si>
    <t>GROUP A SUBGROUP 3</t>
  </si>
  <si>
    <t>DC ELECTRICALS 125C</t>
  </si>
  <si>
    <t xml:space="preserve">  2) VGSTH     [&lt; 3.001 V]</t>
  </si>
  <si>
    <t xml:space="preserve">  VGSTH &lt; 3.001 V</t>
  </si>
  <si>
    <t>A7 CAPACITANCE</t>
  </si>
  <si>
    <t>LMR</t>
  </si>
  <si>
    <t>Conditions:</t>
  </si>
  <si>
    <t>Frequency</t>
  </si>
  <si>
    <t>VDS</t>
  </si>
  <si>
    <t>1 MHz</t>
  </si>
  <si>
    <t>Volts</t>
  </si>
  <si>
    <t>Max Limit</t>
  </si>
  <si>
    <t>Serial #</t>
  </si>
  <si>
    <t>Ciss</t>
  </si>
  <si>
    <t>Coss</t>
  </si>
  <si>
    <t>Crss</t>
  </si>
  <si>
    <t>P/F</t>
  </si>
  <si>
    <t>A7 GATE CHARGE</t>
  </si>
  <si>
    <t>OPERATOR</t>
  </si>
  <si>
    <t>DATE</t>
  </si>
  <si>
    <t>GateCharge-3.0</t>
  </si>
  <si>
    <t>GateCharge-3.1</t>
  </si>
  <si>
    <t>GateCharge-3.2</t>
  </si>
  <si>
    <t>Description</t>
  </si>
  <si>
    <t>Qgs</t>
  </si>
  <si>
    <t>Qgd</t>
  </si>
  <si>
    <t>Qg_ 5.00V</t>
  </si>
  <si>
    <t>UNIT</t>
  </si>
  <si>
    <t>pC</t>
  </si>
  <si>
    <t>nC</t>
  </si>
  <si>
    <t>MAX LIMIT</t>
  </si>
  <si>
    <t>SCD PART NUMBER</t>
  </si>
  <si>
    <t>EPCS PART NUMBER</t>
  </si>
  <si>
    <t>LOT</t>
  </si>
  <si>
    <t>DATE CODE</t>
  </si>
  <si>
    <t>FBG10N05ASH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</si>
</sst>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.0E+00"/>
    <numFmt numFmtId="165" formatCode="###.00E+00"/>
    <numFmt numFmtId="166" formatCode="###.000E+00"/>
    <numFmt numFmtId="167" formatCode="0.000"/>
  </numFmts>
  <fonts count="16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horizontal="center" vertical="top"/>
    </xf>
    <xf numFmtId="0" fontId="7" fillId="6" borderId="6" xfId="0" applyFont="1" applyFill="1" applyBorder="1"/>
    <xf numFmtId="0" fontId="7" fillId="6" borderId="6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left"/>
    </xf>
    <xf numFmtId="0" fontId="0" fillId="8" borderId="2" xfId="0" applyFill="1" applyBorder="1" applyAlignment="1">
      <alignment horizontal="right"/>
    </xf>
    <xf numFmtId="0" fontId="0" fillId="9" borderId="9" xfId="0" applyFill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11" fontId="0" fillId="0" borderId="2" xfId="0" applyNumberFormat="1" applyBorder="1"/>
    <xf numFmtId="11" fontId="8" fillId="0" borderId="2" xfId="0" applyNumberFormat="1" applyFont="1" applyBorder="1"/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64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/>
    <xf numFmtId="164" fontId="0" fillId="10" borderId="9" xfId="0" applyNumberFormat="1" applyFill="1" applyBorder="1"/>
    <xf numFmtId="167" fontId="0" fillId="10" borderId="9" xfId="0" applyNumberFormat="1" applyFill="1" applyBorder="1"/>
    <xf numFmtId="166" fontId="0" fillId="10" borderId="9" xfId="0" applyNumberFormat="1" applyFill="1" applyBorder="1"/>
    <xf numFmtId="0" fontId="8" fillId="10" borderId="9" xfId="0" applyFont="1" applyFill="1" applyBorder="1"/>
    <xf numFmtId="0" fontId="4" fillId="4" borderId="2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vertical="top"/>
    </xf>
    <xf numFmtId="0" fontId="4" fillId="4" borderId="6" xfId="1" applyFont="1" applyFill="1" applyBorder="1" applyAlignment="1">
      <alignment horizontal="center" vertical="top"/>
    </xf>
    <xf numFmtId="0" fontId="2" fillId="11" borderId="0" xfId="1" quotePrefix="1" applyFill="1" applyBorder="1" applyAlignment="1">
      <alignment horizontal="left" vertical="top"/>
    </xf>
    <xf numFmtId="0" fontId="9" fillId="6" borderId="7" xfId="0" applyFont="1" applyFill="1" applyBorder="1" applyAlignment="1">
      <alignment horizontal="center" vertical="top"/>
    </xf>
    <xf numFmtId="0" fontId="9" fillId="6" borderId="11" xfId="0" applyFont="1" applyFill="1" applyBorder="1" applyAlignment="1">
      <alignment horizontal="center" vertical="top"/>
    </xf>
    <xf numFmtId="0" fontId="10" fillId="12" borderId="2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left"/>
    </xf>
    <xf numFmtId="0" fontId="11" fillId="13" borderId="2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14" fontId="11" fillId="13" borderId="2" xfId="0" applyNumberFormat="1" applyFont="1" applyFill="1" applyBorder="1"/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vertical="center"/>
    </xf>
    <xf numFmtId="0" fontId="11" fillId="11" borderId="0" xfId="0" applyFont="1" applyFill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15" borderId="6" xfId="0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5" xfId="0" applyBorder="1"/>
    <xf numFmtId="0" fontId="0" fillId="16" borderId="0" xfId="0" applyFill="1"/>
    <xf numFmtId="0" fontId="0" fillId="16" borderId="12" xfId="0" applyFill="1" applyBorder="1"/>
    <xf numFmtId="2" fontId="13" fillId="14" borderId="2" xfId="0" applyNumberFormat="1" applyFont="1" applyFill="1" applyBorder="1" applyAlignment="1">
      <alignment horizontal="center" vertical="center"/>
    </xf>
    <xf numFmtId="2" fontId="15" fillId="15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top"/>
    </xf>
    <xf numFmtId="0" fontId="5" fillId="5" borderId="3" xfId="1" applyFont="1" applyFill="1" applyBorder="1" applyAlignment="1">
      <alignment horizontal="center" vertical="top"/>
    </xf>
    <xf numFmtId="0" fontId="5" fillId="5" borderId="0" xfId="1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5" fillId="5" borderId="4" xfId="1" applyFont="1" applyFill="1" applyBorder="1" applyAlignment="1">
      <alignment horizontal="center" vertical="top"/>
    </xf>
    <xf numFmtId="0" fontId="5" fillId="5" borderId="5" xfId="1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117729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057AE-8A8B-4346-A159-92A799DFC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42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117729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968C54-7429-4B00-85C8-22440E67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3742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117729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ACA7E0-EB7B-4D4B-AFC3-8DF1F607F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43420"/>
          <a:ext cx="6705600" cy="9837039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6</xdr:row>
      <xdr:rowOff>47625</xdr:rowOff>
    </xdr:from>
    <xdr:to>
      <xdr:col>8</xdr:col>
      <xdr:colOff>161925</xdr:colOff>
      <xdr:row>7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E21F951-F910-CDC3-70D5-16E53010A0DF}"/>
            </a:ext>
          </a:extLst>
        </xdr:cNvPr>
        <xdr:cNvSpPr/>
      </xdr:nvSpPr>
      <xdr:spPr>
        <a:xfrm>
          <a:off x="4152900" y="1314450"/>
          <a:ext cx="88582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381000</xdr:colOff>
      <xdr:row>7</xdr:row>
      <xdr:rowOff>95250</xdr:rowOff>
    </xdr:from>
    <xdr:to>
      <xdr:col>2</xdr:col>
      <xdr:colOff>390525</xdr:colOff>
      <xdr:row>8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63569CC-3DC1-A2CF-CD8C-55FD965F49F1}"/>
            </a:ext>
          </a:extLst>
        </xdr:cNvPr>
        <xdr:cNvSpPr/>
      </xdr:nvSpPr>
      <xdr:spPr>
        <a:xfrm>
          <a:off x="990600" y="1552575"/>
          <a:ext cx="6191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323850</xdr:colOff>
      <xdr:row>74</xdr:row>
      <xdr:rowOff>76200</xdr:rowOff>
    </xdr:from>
    <xdr:to>
      <xdr:col>4</xdr:col>
      <xdr:colOff>323850</xdr:colOff>
      <xdr:row>75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FE4FE20-38AB-6387-90FA-1E00F39F3823}"/>
            </a:ext>
          </a:extLst>
        </xdr:cNvPr>
        <xdr:cNvSpPr/>
      </xdr:nvSpPr>
      <xdr:spPr>
        <a:xfrm>
          <a:off x="2152650" y="14297025"/>
          <a:ext cx="609600" cy="2095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276225</xdr:colOff>
      <xdr:row>84</xdr:row>
      <xdr:rowOff>9525</xdr:rowOff>
    </xdr:from>
    <xdr:to>
      <xdr:col>4</xdr:col>
      <xdr:colOff>409575</xdr:colOff>
      <xdr:row>85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D1DA2B4-5226-41AB-0CDF-8F3744A89ABC}"/>
            </a:ext>
          </a:extLst>
        </xdr:cNvPr>
        <xdr:cNvSpPr/>
      </xdr:nvSpPr>
      <xdr:spPr>
        <a:xfrm>
          <a:off x="2105025" y="16135350"/>
          <a:ext cx="742950" cy="2190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323850</xdr:colOff>
      <xdr:row>94</xdr:row>
      <xdr:rowOff>142875</xdr:rowOff>
    </xdr:from>
    <xdr:to>
      <xdr:col>4</xdr:col>
      <xdr:colOff>438150</xdr:colOff>
      <xdr:row>96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69D9374-1190-8B8F-E8BE-3B3825BDEC12}"/>
            </a:ext>
          </a:extLst>
        </xdr:cNvPr>
        <xdr:cNvSpPr/>
      </xdr:nvSpPr>
      <xdr:spPr>
        <a:xfrm>
          <a:off x="2152650" y="18173700"/>
          <a:ext cx="723900" cy="2381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361951</xdr:colOff>
      <xdr:row>120</xdr:row>
      <xdr:rowOff>161925</xdr:rowOff>
    </xdr:from>
    <xdr:to>
      <xdr:col>4</xdr:col>
      <xdr:colOff>533401</xdr:colOff>
      <xdr:row>122</xdr:row>
      <xdr:rowOff>19050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982995F-B46B-AA9A-36EF-E1D9270D4F23}"/>
            </a:ext>
          </a:extLst>
        </xdr:cNvPr>
        <xdr:cNvSpPr/>
      </xdr:nvSpPr>
      <xdr:spPr>
        <a:xfrm>
          <a:off x="2190751" y="23145750"/>
          <a:ext cx="781050" cy="2381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323850</xdr:colOff>
      <xdr:row>129</xdr:row>
      <xdr:rowOff>123825</xdr:rowOff>
    </xdr:from>
    <xdr:to>
      <xdr:col>4</xdr:col>
      <xdr:colOff>438150</xdr:colOff>
      <xdr:row>131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BB53185-117F-857C-7269-820843B19642}"/>
            </a:ext>
          </a:extLst>
        </xdr:cNvPr>
        <xdr:cNvSpPr/>
      </xdr:nvSpPr>
      <xdr:spPr>
        <a:xfrm>
          <a:off x="2152650" y="24822150"/>
          <a:ext cx="723900" cy="2571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447675</xdr:colOff>
      <xdr:row>56</xdr:row>
      <xdr:rowOff>38100</xdr:rowOff>
    </xdr:from>
    <xdr:to>
      <xdr:col>8</xdr:col>
      <xdr:colOff>57150</xdr:colOff>
      <xdr:row>57</xdr:row>
      <xdr:rowOff>28575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7D138C8-51A4-1E63-8736-99F3A0D40B92}"/>
            </a:ext>
          </a:extLst>
        </xdr:cNvPr>
        <xdr:cNvSpPr/>
      </xdr:nvSpPr>
      <xdr:spPr>
        <a:xfrm>
          <a:off x="4105275" y="10829925"/>
          <a:ext cx="828675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352425</xdr:colOff>
      <xdr:row>57</xdr:row>
      <xdr:rowOff>104775</xdr:rowOff>
    </xdr:from>
    <xdr:to>
      <xdr:col>2</xdr:col>
      <xdr:colOff>295275</xdr:colOff>
      <xdr:row>58</xdr:row>
      <xdr:rowOff>114300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2C02181-CB3E-EC3D-9340-282753858DB4}"/>
            </a:ext>
          </a:extLst>
        </xdr:cNvPr>
        <xdr:cNvSpPr/>
      </xdr:nvSpPr>
      <xdr:spPr>
        <a:xfrm>
          <a:off x="962025" y="11087100"/>
          <a:ext cx="552450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485775</xdr:colOff>
      <xdr:row>108</xdr:row>
      <xdr:rowOff>38100</xdr:rowOff>
    </xdr:from>
    <xdr:to>
      <xdr:col>7</xdr:col>
      <xdr:colOff>590550</xdr:colOff>
      <xdr:row>109</xdr:row>
      <xdr:rowOff>38100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2829D5C-B118-251C-A8A5-68FE3C4D55FA}"/>
            </a:ext>
          </a:extLst>
        </xdr:cNvPr>
        <xdr:cNvSpPr/>
      </xdr:nvSpPr>
      <xdr:spPr>
        <a:xfrm>
          <a:off x="4143375" y="20735925"/>
          <a:ext cx="71437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352425</xdr:colOff>
      <xdr:row>109</xdr:row>
      <xdr:rowOff>114300</xdr:rowOff>
    </xdr:from>
    <xdr:to>
      <xdr:col>2</xdr:col>
      <xdr:colOff>257175</xdr:colOff>
      <xdr:row>110</xdr:row>
      <xdr:rowOff>95250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6D3914C-AEA0-19DE-1A5D-F51A00AE3CCE}"/>
            </a:ext>
          </a:extLst>
        </xdr:cNvPr>
        <xdr:cNvSpPr/>
      </xdr:nvSpPr>
      <xdr:spPr>
        <a:xfrm>
          <a:off x="962025" y="21002625"/>
          <a:ext cx="5143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295274</xdr:rowOff>
    </xdr:from>
    <xdr:to>
      <xdr:col>11</xdr:col>
      <xdr:colOff>0</xdr:colOff>
      <xdr:row>21</xdr:row>
      <xdr:rowOff>108584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1B85B-8FDA-48F4-BC76-BC80D2A0C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79"/>
          <a:ext cx="6705600" cy="3726180"/>
        </a:xfrm>
        <a:prstGeom prst="rect">
          <a:avLst/>
        </a:prstGeom>
      </xdr:spPr>
    </xdr:pic>
    <xdr:clientData/>
  </xdr:twoCellAnchor>
  <xdr:twoCellAnchor>
    <xdr:from>
      <xdr:col>6</xdr:col>
      <xdr:colOff>590550</xdr:colOff>
      <xdr:row>7</xdr:row>
      <xdr:rowOff>47625</xdr:rowOff>
    </xdr:from>
    <xdr:to>
      <xdr:col>8</xdr:col>
      <xdr:colOff>133350</xdr:colOff>
      <xdr:row>8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5DE3B0D-CCDA-BB07-0D0A-3141971C41D9}"/>
            </a:ext>
          </a:extLst>
        </xdr:cNvPr>
        <xdr:cNvSpPr/>
      </xdr:nvSpPr>
      <xdr:spPr>
        <a:xfrm>
          <a:off x="4248150" y="1304925"/>
          <a:ext cx="762000" cy="1809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323850</xdr:colOff>
      <xdr:row>8</xdr:row>
      <xdr:rowOff>123825</xdr:rowOff>
    </xdr:from>
    <xdr:to>
      <xdr:col>2</xdr:col>
      <xdr:colOff>342900</xdr:colOff>
      <xdr:row>9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66E82B2-D1BD-5C09-6A80-122621C6CC7E}"/>
            </a:ext>
          </a:extLst>
        </xdr:cNvPr>
        <xdr:cNvSpPr/>
      </xdr:nvSpPr>
      <xdr:spPr>
        <a:xfrm>
          <a:off x="933450" y="1571625"/>
          <a:ext cx="6286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A322-E904-4DEB-83AD-2E7A9C5FDB49}">
  <sheetPr>
    <tabColor theme="4" tint="-0.249977111117893"/>
  </sheetPr>
  <dimension ref="A1:K155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.75" customHeight="1" x14ac:dyDescent="0.25">
      <c r="A1" s="74" t="s">
        <v>0</v>
      </c>
      <c r="B1" s="74"/>
      <c r="C1" s="74"/>
      <c r="D1" s="74"/>
      <c r="E1" s="2" t="s">
        <v>1</v>
      </c>
      <c r="F1" s="2"/>
      <c r="G1" s="2"/>
      <c r="H1" s="2"/>
      <c r="I1" s="75" t="s">
        <v>2</v>
      </c>
      <c r="J1" s="75"/>
      <c r="K1" s="75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</sheetData>
  <sheetProtection algorithmName="SHA-512" hashValue="oahJNnW/OlOUlpTUeDjGi72DrGkAh1uyFVsO4ACqyk79uR8Q2wSIN8Mtw6LjofrOqd3KkOrcfJO7B+bCb/8h4w==" saltValue="nZEObeBrMQy2ym9XC9hYAw==" spinCount="100000" sheet="1" objects="1" scenarios="1" sort="0" autoFilter="0"/>
  <mergeCells count="2">
    <mergeCell ref="A1:D1"/>
    <mergeCell ref="I1:K1"/>
  </mergeCells>
  <hyperlinks>
    <hyperlink ref="E1" location="INDEX!A1" display="RETURN TO INDEX" xr:uid="{D0DFC508-B53E-4C03-98C1-E9A275787632}"/>
    <hyperlink ref="E1:F1" location="INDEX!A1" display="RETURN TO INDEX" xr:uid="{B01A8C4C-5D15-47A7-9890-4580BB0784E4}"/>
    <hyperlink ref="I1:K1" location="'QCI Sample Selection'!A1" display="QCI SAMPLE SELECTION" xr:uid="{1C27F9BA-6BFC-48A4-81C5-E80F8A00E533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6B85-E12B-4524-9B19-F619E82A740B}">
  <sheetPr>
    <tabColor theme="4" tint="-0.249977111117893"/>
  </sheetPr>
  <dimension ref="A1:K22"/>
  <sheetViews>
    <sheetView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74" t="s">
        <v>4</v>
      </c>
      <c r="B1" s="74"/>
      <c r="C1" s="74"/>
      <c r="D1" s="74"/>
      <c r="E1" s="2" t="s">
        <v>1</v>
      </c>
      <c r="F1" s="2"/>
      <c r="G1" s="2"/>
      <c r="H1" s="3"/>
      <c r="I1" s="75" t="s">
        <v>2</v>
      </c>
      <c r="J1" s="75"/>
      <c r="K1" s="75"/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</sheetData>
  <sheetProtection algorithmName="SHA-512" hashValue="RmnBvKYTLtTgMv2rK9k5e938vlrhe/RWEwTQ4Ie8T0xYFIgQL+F4XkTeALVRCwI4n+vrG6/Hy+Y0s7UhC1GBMw==" saltValue="+5WQQkDkOV9/EksPKsutKw==" spinCount="100000" sheet="1" objects="1" scenarios="1" sort="0" autoFilter="0"/>
  <mergeCells count="2">
    <mergeCell ref="A1:D1"/>
    <mergeCell ref="I1:K1"/>
  </mergeCells>
  <hyperlinks>
    <hyperlink ref="E1" location="INDEX!A1" display="RETURN TO INDEX" xr:uid="{970B66A5-15B8-4611-9119-445B862360BD}"/>
    <hyperlink ref="I1:K1" location="'QCI Sample Selection'!A1" display="QCI SAMPLE SELECTION" xr:uid="{A0927D41-8C57-4541-BF1B-BFBDF46D5DDD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6DAA-22FB-43C8-BF1A-CD6D5387E350}">
  <sheetPr>
    <tabColor theme="4" tint="-0.249977111117893"/>
  </sheetPr>
  <dimension ref="A1:Q126"/>
  <sheetViews>
    <sheetView zoomScale="95" zoomScaleNormal="95" workbookViewId="0">
      <pane xSplit="3" ySplit="10" topLeftCell="D11" activePane="bottomRight" state="frozen"/>
      <selection activeCell="D250" sqref="D250"/>
      <selection pane="topRight" activeCell="D250" sqref="D250"/>
      <selection pane="bottomLeft" activeCell="D250" sqref="D250"/>
      <selection pane="bottomRight" activeCell="D11" sqref="D11"/>
    </sheetView>
  </sheetViews>
  <sheetFormatPr defaultColWidth="0" defaultRowHeight="15" customHeight="1" zeroHeight="1" x14ac:dyDescent="0.25"/>
  <cols>
    <col min="1" max="1" width="18.85546875" style="21" customWidth="1"/>
    <col min="2" max="2" width="12.28515625" style="21" customWidth="1"/>
    <col min="3" max="3" width="13.5703125" style="21" customWidth="1"/>
    <col min="4" max="4" width="5.5703125" style="21" customWidth="1"/>
    <col min="5" max="5" width="3.85546875" style="21" customWidth="1"/>
    <col min="6" max="14" width="18.7109375" customWidth="1"/>
    <col min="15" max="15" width="21.42578125" bestFit="1" customWidth="1"/>
    <col min="16" max="16" width="22.5703125" bestFit="1" customWidth="1"/>
    <col min="17" max="17" width="9.140625" hidden="1"/>
  </cols>
  <sheetData>
    <row r="1" spans="1:17" ht="24" x14ac:dyDescent="0.25">
      <c r="A1" s="81" t="s">
        <v>5</v>
      </c>
      <c r="B1" s="81"/>
      <c r="C1" s="81"/>
      <c r="D1" s="81"/>
      <c r="E1" s="81"/>
      <c r="F1" s="81"/>
      <c r="G1" s="4"/>
      <c r="H1" s="2" t="s">
        <v>1</v>
      </c>
      <c r="I1" s="2"/>
      <c r="J1" s="5" t="s">
        <v>6</v>
      </c>
      <c r="K1" s="75" t="s">
        <v>7</v>
      </c>
      <c r="L1" s="75"/>
      <c r="M1" s="75" t="s">
        <v>2</v>
      </c>
      <c r="N1" s="75"/>
      <c r="O1" s="82"/>
      <c r="P1" s="82"/>
    </row>
    <row r="2" spans="1:17" ht="24" x14ac:dyDescent="0.25">
      <c r="A2" s="76" t="s">
        <v>100</v>
      </c>
      <c r="B2" s="76"/>
      <c r="C2" s="76" t="s">
        <v>101</v>
      </c>
      <c r="D2" s="76"/>
      <c r="E2" s="76" t="s">
        <v>102</v>
      </c>
      <c r="F2" s="76"/>
      <c r="G2" s="6" t="s">
        <v>103</v>
      </c>
      <c r="H2" s="77" t="s">
        <v>8</v>
      </c>
      <c r="I2" s="78"/>
      <c r="J2" s="78"/>
      <c r="K2" s="78"/>
      <c r="L2" s="78"/>
      <c r="M2" s="78"/>
      <c r="N2" s="78"/>
      <c r="O2" s="78"/>
      <c r="P2" s="78"/>
      <c r="Q2" s="78"/>
    </row>
    <row r="3" spans="1:17" ht="24" x14ac:dyDescent="0.25">
      <c r="A3" s="76" t="s">
        <v>104</v>
      </c>
      <c r="B3" s="76"/>
      <c r="C3" s="76" t="s">
        <v>104</v>
      </c>
      <c r="D3" s="76"/>
      <c r="E3" s="76"/>
      <c r="F3" s="76"/>
      <c r="G3" s="6">
        <v>2347</v>
      </c>
      <c r="H3" s="77"/>
      <c r="I3" s="78"/>
      <c r="J3" s="78"/>
      <c r="K3" s="78"/>
      <c r="L3" s="78"/>
      <c r="M3" s="78"/>
      <c r="N3" s="78"/>
      <c r="O3" s="78"/>
      <c r="P3" s="78"/>
      <c r="Q3" s="78"/>
    </row>
    <row r="4" spans="1:17" ht="24" x14ac:dyDescent="0.4">
      <c r="A4" s="79" t="str">
        <f>IF($B$5=$B$6,"PASS","FAIL")</f>
        <v>PASS</v>
      </c>
      <c r="B4" s="80"/>
      <c r="C4" s="80"/>
      <c r="D4" s="80"/>
      <c r="E4" s="80"/>
      <c r="F4" s="80"/>
      <c r="G4" s="80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17" x14ac:dyDescent="0.25">
      <c r="A5" s="7" t="s">
        <v>9</v>
      </c>
      <c r="B5" s="8">
        <f>COUNTA(C$11:C$2000)-COUNTIF(C11:C$2000,"ND")</f>
        <v>116</v>
      </c>
      <c r="C5" s="9"/>
      <c r="D5" s="10"/>
      <c r="E5" s="10"/>
      <c r="F5" s="11"/>
      <c r="G5" s="11"/>
      <c r="H5" s="12"/>
      <c r="I5" s="11"/>
      <c r="J5" s="11"/>
      <c r="K5" s="11"/>
      <c r="L5" s="11"/>
      <c r="M5" s="11"/>
      <c r="N5" s="11"/>
      <c r="O5" s="11"/>
      <c r="P5" s="11"/>
    </row>
    <row r="6" spans="1:17" x14ac:dyDescent="0.25">
      <c r="A6" s="13" t="s">
        <v>10</v>
      </c>
      <c r="B6" s="14">
        <f>COUNTIF(C11:C$2000,"All Pass")</f>
        <v>116</v>
      </c>
      <c r="C6" s="15"/>
      <c r="D6" s="15"/>
      <c r="E6" s="15"/>
      <c r="F6" s="15" t="s">
        <v>11</v>
      </c>
      <c r="G6" s="16" t="s">
        <v>12</v>
      </c>
      <c r="H6" s="17" t="s">
        <v>13</v>
      </c>
      <c r="I6" s="16" t="s">
        <v>14</v>
      </c>
      <c r="J6" s="16" t="s">
        <v>15</v>
      </c>
      <c r="K6" s="16" t="s">
        <v>16</v>
      </c>
      <c r="L6" s="16" t="s">
        <v>17</v>
      </c>
      <c r="M6" s="16" t="s">
        <v>18</v>
      </c>
      <c r="N6" s="16" t="s">
        <v>19</v>
      </c>
      <c r="O6" s="16" t="s">
        <v>20</v>
      </c>
      <c r="P6" s="16" t="s">
        <v>21</v>
      </c>
    </row>
    <row r="7" spans="1:17" x14ac:dyDescent="0.25">
      <c r="A7" s="13" t="s">
        <v>22</v>
      </c>
      <c r="B7" s="14">
        <f>COUNTIF(C11:C$2000,"ND")</f>
        <v>0</v>
      </c>
      <c r="C7" s="15"/>
      <c r="D7" s="15"/>
      <c r="E7" s="15"/>
      <c r="F7" s="15" t="s">
        <v>23</v>
      </c>
      <c r="G7" s="16" t="s">
        <v>24</v>
      </c>
      <c r="H7" s="17" t="s">
        <v>25</v>
      </c>
      <c r="I7" s="16" t="s">
        <v>24</v>
      </c>
      <c r="J7" s="16" t="s">
        <v>26</v>
      </c>
      <c r="K7" s="16" t="s">
        <v>27</v>
      </c>
      <c r="L7" s="16" t="s">
        <v>28</v>
      </c>
      <c r="M7" s="16" t="s">
        <v>29</v>
      </c>
      <c r="N7" s="16" t="s">
        <v>30</v>
      </c>
      <c r="O7" s="16" t="s">
        <v>25</v>
      </c>
      <c r="P7" s="16" t="s">
        <v>24</v>
      </c>
    </row>
    <row r="8" spans="1:17" x14ac:dyDescent="0.25">
      <c r="A8" s="13" t="s">
        <v>31</v>
      </c>
      <c r="B8" s="14">
        <f>B5-B6</f>
        <v>0</v>
      </c>
      <c r="C8" s="15"/>
      <c r="D8" s="15"/>
      <c r="E8" s="15"/>
      <c r="F8" s="15" t="s">
        <v>32</v>
      </c>
      <c r="G8" s="16" t="s">
        <v>33</v>
      </c>
      <c r="H8" s="17" t="s">
        <v>34</v>
      </c>
      <c r="I8" s="16" t="s">
        <v>35</v>
      </c>
      <c r="J8" s="16" t="s">
        <v>36</v>
      </c>
      <c r="K8" s="16" t="s">
        <v>37</v>
      </c>
      <c r="L8" s="16" t="s">
        <v>38</v>
      </c>
      <c r="M8" s="16" t="s">
        <v>39</v>
      </c>
      <c r="N8" s="16" t="s">
        <v>40</v>
      </c>
      <c r="O8" s="16" t="s">
        <v>41</v>
      </c>
      <c r="P8" s="16" t="s">
        <v>42</v>
      </c>
    </row>
    <row r="9" spans="1:17" x14ac:dyDescent="0.25">
      <c r="A9" s="15" t="s">
        <v>43</v>
      </c>
      <c r="B9" s="15" t="s">
        <v>44</v>
      </c>
      <c r="C9" s="15" t="s">
        <v>45</v>
      </c>
      <c r="D9" s="15" t="s">
        <v>46</v>
      </c>
      <c r="E9" s="15" t="s">
        <v>47</v>
      </c>
      <c r="F9" s="15" t="s">
        <v>48</v>
      </c>
      <c r="G9" s="16"/>
      <c r="H9" s="18"/>
      <c r="I9" s="16"/>
      <c r="J9" s="16"/>
      <c r="K9" s="16"/>
      <c r="L9" s="16"/>
      <c r="M9" s="16" t="s">
        <v>49</v>
      </c>
      <c r="N9" s="16"/>
      <c r="O9" s="16"/>
      <c r="P9" s="16"/>
    </row>
    <row r="10" spans="1:17" s="20" customForma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7" s="20" customFormat="1" x14ac:dyDescent="0.25">
      <c r="A11" s="21"/>
      <c r="B11" s="22">
        <v>4</v>
      </c>
      <c r="C11" s="23" t="s">
        <v>50</v>
      </c>
      <c r="D11" s="23" t="s">
        <v>51</v>
      </c>
      <c r="E11" s="22">
        <v>1</v>
      </c>
      <c r="F11" s="22">
        <v>0.34350000000000003</v>
      </c>
      <c r="G11" s="24">
        <v>1.9439999999999999E-6</v>
      </c>
      <c r="H11" s="24">
        <v>6.73E-8</v>
      </c>
      <c r="I11" s="24">
        <v>1.4649999999999995E-6</v>
      </c>
      <c r="J11" s="24">
        <v>1.2660000000000001E-7</v>
      </c>
      <c r="K11" s="24">
        <v>1.6819999999999999</v>
      </c>
      <c r="L11" s="24">
        <v>1.6819999999999999</v>
      </c>
      <c r="M11" s="24">
        <v>4.7199999999999999E-2</v>
      </c>
      <c r="N11" s="25">
        <v>2.617</v>
      </c>
      <c r="O11" s="25">
        <v>2.0880000000000002E-7</v>
      </c>
      <c r="P11" s="25">
        <v>2.7369999999999998E-6</v>
      </c>
    </row>
    <row r="12" spans="1:17" s="20" customFormat="1" x14ac:dyDescent="0.25">
      <c r="A12" s="21"/>
      <c r="B12" s="22">
        <v>5</v>
      </c>
      <c r="C12" s="26" t="s">
        <v>50</v>
      </c>
      <c r="D12" s="27" t="s">
        <v>51</v>
      </c>
      <c r="E12" s="22">
        <v>1</v>
      </c>
      <c r="F12" s="22">
        <v>0.3357</v>
      </c>
      <c r="G12" s="24">
        <v>1.0490000000000001E-7</v>
      </c>
      <c r="H12" s="24">
        <v>4.3500000000000006E-8</v>
      </c>
      <c r="I12" s="24">
        <v>1.08E-6</v>
      </c>
      <c r="J12" s="24">
        <v>1.7860000000000008E-7</v>
      </c>
      <c r="K12" s="24">
        <v>1.6</v>
      </c>
      <c r="L12" s="24">
        <v>1.6</v>
      </c>
      <c r="M12" s="24">
        <v>4.725E-2</v>
      </c>
      <c r="N12" s="25">
        <v>2.448</v>
      </c>
      <c r="O12" s="25">
        <v>3.284E-7</v>
      </c>
      <c r="P12" s="25">
        <v>2.0600000000000002E-7</v>
      </c>
    </row>
    <row r="13" spans="1:17" s="20" customFormat="1" x14ac:dyDescent="0.25">
      <c r="A13" s="21"/>
      <c r="B13" s="22">
        <v>8</v>
      </c>
      <c r="C13" s="26" t="s">
        <v>50</v>
      </c>
      <c r="D13" s="26" t="s">
        <v>51</v>
      </c>
      <c r="E13" s="22">
        <v>1</v>
      </c>
      <c r="F13" s="22">
        <v>0.36</v>
      </c>
      <c r="G13" s="24">
        <v>8.3099999999999996E-8</v>
      </c>
      <c r="H13" s="24">
        <v>2.9500000000000003E-8</v>
      </c>
      <c r="I13" s="24">
        <v>4.4450000000000004E-7</v>
      </c>
      <c r="J13" s="24">
        <v>1.001E-7</v>
      </c>
      <c r="K13" s="24">
        <v>1.587</v>
      </c>
      <c r="L13" s="24">
        <v>1.587</v>
      </c>
      <c r="M13" s="24">
        <v>4.9079999999999999E-2</v>
      </c>
      <c r="N13" s="25">
        <v>2.4849999999999999</v>
      </c>
      <c r="O13" s="25">
        <v>1.8380000000000002E-7</v>
      </c>
      <c r="P13" s="25">
        <v>1.37E-7</v>
      </c>
    </row>
    <row r="14" spans="1:17" x14ac:dyDescent="0.25">
      <c r="B14" s="22">
        <v>10</v>
      </c>
      <c r="C14" s="26" t="s">
        <v>50</v>
      </c>
      <c r="D14" s="26" t="s">
        <v>51</v>
      </c>
      <c r="E14" s="22">
        <v>1</v>
      </c>
      <c r="F14" s="22">
        <v>0.30690000000000001</v>
      </c>
      <c r="G14" s="24">
        <v>2.7460000000000004E-7</v>
      </c>
      <c r="H14" s="24">
        <v>3.4600000000000005E-8</v>
      </c>
      <c r="I14" s="24">
        <v>1.3839999999999998E-6</v>
      </c>
      <c r="J14" s="24">
        <v>1.103E-7</v>
      </c>
      <c r="K14" s="24">
        <v>1.885</v>
      </c>
      <c r="L14" s="24">
        <v>1.885</v>
      </c>
      <c r="M14" s="24">
        <v>4.7690000000000003E-2</v>
      </c>
      <c r="N14" s="24">
        <v>2.8460000000000001</v>
      </c>
      <c r="O14" s="24">
        <v>2.132E-7</v>
      </c>
      <c r="P14" s="24">
        <v>4.4200000000000001E-7</v>
      </c>
    </row>
    <row r="15" spans="1:17" s="20" customFormat="1" x14ac:dyDescent="0.25">
      <c r="A15" s="21"/>
      <c r="B15" s="22">
        <v>22</v>
      </c>
      <c r="C15" s="26" t="s">
        <v>50</v>
      </c>
      <c r="D15" s="26" t="s">
        <v>51</v>
      </c>
      <c r="E15" s="22">
        <v>1</v>
      </c>
      <c r="F15" s="22">
        <v>0.35620000000000002</v>
      </c>
      <c r="G15" s="24">
        <v>5.2350000000000005E-7</v>
      </c>
      <c r="H15" s="24">
        <v>7.7900000000000016E-8</v>
      </c>
      <c r="I15" s="24">
        <v>2.0250000000000001E-6</v>
      </c>
      <c r="J15" s="24">
        <v>2.0170000000000001E-7</v>
      </c>
      <c r="K15" s="24">
        <v>1.71</v>
      </c>
      <c r="L15" s="24">
        <v>1.71</v>
      </c>
      <c r="M15" s="24">
        <v>4.9149999999999999E-2</v>
      </c>
      <c r="N15" s="25">
        <v>2.661</v>
      </c>
      <c r="O15" s="25">
        <v>3.3610000000000005E-7</v>
      </c>
      <c r="P15" s="25">
        <v>8.7030000000000006E-7</v>
      </c>
    </row>
    <row r="16" spans="1:17" x14ac:dyDescent="0.25">
      <c r="B16" s="22">
        <v>25</v>
      </c>
      <c r="C16" s="26" t="s">
        <v>50</v>
      </c>
      <c r="D16" s="27" t="s">
        <v>51</v>
      </c>
      <c r="E16" s="22">
        <v>1</v>
      </c>
      <c r="F16" s="22">
        <v>0.33080000000000004</v>
      </c>
      <c r="G16" s="24">
        <v>6.6700000000000008E-8</v>
      </c>
      <c r="H16" s="24">
        <v>2.8800000000000003E-8</v>
      </c>
      <c r="I16" s="24">
        <v>6.1880000000000001E-7</v>
      </c>
      <c r="J16" s="24">
        <v>1.7840000000000001E-7</v>
      </c>
      <c r="K16" s="24">
        <v>1.5660000000000001</v>
      </c>
      <c r="L16" s="24">
        <v>1.5660000000000001</v>
      </c>
      <c r="M16" s="24">
        <v>4.8190000000000004E-2</v>
      </c>
      <c r="N16" s="24">
        <v>2.431</v>
      </c>
      <c r="O16" s="24">
        <v>2.0080000000000002E-7</v>
      </c>
      <c r="P16" s="24">
        <v>1.2850000000000002E-7</v>
      </c>
    </row>
    <row r="17" spans="1:16" s="20" customFormat="1" x14ac:dyDescent="0.25">
      <c r="A17" s="21"/>
      <c r="B17" s="22">
        <v>40</v>
      </c>
      <c r="C17" s="26" t="s">
        <v>50</v>
      </c>
      <c r="D17" s="26" t="s">
        <v>51</v>
      </c>
      <c r="E17" s="22">
        <v>1</v>
      </c>
      <c r="F17" s="22">
        <v>1.243E-2</v>
      </c>
      <c r="G17" s="24">
        <v>1.0590000000000002E-7</v>
      </c>
      <c r="H17" s="24">
        <v>2.3899999999999999E-8</v>
      </c>
      <c r="I17" s="24">
        <v>5.0340000000000002E-7</v>
      </c>
      <c r="J17" s="24">
        <v>7.8600000000000002E-8</v>
      </c>
      <c r="K17" s="24">
        <v>1.704</v>
      </c>
      <c r="L17" s="24">
        <v>1.704</v>
      </c>
      <c r="M17" s="24">
        <v>4.7580000000000004E-2</v>
      </c>
      <c r="N17" s="25">
        <v>2.6360000000000001</v>
      </c>
      <c r="O17" s="25">
        <v>1.6159999999999999E-7</v>
      </c>
      <c r="P17" s="25">
        <v>1.575E-7</v>
      </c>
    </row>
    <row r="18" spans="1:16" s="20" customFormat="1" x14ac:dyDescent="0.25">
      <c r="A18" s="21"/>
      <c r="B18" s="22">
        <v>41</v>
      </c>
      <c r="C18" s="26" t="s">
        <v>50</v>
      </c>
      <c r="D18" s="26" t="s">
        <v>51</v>
      </c>
      <c r="E18" s="22">
        <v>1</v>
      </c>
      <c r="F18" s="22">
        <v>0.3453</v>
      </c>
      <c r="G18" s="24">
        <v>5.3750000000000004E-7</v>
      </c>
      <c r="H18" s="24">
        <v>3.5100000000000003E-8</v>
      </c>
      <c r="I18" s="24">
        <v>1.7290000000000001E-6</v>
      </c>
      <c r="J18" s="24">
        <v>1.265E-7</v>
      </c>
      <c r="K18" s="24">
        <v>1.621</v>
      </c>
      <c r="L18" s="24">
        <v>1.621</v>
      </c>
      <c r="M18" s="24">
        <v>4.7280000000000003E-2</v>
      </c>
      <c r="N18" s="25">
        <v>2.512</v>
      </c>
      <c r="O18" s="25">
        <v>2.1400000000000001E-7</v>
      </c>
      <c r="P18" s="25">
        <v>7.0220000000000013E-7</v>
      </c>
    </row>
    <row r="19" spans="1:16" s="20" customFormat="1" x14ac:dyDescent="0.25">
      <c r="A19" s="21"/>
      <c r="B19" s="22">
        <v>52</v>
      </c>
      <c r="C19" s="26" t="s">
        <v>50</v>
      </c>
      <c r="D19" s="26" t="s">
        <v>51</v>
      </c>
      <c r="E19" s="22">
        <v>1</v>
      </c>
      <c r="F19" s="22">
        <v>0.34450000000000003</v>
      </c>
      <c r="G19" s="24">
        <v>1.0190000000000001E-7</v>
      </c>
      <c r="H19" s="24">
        <v>6.2600000000000005E-8</v>
      </c>
      <c r="I19" s="24">
        <v>5.791000000000001E-7</v>
      </c>
      <c r="J19" s="24">
        <v>2.6950000000000002E-7</v>
      </c>
      <c r="K19" s="24">
        <v>1.59</v>
      </c>
      <c r="L19" s="24">
        <v>1.59</v>
      </c>
      <c r="M19" s="24">
        <v>4.7420000000000004E-2</v>
      </c>
      <c r="N19" s="25">
        <v>2.4590000000000001</v>
      </c>
      <c r="O19" s="25">
        <v>1.9990000000000004E-7</v>
      </c>
      <c r="P19" s="25">
        <v>1.8060000000000002E-7</v>
      </c>
    </row>
    <row r="20" spans="1:16" s="20" customFormat="1" x14ac:dyDescent="0.25">
      <c r="A20" s="21"/>
      <c r="B20" s="22">
        <v>58</v>
      </c>
      <c r="C20" s="26" t="s">
        <v>50</v>
      </c>
      <c r="D20" s="26" t="s">
        <v>51</v>
      </c>
      <c r="E20" s="22">
        <v>1</v>
      </c>
      <c r="F20" s="22">
        <v>0.32339999999999997</v>
      </c>
      <c r="G20" s="24">
        <v>7.7800000000000008E-8</v>
      </c>
      <c r="H20" s="24">
        <v>2E-8</v>
      </c>
      <c r="I20" s="24">
        <v>3.6480000000000004E-7</v>
      </c>
      <c r="J20" s="24">
        <v>7.9200000000000008E-8</v>
      </c>
      <c r="K20" s="24">
        <v>1.669</v>
      </c>
      <c r="L20" s="24">
        <v>1.669</v>
      </c>
      <c r="M20" s="24">
        <v>4.8250000000000001E-2</v>
      </c>
      <c r="N20" s="25">
        <v>2.589</v>
      </c>
      <c r="O20" s="25">
        <v>1.5809999999999999E-7</v>
      </c>
      <c r="P20" s="25">
        <v>1.1170000000000001E-7</v>
      </c>
    </row>
    <row r="21" spans="1:16" s="20" customFormat="1" x14ac:dyDescent="0.25">
      <c r="A21" s="21"/>
      <c r="B21" s="22">
        <v>60</v>
      </c>
      <c r="C21" s="26" t="s">
        <v>50</v>
      </c>
      <c r="D21" s="26" t="s">
        <v>51</v>
      </c>
      <c r="E21" s="22">
        <v>1</v>
      </c>
      <c r="F21" s="22">
        <v>0.33089999999999997</v>
      </c>
      <c r="G21" s="24">
        <v>6.4000000000000004E-8</v>
      </c>
      <c r="H21" s="24">
        <v>2.2500000000000003E-8</v>
      </c>
      <c r="I21" s="24">
        <v>3.1320000000000003E-7</v>
      </c>
      <c r="J21" s="24">
        <v>9.0000000000000012E-8</v>
      </c>
      <c r="K21" s="24">
        <v>1.605</v>
      </c>
      <c r="L21" s="24">
        <v>1.605</v>
      </c>
      <c r="M21" s="24">
        <v>4.7710000000000002E-2</v>
      </c>
      <c r="N21" s="25">
        <v>2.508</v>
      </c>
      <c r="O21" s="25">
        <v>1.5680000000000003E-7</v>
      </c>
      <c r="P21" s="25">
        <v>9.46E-8</v>
      </c>
    </row>
    <row r="22" spans="1:16" s="20" customFormat="1" x14ac:dyDescent="0.25">
      <c r="A22" s="21"/>
      <c r="B22" s="22">
        <v>61</v>
      </c>
      <c r="C22" s="26" t="s">
        <v>50</v>
      </c>
      <c r="D22" s="26" t="s">
        <v>51</v>
      </c>
      <c r="E22" s="22">
        <v>1</v>
      </c>
      <c r="F22" s="22">
        <v>0.33730000000000004</v>
      </c>
      <c r="G22" s="24">
        <v>1.4880000000000001E-7</v>
      </c>
      <c r="H22" s="24">
        <v>3.2900000000000003E-8</v>
      </c>
      <c r="I22" s="24">
        <v>8.3670000000000007E-7</v>
      </c>
      <c r="J22" s="24">
        <v>1.103E-7</v>
      </c>
      <c r="K22" s="24">
        <v>1.593</v>
      </c>
      <c r="L22" s="24">
        <v>1.593</v>
      </c>
      <c r="M22" s="24">
        <v>4.7280000000000003E-2</v>
      </c>
      <c r="N22" s="25">
        <v>2.4790000000000001</v>
      </c>
      <c r="O22" s="25">
        <v>1.9010000000000001E-7</v>
      </c>
      <c r="P22" s="25">
        <v>2.3290000000000003E-7</v>
      </c>
    </row>
    <row r="23" spans="1:16" s="20" customFormat="1" x14ac:dyDescent="0.25">
      <c r="A23" s="21"/>
      <c r="B23" s="22">
        <v>64</v>
      </c>
      <c r="C23" s="26" t="s">
        <v>50</v>
      </c>
      <c r="D23" s="26" t="s">
        <v>51</v>
      </c>
      <c r="E23" s="22">
        <v>1</v>
      </c>
      <c r="F23" s="22">
        <v>0.36370000000000002</v>
      </c>
      <c r="G23" s="24">
        <v>1.6320000000000001E-7</v>
      </c>
      <c r="H23" s="24">
        <v>3.2100000000000003E-8</v>
      </c>
      <c r="I23" s="24">
        <v>8.8570000000000005E-7</v>
      </c>
      <c r="J23" s="24">
        <v>7.3700000000000005E-8</v>
      </c>
      <c r="K23" s="24">
        <v>1.64</v>
      </c>
      <c r="L23" s="24">
        <v>1.64</v>
      </c>
      <c r="M23" s="24">
        <v>4.879E-2</v>
      </c>
      <c r="N23" s="25">
        <v>2.5680000000000001</v>
      </c>
      <c r="O23" s="25">
        <v>1.8490000000000002E-7</v>
      </c>
      <c r="P23" s="25">
        <v>2.6670000000000003E-7</v>
      </c>
    </row>
    <row r="24" spans="1:16" s="20" customFormat="1" x14ac:dyDescent="0.25">
      <c r="A24" s="21"/>
      <c r="B24" s="22">
        <v>65</v>
      </c>
      <c r="C24" s="26" t="s">
        <v>50</v>
      </c>
      <c r="D24" s="26" t="s">
        <v>51</v>
      </c>
      <c r="E24" s="22">
        <v>1</v>
      </c>
      <c r="F24" s="22">
        <v>0.34500000000000003</v>
      </c>
      <c r="G24" s="24">
        <v>6.6000000000000009E-8</v>
      </c>
      <c r="H24" s="24">
        <v>2.7800000000000004E-8</v>
      </c>
      <c r="I24" s="24">
        <v>3.0569999999999999E-7</v>
      </c>
      <c r="J24" s="24">
        <v>1.5000000000000002E-7</v>
      </c>
      <c r="K24" s="24">
        <v>1.5549999999999999</v>
      </c>
      <c r="L24" s="24">
        <v>1.5549999999999999</v>
      </c>
      <c r="M24" s="24">
        <v>4.7439999999999996E-2</v>
      </c>
      <c r="N24" s="25">
        <v>2.427</v>
      </c>
      <c r="O24" s="25">
        <v>1.8950000000000002E-7</v>
      </c>
      <c r="P24" s="25">
        <v>9.6000000000000013E-8</v>
      </c>
    </row>
    <row r="25" spans="1:16" s="20" customFormat="1" x14ac:dyDescent="0.25">
      <c r="A25" s="21"/>
      <c r="B25" s="22">
        <v>69</v>
      </c>
      <c r="C25" s="26" t="s">
        <v>50</v>
      </c>
      <c r="D25" s="26" t="s">
        <v>51</v>
      </c>
      <c r="E25" s="22">
        <v>1</v>
      </c>
      <c r="F25" s="22">
        <v>0.33760000000000001</v>
      </c>
      <c r="G25" s="24">
        <v>1.1320000000000001E-7</v>
      </c>
      <c r="H25" s="24">
        <v>2.5700000000000002E-8</v>
      </c>
      <c r="I25" s="24">
        <v>1.1009999999999999E-6</v>
      </c>
      <c r="J25" s="24">
        <v>9.1200000000000009E-8</v>
      </c>
      <c r="K25" s="24">
        <v>1.7150000000000001</v>
      </c>
      <c r="L25" s="24">
        <v>1.7150000000000001</v>
      </c>
      <c r="M25" s="24">
        <v>4.7689999999999996E-2</v>
      </c>
      <c r="N25" s="25">
        <v>2.629</v>
      </c>
      <c r="O25" s="25">
        <v>1.691E-7</v>
      </c>
      <c r="P25" s="25">
        <v>2.2440000000000002E-7</v>
      </c>
    </row>
    <row r="26" spans="1:16" s="20" customFormat="1" x14ac:dyDescent="0.25">
      <c r="A26" s="21"/>
      <c r="B26" s="22">
        <v>78</v>
      </c>
      <c r="C26" s="26" t="s">
        <v>50</v>
      </c>
      <c r="D26" s="26" t="s">
        <v>51</v>
      </c>
      <c r="E26" s="22">
        <v>1</v>
      </c>
      <c r="F26" s="22">
        <v>0.33910000000000001</v>
      </c>
      <c r="G26" s="24">
        <v>8.8400000000000011E-8</v>
      </c>
      <c r="H26" s="24">
        <v>2.3600000000000003E-8</v>
      </c>
      <c r="I26" s="24">
        <v>4.6680000000000002E-7</v>
      </c>
      <c r="J26" s="24">
        <v>6.1200000000000005E-8</v>
      </c>
      <c r="K26" s="24">
        <v>1.63</v>
      </c>
      <c r="L26" s="24">
        <v>1.63</v>
      </c>
      <c r="M26" s="24">
        <v>4.7450000000000006E-2</v>
      </c>
      <c r="N26" s="25">
        <v>2.5510000000000002</v>
      </c>
      <c r="O26" s="25">
        <v>1.5730000000000001E-7</v>
      </c>
      <c r="P26" s="25">
        <v>1.4180000000000001E-7</v>
      </c>
    </row>
    <row r="27" spans="1:16" s="20" customFormat="1" x14ac:dyDescent="0.25">
      <c r="A27" s="21"/>
      <c r="B27" s="22">
        <v>79</v>
      </c>
      <c r="C27" s="26" t="s">
        <v>50</v>
      </c>
      <c r="D27" s="26" t="s">
        <v>51</v>
      </c>
      <c r="E27" s="22">
        <v>1</v>
      </c>
      <c r="F27" s="22">
        <v>0.32719999999999999</v>
      </c>
      <c r="G27" s="24">
        <v>3.2910000000000006E-7</v>
      </c>
      <c r="H27" s="24">
        <v>4.0700000000000007E-8</v>
      </c>
      <c r="I27" s="24">
        <v>1.6269999999999998E-6</v>
      </c>
      <c r="J27" s="24">
        <v>1.4640000000000001E-7</v>
      </c>
      <c r="K27" s="24">
        <v>1.891</v>
      </c>
      <c r="L27" s="24">
        <v>1.891</v>
      </c>
      <c r="M27" s="24">
        <v>4.7719999999999999E-2</v>
      </c>
      <c r="N27" s="25">
        <v>2.8279999999999998</v>
      </c>
      <c r="O27" s="25">
        <v>2.252E-7</v>
      </c>
      <c r="P27" s="25">
        <v>4.9260000000000006E-7</v>
      </c>
    </row>
    <row r="28" spans="1:16" s="20" customFormat="1" x14ac:dyDescent="0.25">
      <c r="A28" s="21"/>
      <c r="B28" s="22">
        <v>80</v>
      </c>
      <c r="C28" s="26" t="s">
        <v>50</v>
      </c>
      <c r="D28" s="27" t="s">
        <v>51</v>
      </c>
      <c r="E28" s="22">
        <v>1</v>
      </c>
      <c r="F28" s="22">
        <v>0.3765</v>
      </c>
      <c r="G28" s="24">
        <v>1.2179999999999999E-7</v>
      </c>
      <c r="H28" s="24">
        <v>6.2299999999999995E-8</v>
      </c>
      <c r="I28" s="24">
        <v>5.5120000000000012E-7</v>
      </c>
      <c r="J28" s="24">
        <v>2.3870000000000004E-7</v>
      </c>
      <c r="K28" s="24">
        <v>1.6180000000000001</v>
      </c>
      <c r="L28" s="24">
        <v>1.6180000000000001</v>
      </c>
      <c r="M28" s="24">
        <v>4.7899999999999998E-2</v>
      </c>
      <c r="N28" s="25">
        <v>2.468</v>
      </c>
      <c r="O28" s="25">
        <v>3.6470000000000003E-7</v>
      </c>
      <c r="P28" s="25">
        <v>1.7400000000000002E-7</v>
      </c>
    </row>
    <row r="29" spans="1:16" x14ac:dyDescent="0.25">
      <c r="B29" s="22">
        <v>83</v>
      </c>
      <c r="C29" s="26" t="s">
        <v>50</v>
      </c>
      <c r="D29" s="26" t="s">
        <v>51</v>
      </c>
      <c r="E29" s="22">
        <v>1</v>
      </c>
      <c r="F29" s="22">
        <v>0.35170000000000001</v>
      </c>
      <c r="G29" s="24">
        <v>1.5060000000000001E-7</v>
      </c>
      <c r="H29" s="24">
        <v>3.9300000000000001E-8</v>
      </c>
      <c r="I29" s="24">
        <v>1.8929999999999999E-6</v>
      </c>
      <c r="J29" s="24">
        <v>1.8240000000000002E-7</v>
      </c>
      <c r="K29" s="24">
        <v>1.69</v>
      </c>
      <c r="L29" s="24">
        <v>1.69</v>
      </c>
      <c r="M29" s="24">
        <v>4.793E-2</v>
      </c>
      <c r="N29" s="24">
        <v>2.569</v>
      </c>
      <c r="O29" s="24">
        <v>2.3490000000000002E-7</v>
      </c>
      <c r="P29" s="24">
        <v>2.9480000000000002E-7</v>
      </c>
    </row>
    <row r="30" spans="1:16" x14ac:dyDescent="0.25">
      <c r="B30" s="22">
        <v>85</v>
      </c>
      <c r="C30" s="26" t="s">
        <v>50</v>
      </c>
      <c r="D30" s="27" t="s">
        <v>51</v>
      </c>
      <c r="E30" s="22">
        <v>1</v>
      </c>
      <c r="F30" s="22">
        <v>0.34689999999999999</v>
      </c>
      <c r="G30" s="24">
        <v>6.2600000000000005E-8</v>
      </c>
      <c r="H30" s="24">
        <v>2.6100000000000002E-8</v>
      </c>
      <c r="I30" s="24">
        <v>2.7739999999999998E-7</v>
      </c>
      <c r="J30" s="24">
        <v>1.4190000000000002E-7</v>
      </c>
      <c r="K30" s="24">
        <v>1.554</v>
      </c>
      <c r="L30" s="24">
        <v>1.554</v>
      </c>
      <c r="M30" s="24">
        <v>4.7350000000000003E-2</v>
      </c>
      <c r="N30" s="24">
        <v>2.4220000000000002</v>
      </c>
      <c r="O30" s="24">
        <v>1.8280000000000002E-7</v>
      </c>
      <c r="P30" s="24">
        <v>8.6700000000000002E-8</v>
      </c>
    </row>
    <row r="31" spans="1:16" x14ac:dyDescent="0.25">
      <c r="B31" s="22">
        <v>86</v>
      </c>
      <c r="C31" s="26" t="s">
        <v>50</v>
      </c>
      <c r="D31" s="26" t="s">
        <v>51</v>
      </c>
      <c r="E31" s="22">
        <v>1</v>
      </c>
      <c r="F31" s="22">
        <v>0.33560000000000001</v>
      </c>
      <c r="G31" s="24">
        <v>6.8900000000000015E-8</v>
      </c>
      <c r="H31" s="24">
        <v>2.1300000000000002E-8</v>
      </c>
      <c r="I31" s="24">
        <v>3.3150000000000002E-7</v>
      </c>
      <c r="J31" s="24">
        <v>8.3000000000000002E-8</v>
      </c>
      <c r="K31" s="24">
        <v>1.61</v>
      </c>
      <c r="L31" s="24">
        <v>1.61</v>
      </c>
      <c r="M31" s="24">
        <v>4.7850000000000004E-2</v>
      </c>
      <c r="N31" s="24">
        <v>2.508</v>
      </c>
      <c r="O31" s="24">
        <v>1.5510000000000001E-7</v>
      </c>
      <c r="P31" s="24">
        <v>9.5400000000000007E-8</v>
      </c>
    </row>
    <row r="32" spans="1:16" x14ac:dyDescent="0.25">
      <c r="B32" s="22">
        <v>88</v>
      </c>
      <c r="C32" s="26" t="s">
        <v>50</v>
      </c>
      <c r="D32" s="26" t="s">
        <v>51</v>
      </c>
      <c r="E32" s="22">
        <v>1</v>
      </c>
      <c r="F32" s="22">
        <v>0.34179999999999999</v>
      </c>
      <c r="G32" s="24">
        <v>5.8800000000000004E-8</v>
      </c>
      <c r="H32" s="24">
        <v>2.7600000000000002E-8</v>
      </c>
      <c r="I32" s="24">
        <v>2.607E-7</v>
      </c>
      <c r="J32" s="24">
        <v>1.35E-7</v>
      </c>
      <c r="K32" s="24">
        <v>1.554</v>
      </c>
      <c r="L32" s="24">
        <v>1.554</v>
      </c>
      <c r="M32" s="24">
        <v>4.7170000000000004E-2</v>
      </c>
      <c r="N32" s="24">
        <v>2.4279999999999999</v>
      </c>
      <c r="O32" s="24">
        <v>1.8290000000000003E-7</v>
      </c>
      <c r="P32" s="24">
        <v>3.5970000000000002E-7</v>
      </c>
    </row>
    <row r="33" spans="2:16" x14ac:dyDescent="0.25">
      <c r="B33" s="22">
        <v>89</v>
      </c>
      <c r="C33" s="26" t="s">
        <v>50</v>
      </c>
      <c r="D33" s="26" t="s">
        <v>51</v>
      </c>
      <c r="E33" s="22">
        <v>1</v>
      </c>
      <c r="F33" s="22">
        <v>0.3659</v>
      </c>
      <c r="G33" s="24">
        <v>1.047E-7</v>
      </c>
      <c r="H33" s="24">
        <v>4.9600000000000007E-8</v>
      </c>
      <c r="I33" s="24">
        <v>5.0980000000000008E-7</v>
      </c>
      <c r="J33" s="24">
        <v>1.8220000000000003E-7</v>
      </c>
      <c r="K33" s="24">
        <v>1.5940000000000001</v>
      </c>
      <c r="L33" s="24">
        <v>1.5940000000000001</v>
      </c>
      <c r="M33" s="24">
        <v>4.9500000000000002E-2</v>
      </c>
      <c r="N33" s="24">
        <v>2.4329999999999998</v>
      </c>
      <c r="O33" s="24">
        <v>3.2830000000000005E-7</v>
      </c>
      <c r="P33" s="24">
        <v>1.5880000000000002E-7</v>
      </c>
    </row>
    <row r="34" spans="2:16" x14ac:dyDescent="0.25">
      <c r="B34" s="22">
        <v>91</v>
      </c>
      <c r="C34" s="26" t="s">
        <v>50</v>
      </c>
      <c r="D34" s="27" t="s">
        <v>51</v>
      </c>
      <c r="E34" s="22">
        <v>1</v>
      </c>
      <c r="F34" s="22">
        <v>0.3624</v>
      </c>
      <c r="G34" s="24">
        <v>1.08E-7</v>
      </c>
      <c r="H34" s="24">
        <v>2.85E-8</v>
      </c>
      <c r="I34" s="24">
        <v>6.3150000000000001E-7</v>
      </c>
      <c r="J34" s="24">
        <v>9.6200000000000014E-8</v>
      </c>
      <c r="K34" s="24">
        <v>1.7130000000000001</v>
      </c>
      <c r="L34" s="24">
        <v>1.7130000000000001</v>
      </c>
      <c r="M34" s="24">
        <v>4.8530000000000004E-2</v>
      </c>
      <c r="N34" s="24">
        <v>2.621</v>
      </c>
      <c r="O34" s="24">
        <v>1.726E-7</v>
      </c>
      <c r="P34" s="24">
        <v>1.6610000000000001E-7</v>
      </c>
    </row>
    <row r="35" spans="2:16" x14ac:dyDescent="0.25">
      <c r="B35" s="22">
        <v>96</v>
      </c>
      <c r="C35" s="26" t="s">
        <v>50</v>
      </c>
      <c r="D35" s="27" t="s">
        <v>51</v>
      </c>
      <c r="E35" s="22">
        <v>1</v>
      </c>
      <c r="F35" s="22">
        <v>0.35510000000000003</v>
      </c>
      <c r="G35" s="24">
        <v>7.1800000000000008E-8</v>
      </c>
      <c r="H35" s="24">
        <v>2.4100000000000004E-8</v>
      </c>
      <c r="I35" s="24">
        <v>4.1740000000000002E-7</v>
      </c>
      <c r="J35" s="24">
        <v>9.050000000000001E-8</v>
      </c>
      <c r="K35" s="24">
        <v>1.552</v>
      </c>
      <c r="L35" s="24">
        <v>1.552</v>
      </c>
      <c r="M35" s="24">
        <v>4.7559999999999998E-2</v>
      </c>
      <c r="N35" s="24">
        <v>2.4279999999999999</v>
      </c>
      <c r="O35" s="24">
        <v>1.6190000000000001E-7</v>
      </c>
      <c r="P35" s="24">
        <v>1.068E-7</v>
      </c>
    </row>
    <row r="36" spans="2:16" x14ac:dyDescent="0.25">
      <c r="B36" s="22">
        <v>97</v>
      </c>
      <c r="C36" s="26" t="s">
        <v>50</v>
      </c>
      <c r="D36" s="26" t="s">
        <v>51</v>
      </c>
      <c r="E36" s="22">
        <v>1</v>
      </c>
      <c r="F36" s="22">
        <v>0.33850000000000002</v>
      </c>
      <c r="G36" s="24">
        <v>2.7220000000000002E-7</v>
      </c>
      <c r="H36" s="24">
        <v>5.0000000000000004E-8</v>
      </c>
      <c r="I36" s="24">
        <v>1.8700000000000001E-6</v>
      </c>
      <c r="J36" s="24">
        <v>1.6E-7</v>
      </c>
      <c r="K36" s="24">
        <v>1.655</v>
      </c>
      <c r="L36" s="24">
        <v>1.655</v>
      </c>
      <c r="M36" s="24">
        <v>4.7890000000000002E-2</v>
      </c>
      <c r="N36" s="24">
        <v>2.5630000000000002</v>
      </c>
      <c r="O36" s="24">
        <v>2.7080000000000002E-7</v>
      </c>
      <c r="P36" s="24">
        <v>4.9380000000000004E-7</v>
      </c>
    </row>
    <row r="37" spans="2:16" x14ac:dyDescent="0.25">
      <c r="B37" s="22">
        <v>99</v>
      </c>
      <c r="C37" s="26" t="s">
        <v>50</v>
      </c>
      <c r="D37" s="26" t="s">
        <v>51</v>
      </c>
      <c r="E37" s="22">
        <v>1</v>
      </c>
      <c r="F37" s="22">
        <v>0.34460000000000002</v>
      </c>
      <c r="G37" s="24">
        <v>1.135E-7</v>
      </c>
      <c r="H37" s="24">
        <v>3.1400000000000003E-8</v>
      </c>
      <c r="I37" s="24">
        <v>1.1200000000000001E-6</v>
      </c>
      <c r="J37" s="24">
        <v>1.173E-7</v>
      </c>
      <c r="K37" s="24">
        <v>1.5669999999999999</v>
      </c>
      <c r="L37" s="24">
        <v>1.5669999999999999</v>
      </c>
      <c r="M37" s="24">
        <v>4.7890000000000002E-2</v>
      </c>
      <c r="N37" s="24">
        <v>2.4529999999999998</v>
      </c>
      <c r="O37" s="24">
        <v>1.8930000000000003E-7</v>
      </c>
      <c r="P37" s="24">
        <v>1.9350000000000001E-7</v>
      </c>
    </row>
    <row r="38" spans="2:16" x14ac:dyDescent="0.25">
      <c r="B38" s="22">
        <v>102</v>
      </c>
      <c r="C38" s="26" t="s">
        <v>50</v>
      </c>
      <c r="D38" s="26" t="s">
        <v>51</v>
      </c>
      <c r="E38" s="22">
        <v>1</v>
      </c>
      <c r="F38" s="22">
        <v>0.34179999999999999</v>
      </c>
      <c r="G38" s="24">
        <v>1.4050000000000002E-7</v>
      </c>
      <c r="H38" s="24">
        <v>3.7299999999999997E-8</v>
      </c>
      <c r="I38" s="24">
        <v>1.44E-6</v>
      </c>
      <c r="J38" s="24">
        <v>1.4350000000000001E-7</v>
      </c>
      <c r="K38" s="24">
        <v>1.5820000000000001</v>
      </c>
      <c r="L38" s="24">
        <v>1.5820000000000001</v>
      </c>
      <c r="M38" s="24">
        <v>4.8020000000000007E-2</v>
      </c>
      <c r="N38" s="24">
        <v>2.4630000000000001</v>
      </c>
      <c r="O38" s="24">
        <v>2.1900000000000002E-7</v>
      </c>
      <c r="P38" s="24">
        <v>3.0520000000000001E-7</v>
      </c>
    </row>
    <row r="39" spans="2:16" x14ac:dyDescent="0.25">
      <c r="B39" s="22">
        <v>103</v>
      </c>
      <c r="C39" s="26" t="s">
        <v>50</v>
      </c>
      <c r="D39" s="26" t="s">
        <v>51</v>
      </c>
      <c r="E39" s="22">
        <v>1</v>
      </c>
      <c r="F39" s="22">
        <v>0.34620000000000001</v>
      </c>
      <c r="G39" s="24">
        <v>7.0900000000000006E-8</v>
      </c>
      <c r="H39" s="24">
        <v>2.9400000000000002E-8</v>
      </c>
      <c r="I39" s="24">
        <v>7.9570000000000006E-7</v>
      </c>
      <c r="J39" s="24">
        <v>1.6610000000000001E-7</v>
      </c>
      <c r="K39" s="24">
        <v>1.5569999999999999</v>
      </c>
      <c r="L39" s="24">
        <v>1.5569999999999999</v>
      </c>
      <c r="M39" s="24">
        <v>4.7689999999999996E-2</v>
      </c>
      <c r="N39" s="24">
        <v>2.4209999999999998</v>
      </c>
      <c r="O39" s="24">
        <v>2.037E-7</v>
      </c>
      <c r="P39" s="24">
        <v>1.2880000000000002E-7</v>
      </c>
    </row>
    <row r="40" spans="2:16" x14ac:dyDescent="0.25">
      <c r="B40" s="22">
        <v>104</v>
      </c>
      <c r="C40" s="26" t="s">
        <v>50</v>
      </c>
      <c r="D40" s="26" t="s">
        <v>51</v>
      </c>
      <c r="E40" s="22">
        <v>1</v>
      </c>
      <c r="F40" s="22">
        <v>2.4340000000000001E-2</v>
      </c>
      <c r="G40" s="24">
        <v>8.9000000000000003E-8</v>
      </c>
      <c r="H40" s="24">
        <v>2.0500000000000002E-8</v>
      </c>
      <c r="I40" s="24">
        <v>4.4100000000000004E-7</v>
      </c>
      <c r="J40" s="24">
        <v>6.0399999999999998E-8</v>
      </c>
      <c r="K40" s="24">
        <v>1.609</v>
      </c>
      <c r="L40" s="24">
        <v>1.609</v>
      </c>
      <c r="M40" s="24">
        <v>4.725E-2</v>
      </c>
      <c r="N40" s="24">
        <v>2.524</v>
      </c>
      <c r="O40" s="24">
        <v>1.4919999999999999E-7</v>
      </c>
      <c r="P40" s="24">
        <v>1.346E-7</v>
      </c>
    </row>
    <row r="41" spans="2:16" x14ac:dyDescent="0.25">
      <c r="B41" s="22">
        <v>105</v>
      </c>
      <c r="C41" s="26" t="s">
        <v>50</v>
      </c>
      <c r="D41" s="26" t="s">
        <v>51</v>
      </c>
      <c r="E41" s="22">
        <v>1</v>
      </c>
      <c r="F41" s="22">
        <v>0.36149999999999999</v>
      </c>
      <c r="G41" s="24">
        <v>1.6519999999999998E-6</v>
      </c>
      <c r="H41" s="24">
        <v>6.8900000000000015E-8</v>
      </c>
      <c r="I41" s="24">
        <v>2.0389999999999999E-6</v>
      </c>
      <c r="J41" s="24">
        <v>2.0840000000000001E-7</v>
      </c>
      <c r="K41" s="24">
        <v>1.704</v>
      </c>
      <c r="L41" s="24">
        <v>1.704</v>
      </c>
      <c r="M41" s="24">
        <v>4.8130000000000006E-2</v>
      </c>
      <c r="N41" s="24">
        <v>2.6589999999999998</v>
      </c>
      <c r="O41" s="24">
        <v>3.1280000000000005E-7</v>
      </c>
      <c r="P41" s="24">
        <v>1.3839999999999998E-6</v>
      </c>
    </row>
    <row r="42" spans="2:16" x14ac:dyDescent="0.25">
      <c r="B42" s="22">
        <v>106</v>
      </c>
      <c r="C42" s="26" t="s">
        <v>50</v>
      </c>
      <c r="D42" s="26" t="s">
        <v>51</v>
      </c>
      <c r="E42" s="22">
        <v>1</v>
      </c>
      <c r="F42" s="22">
        <v>0.35039999999999999</v>
      </c>
      <c r="G42" s="24">
        <v>1.1530000000000001E-7</v>
      </c>
      <c r="H42" s="24">
        <v>5.0500000000000002E-8</v>
      </c>
      <c r="I42" s="24">
        <v>5.4460000000000005E-7</v>
      </c>
      <c r="J42" s="24">
        <v>1.5870000000000001E-7</v>
      </c>
      <c r="K42" s="24">
        <v>1.6319999999999999</v>
      </c>
      <c r="L42" s="24">
        <v>1.6319999999999999</v>
      </c>
      <c r="M42" s="24">
        <v>4.7869999999999996E-2</v>
      </c>
      <c r="N42" s="24">
        <v>2.4980000000000002</v>
      </c>
      <c r="O42" s="24">
        <v>3.1900000000000004E-7</v>
      </c>
      <c r="P42" s="24">
        <v>1.7180000000000002E-7</v>
      </c>
    </row>
    <row r="43" spans="2:16" x14ac:dyDescent="0.25">
      <c r="B43" s="22">
        <v>108</v>
      </c>
      <c r="C43" s="26" t="s">
        <v>50</v>
      </c>
      <c r="D43" s="26" t="s">
        <v>51</v>
      </c>
      <c r="E43" s="22">
        <v>1</v>
      </c>
      <c r="F43" s="22">
        <v>0.35710000000000003</v>
      </c>
      <c r="G43" s="24">
        <v>6.8400000000000004E-8</v>
      </c>
      <c r="H43" s="24">
        <v>2.3300000000000003E-8</v>
      </c>
      <c r="I43" s="24">
        <v>4.0139999999999998E-7</v>
      </c>
      <c r="J43" s="24">
        <v>9.9900000000000014E-8</v>
      </c>
      <c r="K43" s="24">
        <v>1.5780000000000001</v>
      </c>
      <c r="L43" s="24">
        <v>1.5780000000000001</v>
      </c>
      <c r="M43" s="24">
        <v>4.7219999999999998E-2</v>
      </c>
      <c r="N43" s="24">
        <v>2.4540000000000002</v>
      </c>
      <c r="O43" s="24">
        <v>1.6190000000000001E-7</v>
      </c>
      <c r="P43" s="24">
        <v>1.14E-7</v>
      </c>
    </row>
    <row r="44" spans="2:16" x14ac:dyDescent="0.25">
      <c r="B44" s="22">
        <v>109</v>
      </c>
      <c r="C44" s="26" t="s">
        <v>50</v>
      </c>
      <c r="D44" s="26" t="s">
        <v>51</v>
      </c>
      <c r="E44" s="22">
        <v>1</v>
      </c>
      <c r="F44" s="22">
        <v>0.34329999999999999</v>
      </c>
      <c r="G44" s="24">
        <v>3.4350000000000003E-7</v>
      </c>
      <c r="H44" s="24">
        <v>5.8200000000000005E-8</v>
      </c>
      <c r="I44" s="24">
        <v>2.0619999999999999E-6</v>
      </c>
      <c r="J44" s="24">
        <v>1.9250000000000001E-7</v>
      </c>
      <c r="K44" s="24">
        <v>1.6679999999999999</v>
      </c>
      <c r="L44" s="24">
        <v>1.6679999999999999</v>
      </c>
      <c r="M44" s="24">
        <v>4.7729999999999995E-2</v>
      </c>
      <c r="N44" s="24">
        <v>2.5760000000000001</v>
      </c>
      <c r="O44" s="24">
        <v>3.0880000000000001E-7</v>
      </c>
      <c r="P44" s="24">
        <v>7.4740000000000004E-7</v>
      </c>
    </row>
    <row r="45" spans="2:16" x14ac:dyDescent="0.25">
      <c r="B45" s="22">
        <v>113</v>
      </c>
      <c r="C45" s="26" t="s">
        <v>50</v>
      </c>
      <c r="D45" s="26" t="s">
        <v>51</v>
      </c>
      <c r="E45" s="22">
        <v>1</v>
      </c>
      <c r="F45" s="22">
        <v>0.34570000000000001</v>
      </c>
      <c r="G45" s="24">
        <v>7.4299999999999997E-8</v>
      </c>
      <c r="H45" s="24">
        <v>2.07E-8</v>
      </c>
      <c r="I45" s="24">
        <v>3.6189999999999998E-7</v>
      </c>
      <c r="J45" s="24">
        <v>6.2700000000000012E-8</v>
      </c>
      <c r="K45" s="24">
        <v>1.5820000000000001</v>
      </c>
      <c r="L45" s="24">
        <v>1.5820000000000001</v>
      </c>
      <c r="M45" s="24">
        <v>4.7149999999999997E-2</v>
      </c>
      <c r="N45" s="24">
        <v>2.4820000000000002</v>
      </c>
      <c r="O45" s="24">
        <v>1.4810000000000001E-7</v>
      </c>
      <c r="P45" s="24">
        <v>1.098E-7</v>
      </c>
    </row>
    <row r="46" spans="2:16" x14ac:dyDescent="0.25">
      <c r="B46" s="22">
        <v>115</v>
      </c>
      <c r="C46" s="26" t="s">
        <v>50</v>
      </c>
      <c r="D46" s="26" t="s">
        <v>51</v>
      </c>
      <c r="E46" s="22">
        <v>1</v>
      </c>
      <c r="F46" s="22">
        <v>0.3372</v>
      </c>
      <c r="G46" s="24">
        <v>3.3260000000000005E-7</v>
      </c>
      <c r="H46" s="24">
        <v>6.4900000000000005E-8</v>
      </c>
      <c r="I46" s="24">
        <v>1.7519999999999999E-6</v>
      </c>
      <c r="J46" s="24">
        <v>2.022E-7</v>
      </c>
      <c r="K46" s="24">
        <v>1.7070000000000001</v>
      </c>
      <c r="L46" s="24">
        <v>1.7070000000000001</v>
      </c>
      <c r="M46" s="24">
        <v>4.7560000000000005E-2</v>
      </c>
      <c r="N46" s="24">
        <v>2.6429999999999998</v>
      </c>
      <c r="O46" s="24">
        <v>3.2510000000000002E-7</v>
      </c>
      <c r="P46" s="24">
        <v>5.0860000000000009E-7</v>
      </c>
    </row>
    <row r="47" spans="2:16" x14ac:dyDescent="0.25">
      <c r="B47" s="22">
        <v>116</v>
      </c>
      <c r="C47" s="26" t="s">
        <v>50</v>
      </c>
      <c r="D47" s="27" t="s">
        <v>51</v>
      </c>
      <c r="E47" s="22">
        <v>1</v>
      </c>
      <c r="F47" s="22">
        <v>0.35760000000000003</v>
      </c>
      <c r="G47" s="24">
        <v>1.4770000000000001E-7</v>
      </c>
      <c r="H47" s="24">
        <v>2.8100000000000003E-8</v>
      </c>
      <c r="I47" s="24">
        <v>7.6620000000000007E-7</v>
      </c>
      <c r="J47" s="24">
        <v>6.6300000000000005E-8</v>
      </c>
      <c r="K47" s="24">
        <v>1.633</v>
      </c>
      <c r="L47" s="24">
        <v>1.633</v>
      </c>
      <c r="M47" s="24">
        <v>4.9360000000000001E-2</v>
      </c>
      <c r="N47" s="24">
        <v>2.5619999999999998</v>
      </c>
      <c r="O47" s="24">
        <v>1.741E-7</v>
      </c>
      <c r="P47" s="24">
        <v>2.4019999999999999E-7</v>
      </c>
    </row>
    <row r="48" spans="2:16" x14ac:dyDescent="0.25">
      <c r="B48" s="22">
        <v>119</v>
      </c>
      <c r="C48" s="26" t="s">
        <v>50</v>
      </c>
      <c r="D48" s="26" t="s">
        <v>51</v>
      </c>
      <c r="E48" s="22">
        <v>1</v>
      </c>
      <c r="F48" s="22">
        <v>0.34389999999999998</v>
      </c>
      <c r="G48" s="24">
        <v>2.1200000000000002E-7</v>
      </c>
      <c r="H48" s="24">
        <v>4.3200000000000003E-8</v>
      </c>
      <c r="I48" s="24">
        <v>1.0549999999999999E-6</v>
      </c>
      <c r="J48" s="24">
        <v>1.3340000000000002E-7</v>
      </c>
      <c r="K48" s="24">
        <v>1.6459999999999999</v>
      </c>
      <c r="L48" s="24">
        <v>1.6459999999999999</v>
      </c>
      <c r="M48" s="24">
        <v>4.7159999999999994E-2</v>
      </c>
      <c r="N48" s="24">
        <v>2.5609999999999999</v>
      </c>
      <c r="O48" s="24">
        <v>2.3850000000000002E-7</v>
      </c>
      <c r="P48" s="24">
        <v>3.3319999999999999E-7</v>
      </c>
    </row>
    <row r="49" spans="2:16" x14ac:dyDescent="0.25">
      <c r="B49" s="22">
        <v>121</v>
      </c>
      <c r="C49" s="26" t="s">
        <v>50</v>
      </c>
      <c r="D49" s="27" t="s">
        <v>51</v>
      </c>
      <c r="E49" s="22">
        <v>1</v>
      </c>
      <c r="F49" s="22">
        <v>0.34889999999999999</v>
      </c>
      <c r="G49" s="24">
        <v>8.9299999999999999E-8</v>
      </c>
      <c r="H49" s="24">
        <v>3.0500000000000002E-8</v>
      </c>
      <c r="I49" s="24">
        <v>1.0429999999999998E-6</v>
      </c>
      <c r="J49" s="24">
        <v>1.3490000000000002E-7</v>
      </c>
      <c r="K49" s="24">
        <v>1.5569999999999999</v>
      </c>
      <c r="L49" s="24">
        <v>1.5569999999999999</v>
      </c>
      <c r="M49" s="24">
        <v>4.8119999999999996E-2</v>
      </c>
      <c r="N49" s="24">
        <v>2.423</v>
      </c>
      <c r="O49" s="24">
        <v>1.9460000000000001E-7</v>
      </c>
      <c r="P49" s="24">
        <v>1.43E-7</v>
      </c>
    </row>
    <row r="50" spans="2:16" x14ac:dyDescent="0.25">
      <c r="B50" s="22">
        <v>123</v>
      </c>
      <c r="C50" s="26" t="s">
        <v>50</v>
      </c>
      <c r="D50" s="26" t="s">
        <v>51</v>
      </c>
      <c r="E50" s="22">
        <v>1</v>
      </c>
      <c r="F50" s="22">
        <v>0.33589999999999998</v>
      </c>
      <c r="G50" s="24">
        <v>1.3830000000000001E-7</v>
      </c>
      <c r="H50" s="24">
        <v>2.5399999999999999E-8</v>
      </c>
      <c r="I50" s="24">
        <v>7.1220000000000004E-7</v>
      </c>
      <c r="J50" s="24">
        <v>8.4400000000000015E-8</v>
      </c>
      <c r="K50" s="24">
        <v>1.776</v>
      </c>
      <c r="L50" s="24">
        <v>1.776</v>
      </c>
      <c r="M50" s="24">
        <v>4.7579999999999997E-2</v>
      </c>
      <c r="N50" s="24">
        <v>2.706</v>
      </c>
      <c r="O50" s="24">
        <v>1.7190000000000002E-7</v>
      </c>
      <c r="P50" s="24">
        <v>2.0980000000000001E-7</v>
      </c>
    </row>
    <row r="51" spans="2:16" x14ac:dyDescent="0.25">
      <c r="B51" s="22">
        <v>124</v>
      </c>
      <c r="C51" s="26" t="s">
        <v>50</v>
      </c>
      <c r="D51" s="27" t="s">
        <v>51</v>
      </c>
      <c r="E51" s="22">
        <v>1</v>
      </c>
      <c r="F51" s="22">
        <v>2.147E-2</v>
      </c>
      <c r="G51" s="24">
        <v>1.163E-7</v>
      </c>
      <c r="H51" s="24">
        <v>2.4699999999999999E-8</v>
      </c>
      <c r="I51" s="24">
        <v>5.7060000000000009E-7</v>
      </c>
      <c r="J51" s="24">
        <v>6.2299999999999995E-8</v>
      </c>
      <c r="K51" s="24">
        <v>1.615</v>
      </c>
      <c r="L51" s="24">
        <v>1.615</v>
      </c>
      <c r="M51" s="24">
        <v>4.7369999999999995E-2</v>
      </c>
      <c r="N51" s="24">
        <v>2.536</v>
      </c>
      <c r="O51" s="24">
        <v>1.606E-7</v>
      </c>
      <c r="P51" s="24">
        <v>1.755E-7</v>
      </c>
    </row>
    <row r="52" spans="2:16" x14ac:dyDescent="0.25">
      <c r="B52" s="22">
        <v>125</v>
      </c>
      <c r="C52" s="26" t="s">
        <v>50</v>
      </c>
      <c r="D52" s="26" t="s">
        <v>51</v>
      </c>
      <c r="E52" s="22">
        <v>1</v>
      </c>
      <c r="F52" s="22">
        <v>0.34639999999999999</v>
      </c>
      <c r="G52" s="24">
        <v>2.1269999999999999E-7</v>
      </c>
      <c r="H52" s="24">
        <v>4.9200000000000004E-8</v>
      </c>
      <c r="I52" s="24">
        <v>2.5280000000000002E-6</v>
      </c>
      <c r="J52" s="24">
        <v>2.1840000000000002E-7</v>
      </c>
      <c r="K52" s="24">
        <v>1.617</v>
      </c>
      <c r="L52" s="24">
        <v>1.617</v>
      </c>
      <c r="M52" s="24">
        <v>4.7979999999999995E-2</v>
      </c>
      <c r="N52" s="24">
        <v>2.5019999999999998</v>
      </c>
      <c r="O52" s="24">
        <v>2.8220000000000003E-7</v>
      </c>
      <c r="P52" s="24">
        <v>8.5130000000000001E-7</v>
      </c>
    </row>
    <row r="53" spans="2:16" x14ac:dyDescent="0.25">
      <c r="B53" s="22">
        <v>128</v>
      </c>
      <c r="C53" s="26" t="s">
        <v>50</v>
      </c>
      <c r="D53" s="26" t="s">
        <v>51</v>
      </c>
      <c r="E53" s="22">
        <v>1</v>
      </c>
      <c r="F53" s="22">
        <v>0.33739999999999998</v>
      </c>
      <c r="G53" s="24">
        <v>8.1400000000000014E-8</v>
      </c>
      <c r="H53" s="24">
        <v>2.9600000000000004E-8</v>
      </c>
      <c r="I53" s="24">
        <v>3.3690000000000001E-7</v>
      </c>
      <c r="J53" s="24">
        <v>1.5340000000000001E-7</v>
      </c>
      <c r="K53" s="24">
        <v>1.56</v>
      </c>
      <c r="L53" s="24">
        <v>1.56</v>
      </c>
      <c r="M53" s="24">
        <v>4.7160000000000001E-2</v>
      </c>
      <c r="N53" s="24">
        <v>2.4279999999999999</v>
      </c>
      <c r="O53" s="24">
        <v>1.9140000000000001E-7</v>
      </c>
      <c r="P53" s="24">
        <v>1.018E-7</v>
      </c>
    </row>
    <row r="54" spans="2:16" x14ac:dyDescent="0.25">
      <c r="B54" s="22">
        <v>130</v>
      </c>
      <c r="C54" s="26" t="s">
        <v>50</v>
      </c>
      <c r="D54" s="26" t="s">
        <v>51</v>
      </c>
      <c r="E54" s="22">
        <v>1</v>
      </c>
      <c r="F54" s="22">
        <v>0.33639999999999998</v>
      </c>
      <c r="G54" s="24">
        <v>7.6400000000000009E-8</v>
      </c>
      <c r="H54" s="24">
        <v>3.6100000000000006E-8</v>
      </c>
      <c r="I54" s="24">
        <v>4.0550000000000002E-7</v>
      </c>
      <c r="J54" s="24">
        <v>2.445E-7</v>
      </c>
      <c r="K54" s="24">
        <v>1.5669999999999999</v>
      </c>
      <c r="L54" s="24">
        <v>1.5669999999999999</v>
      </c>
      <c r="M54" s="24">
        <v>4.7530000000000003E-2</v>
      </c>
      <c r="N54" s="24">
        <v>2.4159999999999999</v>
      </c>
      <c r="O54" s="24">
        <v>2.4620000000000002E-7</v>
      </c>
      <c r="P54" s="24">
        <v>1.1160000000000001E-7</v>
      </c>
    </row>
    <row r="55" spans="2:16" x14ac:dyDescent="0.25">
      <c r="B55" s="22">
        <v>131</v>
      </c>
      <c r="C55" s="26" t="s">
        <v>50</v>
      </c>
      <c r="D55" s="26" t="s">
        <v>51</v>
      </c>
      <c r="E55" s="22">
        <v>1</v>
      </c>
      <c r="F55" s="22">
        <v>0.33089999999999997</v>
      </c>
      <c r="G55" s="24">
        <v>1.3340000000000002E-7</v>
      </c>
      <c r="H55" s="24">
        <v>4.7400000000000001E-8</v>
      </c>
      <c r="I55" s="24">
        <v>8.7170000000000006E-7</v>
      </c>
      <c r="J55" s="24">
        <v>2.8580000000000003E-7</v>
      </c>
      <c r="K55" s="24">
        <v>1.591</v>
      </c>
      <c r="L55" s="24">
        <v>1.591</v>
      </c>
      <c r="M55" s="24">
        <v>4.811E-2</v>
      </c>
      <c r="N55" s="24">
        <v>2.456</v>
      </c>
      <c r="O55" s="24">
        <v>3.1389999999999997E-7</v>
      </c>
      <c r="P55" s="24">
        <v>2.4130000000000002E-7</v>
      </c>
    </row>
    <row r="56" spans="2:16" x14ac:dyDescent="0.25">
      <c r="B56" s="22">
        <v>132</v>
      </c>
      <c r="C56" s="26" t="s">
        <v>50</v>
      </c>
      <c r="D56" s="26" t="s">
        <v>51</v>
      </c>
      <c r="E56" s="22">
        <v>1</v>
      </c>
      <c r="F56" s="22">
        <v>0.35139999999999999</v>
      </c>
      <c r="G56" s="24">
        <v>2.2010000000000002E-7</v>
      </c>
      <c r="H56" s="24">
        <v>4.4100000000000004E-8</v>
      </c>
      <c r="I56" s="24">
        <v>1.3340000000000001E-6</v>
      </c>
      <c r="J56" s="24">
        <v>1.6269999999999999E-7</v>
      </c>
      <c r="K56" s="24">
        <v>1.6220000000000001</v>
      </c>
      <c r="L56" s="24">
        <v>1.6220000000000001</v>
      </c>
      <c r="M56" s="24">
        <v>4.7369999999999995E-2</v>
      </c>
      <c r="N56" s="24">
        <v>2.496</v>
      </c>
      <c r="O56" s="24">
        <v>2.5320000000000002E-7</v>
      </c>
      <c r="P56" s="24">
        <v>3.5160000000000005E-7</v>
      </c>
    </row>
    <row r="57" spans="2:16" x14ac:dyDescent="0.25">
      <c r="B57" s="22">
        <v>136</v>
      </c>
      <c r="C57" s="26" t="s">
        <v>50</v>
      </c>
      <c r="D57" s="26" t="s">
        <v>51</v>
      </c>
      <c r="E57" s="22">
        <v>1</v>
      </c>
      <c r="F57" s="22">
        <v>0.35870000000000002</v>
      </c>
      <c r="G57" s="24">
        <v>6.620000000000001E-8</v>
      </c>
      <c r="H57" s="24">
        <v>3.6799999999999999E-8</v>
      </c>
      <c r="I57" s="24">
        <v>1.043E-7</v>
      </c>
      <c r="J57" s="24">
        <v>2.3949999999999999E-7</v>
      </c>
      <c r="K57" s="24">
        <v>1.5580000000000001</v>
      </c>
      <c r="L57" s="24">
        <v>1.5580000000000001</v>
      </c>
      <c r="M57" s="24">
        <v>4.9780000000000005E-2</v>
      </c>
      <c r="N57" s="24">
        <v>2.41</v>
      </c>
      <c r="O57" s="24">
        <v>2.3760000000000001E-7</v>
      </c>
      <c r="P57" s="24">
        <v>1.0290000000000001E-7</v>
      </c>
    </row>
    <row r="58" spans="2:16" x14ac:dyDescent="0.25">
      <c r="B58" s="22">
        <v>137</v>
      </c>
      <c r="C58" s="26" t="s">
        <v>50</v>
      </c>
      <c r="D58" s="27" t="s">
        <v>51</v>
      </c>
      <c r="E58" s="22">
        <v>1</v>
      </c>
      <c r="F58" s="22">
        <v>0.34989999999999999</v>
      </c>
      <c r="G58" s="24">
        <v>8.2599999999999998E-8</v>
      </c>
      <c r="H58" s="24">
        <v>3.1500000000000004E-8</v>
      </c>
      <c r="I58" s="24">
        <v>4.4330000000000006E-7</v>
      </c>
      <c r="J58" s="24">
        <v>1.6960000000000001E-7</v>
      </c>
      <c r="K58" s="24">
        <v>1.6080000000000001</v>
      </c>
      <c r="L58" s="24">
        <v>1.6080000000000001</v>
      </c>
      <c r="M58" s="24">
        <v>4.7200000000000006E-2</v>
      </c>
      <c r="N58" s="24">
        <v>2.4620000000000002</v>
      </c>
      <c r="O58" s="24">
        <v>2.0970000000000001E-7</v>
      </c>
      <c r="P58" s="24">
        <v>1.237E-7</v>
      </c>
    </row>
    <row r="59" spans="2:16" x14ac:dyDescent="0.25">
      <c r="B59" s="22">
        <v>138</v>
      </c>
      <c r="C59" s="26" t="s">
        <v>50</v>
      </c>
      <c r="D59" s="27" t="s">
        <v>51</v>
      </c>
      <c r="E59" s="22">
        <v>1</v>
      </c>
      <c r="F59" s="22">
        <v>0.32350000000000001</v>
      </c>
      <c r="G59" s="24">
        <v>2.3700000000000002E-7</v>
      </c>
      <c r="H59" s="24">
        <v>3.4299999999999996E-8</v>
      </c>
      <c r="I59" s="24">
        <v>1.1899999999999998E-6</v>
      </c>
      <c r="J59" s="24">
        <v>1.076E-7</v>
      </c>
      <c r="K59" s="24">
        <v>1.8260000000000001</v>
      </c>
      <c r="L59" s="24">
        <v>1.8260000000000001</v>
      </c>
      <c r="M59" s="24">
        <v>4.7740000000000005E-2</v>
      </c>
      <c r="N59" s="24">
        <v>2.7770000000000001</v>
      </c>
      <c r="O59" s="24">
        <v>2.0500000000000002E-7</v>
      </c>
      <c r="P59" s="24">
        <v>3.6600000000000002E-7</v>
      </c>
    </row>
    <row r="60" spans="2:16" x14ac:dyDescent="0.25">
      <c r="B60" s="22">
        <v>142</v>
      </c>
      <c r="C60" s="26" t="s">
        <v>50</v>
      </c>
      <c r="D60" s="27" t="s">
        <v>51</v>
      </c>
      <c r="E60" s="22">
        <v>1</v>
      </c>
      <c r="F60" s="22">
        <v>0.34689999999999999</v>
      </c>
      <c r="G60" s="24">
        <v>1.2700000000000001E-7</v>
      </c>
      <c r="H60" s="24">
        <v>2.8300000000000002E-8</v>
      </c>
      <c r="I60" s="24">
        <v>6.1190000000000002E-7</v>
      </c>
      <c r="J60" s="24">
        <v>8.4700000000000011E-8</v>
      </c>
      <c r="K60" s="24">
        <v>1.57</v>
      </c>
      <c r="L60" s="24">
        <v>1.57</v>
      </c>
      <c r="M60" s="24">
        <v>4.7479999999999994E-2</v>
      </c>
      <c r="N60" s="24">
        <v>2.4630000000000001</v>
      </c>
      <c r="O60" s="24">
        <v>1.712E-7</v>
      </c>
      <c r="P60" s="24">
        <v>1.896E-7</v>
      </c>
    </row>
    <row r="61" spans="2:16" x14ac:dyDescent="0.25">
      <c r="B61" s="22">
        <v>145</v>
      </c>
      <c r="C61" s="26" t="s">
        <v>50</v>
      </c>
      <c r="D61" s="26" t="s">
        <v>51</v>
      </c>
      <c r="E61" s="22">
        <v>1</v>
      </c>
      <c r="F61" s="22">
        <v>0.33250000000000002</v>
      </c>
      <c r="G61" s="24">
        <v>8.1100000000000005E-8</v>
      </c>
      <c r="H61" s="24">
        <v>3.7500000000000005E-8</v>
      </c>
      <c r="I61" s="24">
        <v>6.6000000000000003E-7</v>
      </c>
      <c r="J61" s="24">
        <v>2.6260000000000004E-7</v>
      </c>
      <c r="K61" s="24">
        <v>1.5629999999999999</v>
      </c>
      <c r="L61" s="24">
        <v>1.5629999999999999</v>
      </c>
      <c r="M61" s="24">
        <v>4.7890000000000002E-2</v>
      </c>
      <c r="N61" s="24">
        <v>2.4060000000000001</v>
      </c>
      <c r="O61" s="24">
        <v>2.65E-7</v>
      </c>
      <c r="P61" s="24">
        <v>1.3180000000000003E-7</v>
      </c>
    </row>
    <row r="62" spans="2:16" x14ac:dyDescent="0.25">
      <c r="B62" s="22">
        <v>153</v>
      </c>
      <c r="C62" s="26" t="s">
        <v>50</v>
      </c>
      <c r="D62" s="26" t="s">
        <v>51</v>
      </c>
      <c r="E62" s="22">
        <v>1</v>
      </c>
      <c r="F62" s="22">
        <v>0.33160000000000001</v>
      </c>
      <c r="G62" s="24">
        <v>7.5900000000000011E-8</v>
      </c>
      <c r="H62" s="24">
        <v>2.3000000000000001E-8</v>
      </c>
      <c r="I62" s="24">
        <v>4.0280000000000003E-7</v>
      </c>
      <c r="J62" s="24">
        <v>7.9900000000000007E-8</v>
      </c>
      <c r="K62" s="24">
        <v>1.6439999999999999</v>
      </c>
      <c r="L62" s="24">
        <v>1.6439999999999999</v>
      </c>
      <c r="M62" s="24">
        <v>4.8100000000000004E-2</v>
      </c>
      <c r="N62" s="24">
        <v>2.5510000000000002</v>
      </c>
      <c r="O62" s="24">
        <v>1.5940000000000001E-7</v>
      </c>
      <c r="P62" s="24">
        <v>1.1830000000000001E-7</v>
      </c>
    </row>
    <row r="63" spans="2:16" x14ac:dyDescent="0.25">
      <c r="B63" s="22">
        <v>162</v>
      </c>
      <c r="C63" s="26" t="s">
        <v>50</v>
      </c>
      <c r="D63" s="27" t="s">
        <v>51</v>
      </c>
      <c r="E63" s="22">
        <v>1</v>
      </c>
      <c r="F63" s="22">
        <v>0.34239999999999998</v>
      </c>
      <c r="G63" s="24">
        <v>1.0820000000000002E-7</v>
      </c>
      <c r="H63" s="24">
        <v>2.6600000000000003E-8</v>
      </c>
      <c r="I63" s="24">
        <v>8.6260000000000011E-7</v>
      </c>
      <c r="J63" s="24">
        <v>8.1300000000000007E-8</v>
      </c>
      <c r="K63" s="24">
        <v>1.5660000000000001</v>
      </c>
      <c r="L63" s="24">
        <v>1.5660000000000001</v>
      </c>
      <c r="M63" s="24">
        <v>4.7560000000000005E-2</v>
      </c>
      <c r="N63" s="24">
        <v>2.4569999999999999</v>
      </c>
      <c r="O63" s="24">
        <v>1.6650000000000002E-7</v>
      </c>
      <c r="P63" s="24">
        <v>1.9719999999999999E-7</v>
      </c>
    </row>
    <row r="64" spans="2:16" x14ac:dyDescent="0.25">
      <c r="B64" s="22">
        <v>168</v>
      </c>
      <c r="C64" s="26" t="s">
        <v>50</v>
      </c>
      <c r="D64" s="26" t="s">
        <v>51</v>
      </c>
      <c r="E64" s="22">
        <v>1</v>
      </c>
      <c r="F64" s="22">
        <v>1.1519999999999999E-2</v>
      </c>
      <c r="G64" s="24">
        <v>1.3540000000000001E-7</v>
      </c>
      <c r="H64" s="24">
        <v>4.9299999999999998E-8</v>
      </c>
      <c r="I64" s="24">
        <v>6.0529999999999995E-7</v>
      </c>
      <c r="J64" s="24">
        <v>2.6950000000000002E-7</v>
      </c>
      <c r="K64" s="24">
        <v>1.649</v>
      </c>
      <c r="L64" s="24">
        <v>1.649</v>
      </c>
      <c r="M64" s="24">
        <v>4.9610000000000001E-2</v>
      </c>
      <c r="N64" s="24">
        <v>2.5209999999999999</v>
      </c>
      <c r="O64" s="24">
        <v>2.8439999999999998E-7</v>
      </c>
      <c r="P64" s="24">
        <v>1.8230000000000001E-7</v>
      </c>
    </row>
    <row r="65" spans="2:16" x14ac:dyDescent="0.25">
      <c r="B65" s="22">
        <v>169</v>
      </c>
      <c r="C65" s="26" t="s">
        <v>50</v>
      </c>
      <c r="D65" s="28" t="s">
        <v>51</v>
      </c>
      <c r="E65" s="22">
        <v>1</v>
      </c>
      <c r="F65" s="22">
        <v>0.36519999999999997</v>
      </c>
      <c r="G65" s="24">
        <v>1.209E-7</v>
      </c>
      <c r="H65" s="24">
        <v>2.62E-8</v>
      </c>
      <c r="I65" s="24">
        <v>6.1710000000000009E-7</v>
      </c>
      <c r="J65" s="24">
        <v>7.4200000000000003E-8</v>
      </c>
      <c r="K65" s="24">
        <v>1.571</v>
      </c>
      <c r="L65" s="24">
        <v>1.571</v>
      </c>
      <c r="M65" s="24">
        <v>4.9100000000000005E-2</v>
      </c>
      <c r="N65" s="24">
        <v>2.472</v>
      </c>
      <c r="O65" s="24">
        <v>1.6300000000000002E-7</v>
      </c>
      <c r="P65" s="24">
        <v>1.8600000000000002E-7</v>
      </c>
    </row>
    <row r="66" spans="2:16" x14ac:dyDescent="0.25">
      <c r="B66" s="22">
        <v>170</v>
      </c>
      <c r="C66" s="26" t="s">
        <v>50</v>
      </c>
      <c r="D66" s="27" t="s">
        <v>51</v>
      </c>
      <c r="E66" s="22">
        <v>1</v>
      </c>
      <c r="F66" s="22">
        <v>0.33739999999999998</v>
      </c>
      <c r="G66" s="24">
        <v>1.1590000000000001E-7</v>
      </c>
      <c r="H66" s="24">
        <v>2.8700000000000002E-8</v>
      </c>
      <c r="I66" s="24">
        <v>6.1270000000000008E-7</v>
      </c>
      <c r="J66" s="24">
        <v>1.2390000000000002E-7</v>
      </c>
      <c r="K66" s="24">
        <v>1.6439999999999999</v>
      </c>
      <c r="L66" s="24">
        <v>1.6439999999999999</v>
      </c>
      <c r="M66" s="24">
        <v>4.7300000000000002E-2</v>
      </c>
      <c r="N66" s="24">
        <v>2.5190000000000001</v>
      </c>
      <c r="O66" s="24">
        <v>1.8590000000000002E-7</v>
      </c>
      <c r="P66" s="24">
        <v>1.7980000000000004E-7</v>
      </c>
    </row>
    <row r="67" spans="2:16" x14ac:dyDescent="0.25">
      <c r="B67" s="22">
        <v>171</v>
      </c>
      <c r="C67" s="26" t="s">
        <v>50</v>
      </c>
      <c r="D67" s="27" t="s">
        <v>51</v>
      </c>
      <c r="E67" s="22">
        <v>1</v>
      </c>
      <c r="F67" s="22">
        <v>0.35539999999999999</v>
      </c>
      <c r="G67" s="24">
        <v>2.1730000000000002E-7</v>
      </c>
      <c r="H67" s="24">
        <v>4.2400000000000002E-8</v>
      </c>
      <c r="I67" s="24">
        <v>1.1240000000000002E-6</v>
      </c>
      <c r="J67" s="24">
        <v>1.1470000000000001E-7</v>
      </c>
      <c r="K67" s="24">
        <v>1.66</v>
      </c>
      <c r="L67" s="24">
        <v>1.66</v>
      </c>
      <c r="M67" s="24">
        <v>4.8030000000000003E-2</v>
      </c>
      <c r="N67" s="24">
        <v>2.6</v>
      </c>
      <c r="O67" s="24">
        <v>2.2190000000000002E-7</v>
      </c>
      <c r="P67" s="24">
        <v>3.4300000000000004E-7</v>
      </c>
    </row>
    <row r="68" spans="2:16" x14ac:dyDescent="0.25">
      <c r="B68" s="22">
        <v>173</v>
      </c>
      <c r="C68" s="26" t="s">
        <v>50</v>
      </c>
      <c r="D68" s="27" t="s">
        <v>51</v>
      </c>
      <c r="E68" s="22">
        <v>1</v>
      </c>
      <c r="F68" s="22">
        <v>0.3644</v>
      </c>
      <c r="G68" s="24">
        <v>1.1180000000000001E-7</v>
      </c>
      <c r="H68" s="24">
        <v>5.3500000000000003E-8</v>
      </c>
      <c r="I68" s="24">
        <v>5.0280000000000008E-7</v>
      </c>
      <c r="J68" s="24">
        <v>1.9370000000000005E-7</v>
      </c>
      <c r="K68" s="24">
        <v>1.617</v>
      </c>
      <c r="L68" s="24">
        <v>1.617</v>
      </c>
      <c r="M68" s="24">
        <v>4.9140000000000003E-2</v>
      </c>
      <c r="N68" s="24">
        <v>2.4630000000000001</v>
      </c>
      <c r="O68" s="24">
        <v>3.375E-7</v>
      </c>
      <c r="P68" s="24">
        <v>1.455E-7</v>
      </c>
    </row>
    <row r="69" spans="2:16" x14ac:dyDescent="0.25">
      <c r="B69" s="22">
        <v>177</v>
      </c>
      <c r="C69" s="26" t="s">
        <v>50</v>
      </c>
      <c r="D69" s="26" t="s">
        <v>51</v>
      </c>
      <c r="E69" s="22">
        <v>1</v>
      </c>
      <c r="F69" s="22">
        <v>0.36310000000000003</v>
      </c>
      <c r="G69" s="24">
        <v>8.9700000000000003E-8</v>
      </c>
      <c r="H69" s="24">
        <v>2.62E-8</v>
      </c>
      <c r="I69" s="24">
        <v>3.897E-7</v>
      </c>
      <c r="J69" s="24">
        <v>1.0020000000000001E-7</v>
      </c>
      <c r="K69" s="24">
        <v>1.679</v>
      </c>
      <c r="L69" s="24">
        <v>1.679</v>
      </c>
      <c r="M69" s="24">
        <v>4.8219999999999999E-2</v>
      </c>
      <c r="N69" s="24">
        <v>2.5880000000000001</v>
      </c>
      <c r="O69" s="24">
        <v>1.741E-7</v>
      </c>
      <c r="P69" s="24">
        <v>1.195E-7</v>
      </c>
    </row>
    <row r="70" spans="2:16" x14ac:dyDescent="0.25">
      <c r="B70" s="22">
        <v>178</v>
      </c>
      <c r="C70" s="26" t="s">
        <v>50</v>
      </c>
      <c r="D70" s="26" t="s">
        <v>51</v>
      </c>
      <c r="E70" s="22">
        <v>1</v>
      </c>
      <c r="F70" s="22">
        <v>0.33230000000000004</v>
      </c>
      <c r="G70" s="24">
        <v>8.4600000000000003E-8</v>
      </c>
      <c r="H70" s="24">
        <v>2.3600000000000003E-8</v>
      </c>
      <c r="I70" s="24">
        <v>3.8239999999999998E-7</v>
      </c>
      <c r="J70" s="24">
        <v>7.7400000000000005E-8</v>
      </c>
      <c r="K70" s="24">
        <v>1.6759999999999999</v>
      </c>
      <c r="L70" s="24">
        <v>1.6759999999999999</v>
      </c>
      <c r="M70" s="24">
        <v>4.7320000000000001E-2</v>
      </c>
      <c r="N70" s="24">
        <v>2.5910000000000002</v>
      </c>
      <c r="O70" s="24">
        <v>1.5890000000000003E-7</v>
      </c>
      <c r="P70" s="24">
        <v>1.1900000000000001E-7</v>
      </c>
    </row>
    <row r="71" spans="2:16" x14ac:dyDescent="0.25">
      <c r="B71" s="22">
        <v>180</v>
      </c>
      <c r="C71" s="22" t="s">
        <v>52</v>
      </c>
      <c r="D71" s="22"/>
      <c r="E71" s="22">
        <v>1</v>
      </c>
      <c r="F71" s="22">
        <v>0.35160000000000002</v>
      </c>
      <c r="G71" s="24">
        <v>6.8599999999999992E-8</v>
      </c>
      <c r="H71" s="24">
        <v>6.3000000000000008E-8</v>
      </c>
      <c r="I71" s="24">
        <v>1.637E-6</v>
      </c>
      <c r="J71" s="24">
        <v>2.4789999999999999E-7</v>
      </c>
      <c r="K71" s="24">
        <v>1.6220000000000001</v>
      </c>
      <c r="L71" s="24">
        <v>1.6220000000000001</v>
      </c>
      <c r="M71" s="24">
        <v>4.8059999999999999E-2</v>
      </c>
      <c r="N71" s="24">
        <v>2.3410000000000002</v>
      </c>
      <c r="O71" s="24">
        <v>3.3169999999999999E-7</v>
      </c>
      <c r="P71" s="24">
        <v>8.3750000000000003E-7</v>
      </c>
    </row>
    <row r="72" spans="2:16" x14ac:dyDescent="0.25">
      <c r="B72" s="22">
        <v>184</v>
      </c>
      <c r="C72" s="22" t="s">
        <v>50</v>
      </c>
      <c r="D72" s="22" t="s">
        <v>51</v>
      </c>
      <c r="E72" s="22">
        <v>1</v>
      </c>
      <c r="F72" s="22">
        <v>0.3422</v>
      </c>
      <c r="G72" s="24">
        <v>2.8639999999999997E-7</v>
      </c>
      <c r="H72" s="24">
        <v>5.2700000000000009E-8</v>
      </c>
      <c r="I72" s="24">
        <v>1.4719999999999998E-6</v>
      </c>
      <c r="J72" s="24">
        <v>1.17E-7</v>
      </c>
      <c r="K72" s="24">
        <v>1.663</v>
      </c>
      <c r="L72" s="24">
        <v>1.663</v>
      </c>
      <c r="M72" s="24">
        <v>4.7950000000000007E-2</v>
      </c>
      <c r="N72" s="24">
        <v>2.6030000000000002</v>
      </c>
      <c r="O72" s="24">
        <v>2.4649999999999999E-7</v>
      </c>
      <c r="P72" s="24">
        <v>4.6060000000000003E-7</v>
      </c>
    </row>
    <row r="73" spans="2:16" x14ac:dyDescent="0.25">
      <c r="B73" s="22">
        <v>186</v>
      </c>
      <c r="C73" s="22" t="s">
        <v>50</v>
      </c>
      <c r="D73" s="22" t="s">
        <v>51</v>
      </c>
      <c r="E73" s="22">
        <v>1</v>
      </c>
      <c r="F73" s="22">
        <v>0.33339999999999997</v>
      </c>
      <c r="G73" s="24">
        <v>1.5630000000000002E-7</v>
      </c>
      <c r="H73" s="24">
        <v>2.8800000000000003E-8</v>
      </c>
      <c r="I73" s="24">
        <v>8.1480000000000002E-7</v>
      </c>
      <c r="J73" s="24">
        <v>1.046E-7</v>
      </c>
      <c r="K73" s="24">
        <v>1.7430000000000001</v>
      </c>
      <c r="L73" s="24">
        <v>1.7430000000000001</v>
      </c>
      <c r="M73" s="24">
        <v>4.7610000000000006E-2</v>
      </c>
      <c r="N73" s="24">
        <v>2.6560000000000001</v>
      </c>
      <c r="O73" s="24">
        <v>1.8190000000000001E-7</v>
      </c>
      <c r="P73" s="24">
        <v>2.3590000000000001E-7</v>
      </c>
    </row>
    <row r="74" spans="2:16" x14ac:dyDescent="0.25">
      <c r="B74" s="22">
        <v>187</v>
      </c>
      <c r="C74" s="22" t="s">
        <v>50</v>
      </c>
      <c r="D74" s="22" t="s">
        <v>51</v>
      </c>
      <c r="E74" s="22">
        <v>1</v>
      </c>
      <c r="F74" s="22">
        <v>0.34189999999999998</v>
      </c>
      <c r="G74" s="24">
        <v>2.4150000000000004E-7</v>
      </c>
      <c r="H74" s="24">
        <v>3.3799999999999998E-8</v>
      </c>
      <c r="I74" s="24">
        <v>1.046E-6</v>
      </c>
      <c r="J74" s="24">
        <v>9.53E-8</v>
      </c>
      <c r="K74" s="24">
        <v>1.627</v>
      </c>
      <c r="L74" s="24">
        <v>1.627</v>
      </c>
      <c r="M74" s="24">
        <v>4.7700000000000006E-2</v>
      </c>
      <c r="N74" s="24">
        <v>2.5409999999999999</v>
      </c>
      <c r="O74" s="24">
        <v>1.976E-7</v>
      </c>
      <c r="P74" s="24">
        <v>3.1700000000000005E-7</v>
      </c>
    </row>
    <row r="75" spans="2:16" x14ac:dyDescent="0.25">
      <c r="B75" s="22">
        <v>188</v>
      </c>
      <c r="C75" s="22" t="s">
        <v>50</v>
      </c>
      <c r="D75" s="22" t="s">
        <v>51</v>
      </c>
      <c r="E75" s="22">
        <v>1</v>
      </c>
      <c r="F75" s="22">
        <v>0.3513</v>
      </c>
      <c r="G75" s="24">
        <v>1.1150000000000001E-7</v>
      </c>
      <c r="H75" s="24">
        <v>2.59E-8</v>
      </c>
      <c r="I75" s="24">
        <v>5.4460000000000005E-7</v>
      </c>
      <c r="J75" s="24">
        <v>7.5500000000000008E-8</v>
      </c>
      <c r="K75" s="24">
        <v>1.6359999999999999</v>
      </c>
      <c r="L75" s="24">
        <v>1.6359999999999999</v>
      </c>
      <c r="M75" s="24">
        <v>4.9750000000000003E-2</v>
      </c>
      <c r="N75" s="24">
        <v>2.573</v>
      </c>
      <c r="O75" s="24">
        <v>1.6630000000000003E-7</v>
      </c>
      <c r="P75" s="24">
        <v>1.6930000000000001E-7</v>
      </c>
    </row>
    <row r="76" spans="2:16" x14ac:dyDescent="0.25">
      <c r="B76" s="22">
        <v>191</v>
      </c>
      <c r="C76" s="22" t="s">
        <v>50</v>
      </c>
      <c r="D76" s="22" t="s">
        <v>51</v>
      </c>
      <c r="E76" s="22">
        <v>1</v>
      </c>
      <c r="F76" s="22">
        <v>0.3367</v>
      </c>
      <c r="G76" s="24">
        <v>6.3700000000000008E-8</v>
      </c>
      <c r="H76" s="24">
        <v>4.0100000000000002E-8</v>
      </c>
      <c r="I76" s="24">
        <v>3.0160000000000005E-7</v>
      </c>
      <c r="J76" s="24">
        <v>3.0700000000000004E-7</v>
      </c>
      <c r="K76" s="24">
        <v>1.575</v>
      </c>
      <c r="L76" s="24">
        <v>1.575</v>
      </c>
      <c r="M76" s="24">
        <v>4.8060000000000005E-2</v>
      </c>
      <c r="N76" s="24">
        <v>2.4430000000000001</v>
      </c>
      <c r="O76" s="24">
        <v>2.6560000000000005E-7</v>
      </c>
      <c r="P76" s="24">
        <v>4.8300000000000002E-8</v>
      </c>
    </row>
    <row r="77" spans="2:16" x14ac:dyDescent="0.25">
      <c r="B77" s="22">
        <v>195</v>
      </c>
      <c r="C77" s="22" t="s">
        <v>52</v>
      </c>
      <c r="D77" s="22"/>
      <c r="E77" s="22">
        <v>1</v>
      </c>
      <c r="F77" s="22">
        <v>0.33780000000000004</v>
      </c>
      <c r="G77" s="24">
        <v>1.2500000000000002E-7</v>
      </c>
      <c r="H77" s="24">
        <v>3.1E-8</v>
      </c>
      <c r="I77" s="24">
        <v>1.155E-6</v>
      </c>
      <c r="J77" s="24">
        <v>8.3700000000000002E-8</v>
      </c>
      <c r="K77" s="24">
        <v>1.708</v>
      </c>
      <c r="L77" s="24">
        <v>1.708</v>
      </c>
      <c r="M77" s="24">
        <v>4.8029999999999996E-2</v>
      </c>
      <c r="N77" s="24">
        <v>2.516</v>
      </c>
      <c r="O77" s="24">
        <v>1.9080000000000001E-7</v>
      </c>
      <c r="P77" s="24">
        <v>6.3850000000000001E-7</v>
      </c>
    </row>
    <row r="78" spans="2:16" x14ac:dyDescent="0.25">
      <c r="B78" s="22">
        <v>198</v>
      </c>
      <c r="C78" s="22" t="s">
        <v>50</v>
      </c>
      <c r="D78" s="22" t="s">
        <v>51</v>
      </c>
      <c r="E78" s="22">
        <v>1</v>
      </c>
      <c r="F78" s="22">
        <v>4.199E-2</v>
      </c>
      <c r="G78" s="24">
        <v>5.1200000000000008E-8</v>
      </c>
      <c r="H78" s="24">
        <v>3.1300000000000002E-8</v>
      </c>
      <c r="I78" s="24">
        <v>5.4910000000000007E-7</v>
      </c>
      <c r="J78" s="24">
        <v>2.5569999999999999E-7</v>
      </c>
      <c r="K78" s="24">
        <v>1.64</v>
      </c>
      <c r="L78" s="24">
        <v>1.64</v>
      </c>
      <c r="M78" s="24">
        <v>4.7259999999999996E-2</v>
      </c>
      <c r="N78" s="24">
        <v>2.4980000000000002</v>
      </c>
      <c r="O78" s="24">
        <v>2.643E-7</v>
      </c>
      <c r="P78" s="24">
        <v>1.5830000000000003E-7</v>
      </c>
    </row>
    <row r="79" spans="2:16" x14ac:dyDescent="0.25">
      <c r="B79" s="22">
        <v>200</v>
      </c>
      <c r="C79" s="22" t="s">
        <v>50</v>
      </c>
      <c r="D79" s="22" t="s">
        <v>51</v>
      </c>
      <c r="E79" s="22">
        <v>1</v>
      </c>
      <c r="F79" s="22">
        <v>0.36070000000000002</v>
      </c>
      <c r="G79" s="24">
        <v>6.8599999999999992E-8</v>
      </c>
      <c r="H79" s="24">
        <v>2.7200000000000002E-8</v>
      </c>
      <c r="I79" s="24">
        <v>3.8560000000000006E-7</v>
      </c>
      <c r="J79" s="24">
        <v>7.3799999999999999E-8</v>
      </c>
      <c r="K79" s="24">
        <v>1.57</v>
      </c>
      <c r="L79" s="24">
        <v>1.57</v>
      </c>
      <c r="M79" s="24">
        <v>4.9390000000000003E-2</v>
      </c>
      <c r="N79" s="24">
        <v>2.4780000000000002</v>
      </c>
      <c r="O79" s="24">
        <v>1.6490000000000003E-7</v>
      </c>
      <c r="P79" s="24">
        <v>1.096E-7</v>
      </c>
    </row>
    <row r="80" spans="2:16" x14ac:dyDescent="0.25">
      <c r="B80" s="22">
        <v>201</v>
      </c>
      <c r="C80" s="22" t="s">
        <v>50</v>
      </c>
      <c r="D80" s="22" t="s">
        <v>51</v>
      </c>
      <c r="E80" s="22">
        <v>1</v>
      </c>
      <c r="F80" s="22">
        <v>0.36980000000000002</v>
      </c>
      <c r="G80" s="24">
        <v>7.7599999999999993E-8</v>
      </c>
      <c r="H80" s="24">
        <v>2.9100000000000002E-8</v>
      </c>
      <c r="I80" s="24">
        <v>3.7130000000000005E-7</v>
      </c>
      <c r="J80" s="24">
        <v>1.3409999999999999E-7</v>
      </c>
      <c r="K80" s="24">
        <v>1.593</v>
      </c>
      <c r="L80" s="24">
        <v>1.593</v>
      </c>
      <c r="M80" s="24">
        <v>4.8159999999999994E-2</v>
      </c>
      <c r="N80" s="24">
        <v>2.4590000000000001</v>
      </c>
      <c r="O80" s="24">
        <v>1.606E-7</v>
      </c>
      <c r="P80" s="24">
        <v>1.1020000000000001E-7</v>
      </c>
    </row>
    <row r="81" spans="2:16" x14ac:dyDescent="0.25">
      <c r="B81" s="22">
        <v>203</v>
      </c>
      <c r="C81" s="22" t="s">
        <v>50</v>
      </c>
      <c r="D81" s="22" t="s">
        <v>51</v>
      </c>
      <c r="E81" s="22">
        <v>1</v>
      </c>
      <c r="F81" s="22">
        <v>0.3569</v>
      </c>
      <c r="G81" s="24">
        <v>2.1140000000000003E-7</v>
      </c>
      <c r="H81" s="24">
        <v>4.5600000000000005E-8</v>
      </c>
      <c r="I81" s="24">
        <v>1.0899999999999999E-6</v>
      </c>
      <c r="J81" s="24">
        <v>1.4190000000000002E-7</v>
      </c>
      <c r="K81" s="24">
        <v>1.6459999999999999</v>
      </c>
      <c r="L81" s="24">
        <v>1.6459999999999999</v>
      </c>
      <c r="M81" s="24">
        <v>4.8140000000000002E-2</v>
      </c>
      <c r="N81" s="24">
        <v>2.5590000000000002</v>
      </c>
      <c r="O81" s="24">
        <v>2.4530000000000001E-7</v>
      </c>
      <c r="P81" s="24">
        <v>3.3389999999999999E-7</v>
      </c>
    </row>
    <row r="82" spans="2:16" x14ac:dyDescent="0.25">
      <c r="B82" s="22">
        <v>204</v>
      </c>
      <c r="C82" s="22" t="s">
        <v>50</v>
      </c>
      <c r="D82" s="22"/>
      <c r="E82" s="22">
        <v>1</v>
      </c>
      <c r="F82" s="22">
        <v>0.32269999999999999</v>
      </c>
      <c r="G82" s="24">
        <v>1.5060000000000001E-7</v>
      </c>
      <c r="H82" s="24">
        <v>3.6100000000000006E-8</v>
      </c>
      <c r="I82" s="24">
        <v>1.2860000000000001E-6</v>
      </c>
      <c r="J82" s="24">
        <v>1.2590000000000001E-7</v>
      </c>
      <c r="K82" s="24">
        <v>1.8540000000000001</v>
      </c>
      <c r="L82" s="24">
        <v>1.8540000000000001</v>
      </c>
      <c r="M82" s="24">
        <v>4.8719999999999999E-2</v>
      </c>
      <c r="N82" s="24">
        <v>2.6619999999999999</v>
      </c>
      <c r="O82" s="24">
        <v>2.0980000000000001E-7</v>
      </c>
      <c r="P82" s="24">
        <v>7.0700000000000007E-7</v>
      </c>
    </row>
    <row r="83" spans="2:16" x14ac:dyDescent="0.25">
      <c r="B83" s="22">
        <v>206</v>
      </c>
      <c r="C83" s="22" t="s">
        <v>50</v>
      </c>
      <c r="D83" s="22" t="s">
        <v>51</v>
      </c>
      <c r="E83" s="22">
        <v>1</v>
      </c>
      <c r="F83" s="22">
        <v>2.3820000000000001E-2</v>
      </c>
      <c r="G83" s="24">
        <v>6.7500000000000002E-8</v>
      </c>
      <c r="H83" s="24">
        <v>2.0800000000000001E-8</v>
      </c>
      <c r="I83" s="24">
        <v>1.1339999999999999E-6</v>
      </c>
      <c r="J83" s="24">
        <v>1.0930000000000001E-7</v>
      </c>
      <c r="K83" s="24">
        <v>1.617</v>
      </c>
      <c r="L83" s="24">
        <v>1.617</v>
      </c>
      <c r="M83" s="24">
        <v>4.811E-2</v>
      </c>
      <c r="N83" s="24">
        <v>3.0049999999999999</v>
      </c>
      <c r="O83" s="24">
        <v>8.7100000000000006E-8</v>
      </c>
      <c r="P83" s="24">
        <v>8.9900000000000018E-8</v>
      </c>
    </row>
    <row r="84" spans="2:16" x14ac:dyDescent="0.25">
      <c r="B84" s="22">
        <v>208</v>
      </c>
      <c r="C84" s="22" t="s">
        <v>50</v>
      </c>
      <c r="D84" s="22" t="s">
        <v>51</v>
      </c>
      <c r="E84" s="22">
        <v>1</v>
      </c>
      <c r="F84" s="22">
        <v>0.34389999999999998</v>
      </c>
      <c r="G84" s="24">
        <v>7.3400000000000009E-8</v>
      </c>
      <c r="H84" s="24">
        <v>3.2900000000000003E-8</v>
      </c>
      <c r="I84" s="24">
        <v>4.2290000000000001E-7</v>
      </c>
      <c r="J84" s="24">
        <v>2.1200000000000002E-7</v>
      </c>
      <c r="K84" s="24">
        <v>1.571</v>
      </c>
      <c r="L84" s="24">
        <v>1.571</v>
      </c>
      <c r="M84" s="24">
        <v>4.7330000000000004E-2</v>
      </c>
      <c r="N84" s="24">
        <v>2.4340000000000002</v>
      </c>
      <c r="O84" s="24">
        <v>2.2710000000000002E-7</v>
      </c>
      <c r="P84" s="24">
        <v>1.215E-7</v>
      </c>
    </row>
    <row r="85" spans="2:16" x14ac:dyDescent="0.25">
      <c r="B85" s="22">
        <v>209</v>
      </c>
      <c r="C85" s="22" t="s">
        <v>50</v>
      </c>
      <c r="D85" s="22" t="s">
        <v>51</v>
      </c>
      <c r="E85" s="22">
        <v>1</v>
      </c>
      <c r="F85" s="22">
        <v>0.34550000000000003</v>
      </c>
      <c r="G85" s="24">
        <v>1.2850000000000002E-7</v>
      </c>
      <c r="H85" s="24">
        <v>3.9600000000000004E-8</v>
      </c>
      <c r="I85" s="24">
        <v>8.7410000000000003E-7</v>
      </c>
      <c r="J85" s="24">
        <v>1.5419999999999999E-7</v>
      </c>
      <c r="K85" s="24">
        <v>1.585</v>
      </c>
      <c r="L85" s="24">
        <v>1.585</v>
      </c>
      <c r="M85" s="24">
        <v>4.7560000000000005E-2</v>
      </c>
      <c r="N85" s="24">
        <v>2.4740000000000002</v>
      </c>
      <c r="O85" s="24">
        <v>2.2740000000000001E-7</v>
      </c>
      <c r="P85" s="24">
        <v>2.1780000000000003E-7</v>
      </c>
    </row>
    <row r="86" spans="2:16" x14ac:dyDescent="0.25">
      <c r="B86" s="22">
        <v>213</v>
      </c>
      <c r="C86" s="22" t="s">
        <v>50</v>
      </c>
      <c r="D86" s="22" t="s">
        <v>51</v>
      </c>
      <c r="E86" s="22">
        <v>1</v>
      </c>
      <c r="F86" s="22">
        <v>0.35580000000000001</v>
      </c>
      <c r="G86" s="24">
        <v>6.4599999999999996E-8</v>
      </c>
      <c r="H86" s="24">
        <v>2.7800000000000004E-8</v>
      </c>
      <c r="I86" s="24">
        <v>2.9150000000000004E-7</v>
      </c>
      <c r="J86" s="24">
        <v>1.209E-7</v>
      </c>
      <c r="K86" s="24">
        <v>1.5609999999999999</v>
      </c>
      <c r="L86" s="24">
        <v>1.5609999999999999</v>
      </c>
      <c r="M86" s="24">
        <v>4.7909999999999994E-2</v>
      </c>
      <c r="N86" s="24">
        <v>2.4470000000000001</v>
      </c>
      <c r="O86" s="24">
        <v>1.716E-7</v>
      </c>
      <c r="P86" s="24">
        <v>9.2500000000000001E-8</v>
      </c>
    </row>
    <row r="87" spans="2:16" x14ac:dyDescent="0.25">
      <c r="B87" s="22">
        <v>214</v>
      </c>
      <c r="C87" s="22" t="s">
        <v>50</v>
      </c>
      <c r="D87" s="22" t="s">
        <v>51</v>
      </c>
      <c r="E87" s="22">
        <v>1</v>
      </c>
      <c r="F87" s="22">
        <v>0.37819999999999998</v>
      </c>
      <c r="G87" s="24">
        <v>1.681E-7</v>
      </c>
      <c r="H87" s="24">
        <v>3.33E-8</v>
      </c>
      <c r="I87" s="24">
        <v>8.8339999999999998E-7</v>
      </c>
      <c r="J87" s="24">
        <v>8.5900000000000008E-8</v>
      </c>
      <c r="K87" s="24">
        <v>1.625</v>
      </c>
      <c r="L87" s="24">
        <v>1.625</v>
      </c>
      <c r="M87" s="24">
        <v>4.6869999999999995E-2</v>
      </c>
      <c r="N87" s="24">
        <v>2.544</v>
      </c>
      <c r="O87" s="24">
        <v>1.902E-7</v>
      </c>
      <c r="P87" s="24">
        <v>2.6830000000000004E-7</v>
      </c>
    </row>
    <row r="88" spans="2:16" x14ac:dyDescent="0.25">
      <c r="B88" s="22">
        <v>218</v>
      </c>
      <c r="C88" s="22" t="s">
        <v>50</v>
      </c>
      <c r="D88" s="22" t="s">
        <v>51</v>
      </c>
      <c r="E88" s="22">
        <v>1</v>
      </c>
      <c r="F88" s="22">
        <v>0.32850000000000001</v>
      </c>
      <c r="G88" s="24">
        <v>5.3500000000000003E-8</v>
      </c>
      <c r="H88" s="24">
        <v>2.3400000000000001E-8</v>
      </c>
      <c r="I88" s="24">
        <v>2.3949999999999999E-7</v>
      </c>
      <c r="J88" s="24">
        <v>9.7700000000000008E-8</v>
      </c>
      <c r="K88" s="24">
        <v>1.5740000000000001</v>
      </c>
      <c r="L88" s="24">
        <v>1.5740000000000001</v>
      </c>
      <c r="M88" s="24">
        <v>4.8170000000000004E-2</v>
      </c>
      <c r="N88" s="24">
        <v>2.4729999999999999</v>
      </c>
      <c r="O88" s="24">
        <v>1.5950000000000002E-7</v>
      </c>
      <c r="P88" s="24">
        <v>7.4700000000000014E-8</v>
      </c>
    </row>
    <row r="89" spans="2:16" x14ac:dyDescent="0.25">
      <c r="B89" s="22">
        <v>223</v>
      </c>
      <c r="C89" s="22" t="s">
        <v>50</v>
      </c>
      <c r="D89" s="22" t="s">
        <v>51</v>
      </c>
      <c r="E89" s="22">
        <v>1</v>
      </c>
      <c r="F89" s="22">
        <v>0.34320000000000001</v>
      </c>
      <c r="G89" s="24">
        <v>9.4800000000000002E-8</v>
      </c>
      <c r="H89" s="24">
        <v>4.4899999999999998E-8</v>
      </c>
      <c r="I89" s="24">
        <v>8.5740000000000004E-7</v>
      </c>
      <c r="J89" s="24">
        <v>1.2540000000000002E-7</v>
      </c>
      <c r="K89" s="24">
        <v>1.679</v>
      </c>
      <c r="L89" s="24">
        <v>1.679</v>
      </c>
      <c r="M89" s="24">
        <v>4.811E-2</v>
      </c>
      <c r="N89" s="24">
        <v>2.621</v>
      </c>
      <c r="O89" s="24">
        <v>3.6689999999999998E-7</v>
      </c>
      <c r="P89" s="24">
        <v>2.7119999999999999E-7</v>
      </c>
    </row>
    <row r="90" spans="2:16" x14ac:dyDescent="0.25">
      <c r="B90" s="22">
        <v>226</v>
      </c>
      <c r="C90" s="22" t="s">
        <v>50</v>
      </c>
      <c r="D90" s="22" t="s">
        <v>51</v>
      </c>
      <c r="E90" s="22">
        <v>1</v>
      </c>
      <c r="F90" s="22">
        <v>0.35139999999999999</v>
      </c>
      <c r="G90" s="24">
        <v>7.2900000000000011E-8</v>
      </c>
      <c r="H90" s="24">
        <v>1.7600000000000002E-8</v>
      </c>
      <c r="I90" s="24">
        <v>3.8420000000000001E-7</v>
      </c>
      <c r="J90" s="24">
        <v>8.8300000000000003E-8</v>
      </c>
      <c r="K90" s="24">
        <v>1.5860000000000001</v>
      </c>
      <c r="L90" s="24">
        <v>1.5860000000000001</v>
      </c>
      <c r="M90" s="24">
        <v>4.7739999999999998E-2</v>
      </c>
      <c r="N90" s="24">
        <v>2.4849999999999999</v>
      </c>
      <c r="O90" s="24">
        <v>1.5890000000000003E-7</v>
      </c>
      <c r="P90" s="24">
        <v>9.7800000000000002E-8</v>
      </c>
    </row>
    <row r="91" spans="2:16" x14ac:dyDescent="0.25">
      <c r="B91" s="22">
        <v>228</v>
      </c>
      <c r="C91" s="22" t="s">
        <v>50</v>
      </c>
      <c r="D91" s="22" t="s">
        <v>51</v>
      </c>
      <c r="E91" s="22">
        <v>1</v>
      </c>
      <c r="F91" s="22">
        <v>0.34520000000000001</v>
      </c>
      <c r="G91" s="24">
        <v>9.8599999999999996E-8</v>
      </c>
      <c r="H91" s="24">
        <v>5.3700000000000004E-8</v>
      </c>
      <c r="I91" s="24">
        <v>1.3489999999999999E-6</v>
      </c>
      <c r="J91" s="24">
        <v>9.0800000000000006E-8</v>
      </c>
      <c r="K91" s="24">
        <v>1.611</v>
      </c>
      <c r="L91" s="24">
        <v>1.611</v>
      </c>
      <c r="M91" s="24">
        <v>4.7840000000000008E-2</v>
      </c>
      <c r="N91" s="24">
        <v>2.4980000000000002</v>
      </c>
      <c r="O91" s="24">
        <v>2.466E-7</v>
      </c>
      <c r="P91" s="24">
        <v>3.4360000000000003E-7</v>
      </c>
    </row>
    <row r="92" spans="2:16" x14ac:dyDescent="0.25">
      <c r="B92" s="22">
        <v>233</v>
      </c>
      <c r="C92" s="22" t="s">
        <v>50</v>
      </c>
      <c r="D92" s="22" t="s">
        <v>51</v>
      </c>
      <c r="E92" s="22">
        <v>1</v>
      </c>
      <c r="F92" s="22">
        <v>3.3770000000000001E-2</v>
      </c>
      <c r="G92" s="24">
        <v>5.6200000000000007E-8</v>
      </c>
      <c r="H92" s="24">
        <v>1.5000000000000002E-8</v>
      </c>
      <c r="I92" s="24">
        <v>8.273E-7</v>
      </c>
      <c r="J92" s="24">
        <v>1.0990000000000001E-7</v>
      </c>
      <c r="K92" s="24">
        <v>1.571</v>
      </c>
      <c r="L92" s="24">
        <v>1.571</v>
      </c>
      <c r="M92" s="24">
        <v>4.7720000000000005E-2</v>
      </c>
      <c r="N92" s="24">
        <v>2.4529999999999998</v>
      </c>
      <c r="O92" s="24">
        <v>1.6800000000000002E-7</v>
      </c>
      <c r="P92" s="24">
        <v>1.5769999999999999E-7</v>
      </c>
    </row>
    <row r="93" spans="2:16" x14ac:dyDescent="0.25">
      <c r="B93" s="22">
        <v>235</v>
      </c>
      <c r="C93" s="22" t="s">
        <v>50</v>
      </c>
      <c r="D93" s="22" t="s">
        <v>51</v>
      </c>
      <c r="E93" s="22">
        <v>1</v>
      </c>
      <c r="F93" s="22">
        <v>1.3140000000000001E-2</v>
      </c>
      <c r="G93" s="24">
        <v>8.4200000000000013E-8</v>
      </c>
      <c r="H93" s="24">
        <v>3.4900000000000001E-8</v>
      </c>
      <c r="I93" s="24">
        <v>1.206E-6</v>
      </c>
      <c r="J93" s="24">
        <v>4.8100000000000007E-8</v>
      </c>
      <c r="K93" s="24">
        <v>1.663</v>
      </c>
      <c r="L93" s="24">
        <v>1.663</v>
      </c>
      <c r="M93" s="24">
        <v>4.7309999999999998E-2</v>
      </c>
      <c r="N93" s="24">
        <v>2.6030000000000002</v>
      </c>
      <c r="O93" s="24">
        <v>9.1500000000000005E-8</v>
      </c>
      <c r="P93" s="24">
        <v>2.495E-7</v>
      </c>
    </row>
    <row r="94" spans="2:16" x14ac:dyDescent="0.25">
      <c r="B94" s="22">
        <v>239</v>
      </c>
      <c r="C94" s="22" t="s">
        <v>50</v>
      </c>
      <c r="D94" s="22" t="s">
        <v>51</v>
      </c>
      <c r="E94" s="22">
        <v>1</v>
      </c>
      <c r="F94" s="22">
        <v>0.3427</v>
      </c>
      <c r="G94" s="24">
        <v>3.0660000000000006E-7</v>
      </c>
      <c r="H94" s="24">
        <v>2.3600000000000003E-8</v>
      </c>
      <c r="I94" s="24">
        <v>1.066E-6</v>
      </c>
      <c r="J94" s="24">
        <v>8.4000000000000011E-8</v>
      </c>
      <c r="K94" s="24">
        <v>1.597</v>
      </c>
      <c r="L94" s="24">
        <v>1.597</v>
      </c>
      <c r="M94" s="24">
        <v>4.7440000000000003E-2</v>
      </c>
      <c r="N94" s="24">
        <v>2.496</v>
      </c>
      <c r="O94" s="24">
        <v>1.575E-7</v>
      </c>
      <c r="P94" s="24">
        <v>4.4250000000000005E-7</v>
      </c>
    </row>
    <row r="95" spans="2:16" x14ac:dyDescent="0.25">
      <c r="B95" s="22">
        <v>244</v>
      </c>
      <c r="C95" s="22" t="s">
        <v>50</v>
      </c>
      <c r="D95" s="22" t="s">
        <v>51</v>
      </c>
      <c r="E95" s="22">
        <v>1</v>
      </c>
      <c r="F95" s="22">
        <v>1.9480000000000001E-2</v>
      </c>
      <c r="G95" s="24">
        <v>7.3300000000000001E-8</v>
      </c>
      <c r="H95" s="24">
        <v>3.0899999999999999E-8</v>
      </c>
      <c r="I95" s="24">
        <v>6.5099999999999999E-7</v>
      </c>
      <c r="J95" s="24">
        <v>2.6389999999999997E-7</v>
      </c>
      <c r="K95" s="24">
        <v>1.641</v>
      </c>
      <c r="L95" s="24">
        <v>1.641</v>
      </c>
      <c r="M95" s="24">
        <v>4.7500000000000001E-2</v>
      </c>
      <c r="N95" s="24">
        <v>2.5390000000000001</v>
      </c>
      <c r="O95" s="24">
        <v>2.9540000000000001E-7</v>
      </c>
      <c r="P95" s="24">
        <v>2.3130000000000001E-7</v>
      </c>
    </row>
    <row r="96" spans="2:16" x14ac:dyDescent="0.25">
      <c r="B96" s="22">
        <v>252</v>
      </c>
      <c r="C96" s="22" t="s">
        <v>50</v>
      </c>
      <c r="D96" s="22"/>
      <c r="E96" s="22">
        <v>1</v>
      </c>
      <c r="F96" s="22">
        <v>0.32</v>
      </c>
      <c r="G96" s="24">
        <v>1.275E-7</v>
      </c>
      <c r="H96" s="24">
        <v>4.1500000000000001E-8</v>
      </c>
      <c r="I96" s="24">
        <v>1.685E-6</v>
      </c>
      <c r="J96" s="24">
        <v>1.6119999999999999E-7</v>
      </c>
      <c r="K96" s="24">
        <v>1.8660000000000001</v>
      </c>
      <c r="L96" s="24">
        <v>1.8660000000000001</v>
      </c>
      <c r="M96" s="24">
        <v>4.725E-2</v>
      </c>
      <c r="N96" s="24">
        <v>2.6739999999999999</v>
      </c>
      <c r="O96" s="24">
        <v>2.3869999999999999E-7</v>
      </c>
      <c r="P96" s="24">
        <v>9.1370000000000014E-7</v>
      </c>
    </row>
    <row r="97" spans="2:16" x14ac:dyDescent="0.25">
      <c r="B97" s="22">
        <v>263</v>
      </c>
      <c r="C97" s="22" t="s">
        <v>50</v>
      </c>
      <c r="D97" s="22" t="s">
        <v>51</v>
      </c>
      <c r="E97" s="22">
        <v>1</v>
      </c>
      <c r="F97" s="22">
        <v>0.35920000000000002</v>
      </c>
      <c r="G97" s="24">
        <v>6.5099999999999994E-8</v>
      </c>
      <c r="H97" s="24">
        <v>2.7900000000000002E-8</v>
      </c>
      <c r="I97" s="24">
        <v>3.0120000000000002E-7</v>
      </c>
      <c r="J97" s="24">
        <v>1.04E-7</v>
      </c>
      <c r="K97" s="24">
        <v>1.554</v>
      </c>
      <c r="L97" s="24">
        <v>1.554</v>
      </c>
      <c r="M97" s="24">
        <v>4.9369999999999997E-2</v>
      </c>
      <c r="N97" s="24">
        <v>2.4380000000000002</v>
      </c>
      <c r="O97" s="24">
        <v>1.761E-7</v>
      </c>
      <c r="P97" s="24">
        <v>9.7100000000000003E-8</v>
      </c>
    </row>
    <row r="98" spans="2:16" x14ac:dyDescent="0.25">
      <c r="B98" s="22">
        <v>265</v>
      </c>
      <c r="C98" s="22" t="s">
        <v>50</v>
      </c>
      <c r="D98" s="22" t="s">
        <v>51</v>
      </c>
      <c r="E98" s="22">
        <v>1</v>
      </c>
      <c r="F98" s="22">
        <v>0.34</v>
      </c>
      <c r="G98" s="24">
        <v>9.1400000000000011E-8</v>
      </c>
      <c r="H98" s="24">
        <v>2.8600000000000005E-8</v>
      </c>
      <c r="I98" s="24">
        <v>4.1370000000000001E-7</v>
      </c>
      <c r="J98" s="24">
        <v>1.2930000000000003E-7</v>
      </c>
      <c r="K98" s="24">
        <v>1.546</v>
      </c>
      <c r="L98" s="24">
        <v>1.546</v>
      </c>
      <c r="M98" s="24">
        <v>4.7550000000000002E-2</v>
      </c>
      <c r="N98" s="24">
        <v>2.4060000000000001</v>
      </c>
      <c r="O98" s="24">
        <v>1.8490000000000002E-7</v>
      </c>
      <c r="P98" s="24">
        <v>1.2810000000000002E-7</v>
      </c>
    </row>
    <row r="99" spans="2:16" x14ac:dyDescent="0.25">
      <c r="B99" s="22">
        <v>267</v>
      </c>
      <c r="C99" s="22" t="s">
        <v>50</v>
      </c>
      <c r="D99" s="22" t="s">
        <v>51</v>
      </c>
      <c r="E99" s="22">
        <v>1</v>
      </c>
      <c r="F99" s="22">
        <v>0.33439999999999998</v>
      </c>
      <c r="G99" s="24">
        <v>2.0950000000000002E-7</v>
      </c>
      <c r="H99" s="24">
        <v>7.5700000000000009E-8</v>
      </c>
      <c r="I99" s="24">
        <v>2.2759999999999999E-6</v>
      </c>
      <c r="J99" s="24">
        <v>2.2760000000000005E-7</v>
      </c>
      <c r="K99" s="24">
        <v>1.6259999999999999</v>
      </c>
      <c r="L99" s="24">
        <v>1.6259999999999999</v>
      </c>
      <c r="M99" s="24">
        <v>4.7450000000000006E-2</v>
      </c>
      <c r="N99" s="24">
        <v>2.5110000000000001</v>
      </c>
      <c r="O99" s="24">
        <v>2.1970000000000004E-7</v>
      </c>
      <c r="P99" s="24">
        <v>4.6530000000000002E-7</v>
      </c>
    </row>
    <row r="100" spans="2:16" x14ac:dyDescent="0.25">
      <c r="B100" s="22">
        <v>268</v>
      </c>
      <c r="C100" s="22" t="s">
        <v>50</v>
      </c>
      <c r="D100" s="22" t="s">
        <v>51</v>
      </c>
      <c r="E100" s="22">
        <v>1</v>
      </c>
      <c r="F100" s="22">
        <v>0.33750000000000002</v>
      </c>
      <c r="G100" s="24">
        <v>1.381E-7</v>
      </c>
      <c r="H100" s="24">
        <v>4.0500000000000005E-8</v>
      </c>
      <c r="I100" s="24">
        <v>9.9390000000000013E-7</v>
      </c>
      <c r="J100" s="24">
        <v>1.55E-7</v>
      </c>
      <c r="K100" s="24">
        <v>1.603</v>
      </c>
      <c r="L100" s="24">
        <v>1.603</v>
      </c>
      <c r="M100" s="24">
        <v>4.7600000000000003E-2</v>
      </c>
      <c r="N100" s="24">
        <v>2.488</v>
      </c>
      <c r="O100" s="24">
        <v>2.3630000000000002E-7</v>
      </c>
      <c r="P100" s="24">
        <v>2.3830000000000004E-7</v>
      </c>
    </row>
    <row r="101" spans="2:16" x14ac:dyDescent="0.25">
      <c r="B101" s="22">
        <v>270</v>
      </c>
      <c r="C101" s="22" t="s">
        <v>50</v>
      </c>
      <c r="D101" s="22" t="s">
        <v>51</v>
      </c>
      <c r="E101" s="22">
        <v>1</v>
      </c>
      <c r="F101" s="22">
        <v>0.32800000000000001</v>
      </c>
      <c r="G101" s="24">
        <v>3.6900000000000004E-7</v>
      </c>
      <c r="H101" s="24">
        <v>7.0599999999999997E-8</v>
      </c>
      <c r="I101" s="24">
        <v>2.3269999999999995E-6</v>
      </c>
      <c r="J101" s="24">
        <v>2.4190000000000002E-7</v>
      </c>
      <c r="K101" s="24">
        <v>1.6879999999999999</v>
      </c>
      <c r="L101" s="24">
        <v>1.6879999999999999</v>
      </c>
      <c r="M101" s="24">
        <v>4.8180000000000001E-2</v>
      </c>
      <c r="N101" s="24">
        <v>2.6</v>
      </c>
      <c r="O101" s="24">
        <v>3.5980000000000003E-7</v>
      </c>
      <c r="P101" s="24">
        <v>8.2780000000000004E-7</v>
      </c>
    </row>
    <row r="102" spans="2:16" x14ac:dyDescent="0.25">
      <c r="B102" s="22">
        <v>272</v>
      </c>
      <c r="C102" s="22" t="s">
        <v>50</v>
      </c>
      <c r="D102" s="22" t="s">
        <v>51</v>
      </c>
      <c r="E102" s="22">
        <v>1</v>
      </c>
      <c r="F102" s="22">
        <v>0.33310000000000001</v>
      </c>
      <c r="G102" s="24">
        <v>7.61E-8</v>
      </c>
      <c r="H102" s="24">
        <v>3.7600000000000006E-8</v>
      </c>
      <c r="I102" s="24">
        <v>5.932000000000001E-7</v>
      </c>
      <c r="J102" s="24">
        <v>2.5310000000000001E-7</v>
      </c>
      <c r="K102" s="24">
        <v>1.5609999999999999</v>
      </c>
      <c r="L102" s="24">
        <v>1.5609999999999999</v>
      </c>
      <c r="M102" s="24">
        <v>4.8310000000000006E-2</v>
      </c>
      <c r="N102" s="24">
        <v>2.4129999999999998</v>
      </c>
      <c r="O102" s="24">
        <v>2.5620000000000003E-7</v>
      </c>
      <c r="P102" s="24">
        <v>1.4730000000000003E-7</v>
      </c>
    </row>
    <row r="103" spans="2:16" x14ac:dyDescent="0.25">
      <c r="B103" s="22">
        <v>274</v>
      </c>
      <c r="C103" s="22" t="s">
        <v>50</v>
      </c>
      <c r="D103" s="22" t="s">
        <v>51</v>
      </c>
      <c r="E103" s="22">
        <v>1</v>
      </c>
      <c r="F103" s="22">
        <v>0.36270000000000002</v>
      </c>
      <c r="G103" s="24">
        <v>1.1520000000000001E-7</v>
      </c>
      <c r="H103" s="24">
        <v>2.4800000000000004E-8</v>
      </c>
      <c r="I103" s="24">
        <v>5.6610000000000007E-7</v>
      </c>
      <c r="J103" s="24">
        <v>6.4099999999999998E-8</v>
      </c>
      <c r="K103" s="24">
        <v>1.61</v>
      </c>
      <c r="L103" s="24">
        <v>1.61</v>
      </c>
      <c r="M103" s="24">
        <v>4.8380000000000006E-2</v>
      </c>
      <c r="N103" s="24">
        <v>2.5310000000000001</v>
      </c>
      <c r="O103" s="24">
        <v>1.6130000000000002E-7</v>
      </c>
      <c r="P103" s="24">
        <v>1.765E-7</v>
      </c>
    </row>
    <row r="104" spans="2:16" x14ac:dyDescent="0.25">
      <c r="B104" s="22">
        <v>279</v>
      </c>
      <c r="C104" s="22" t="s">
        <v>50</v>
      </c>
      <c r="D104" s="22" t="s">
        <v>51</v>
      </c>
      <c r="E104" s="22">
        <v>1</v>
      </c>
      <c r="F104" s="22">
        <v>0.35780000000000001</v>
      </c>
      <c r="G104" s="24">
        <v>1.14E-7</v>
      </c>
      <c r="H104" s="24">
        <v>2.4300000000000003E-8</v>
      </c>
      <c r="I104" s="24">
        <v>4.3710000000000007E-7</v>
      </c>
      <c r="J104" s="24">
        <v>9.7100000000000003E-8</v>
      </c>
      <c r="K104" s="24">
        <v>1.56</v>
      </c>
      <c r="L104" s="24">
        <v>1.56</v>
      </c>
      <c r="M104" s="24">
        <v>4.743E-2</v>
      </c>
      <c r="N104" s="24">
        <v>2.4460000000000002</v>
      </c>
      <c r="O104" s="24">
        <v>1.6190000000000001E-7</v>
      </c>
      <c r="P104" s="24">
        <v>1.5690000000000001E-7</v>
      </c>
    </row>
    <row r="105" spans="2:16" x14ac:dyDescent="0.25">
      <c r="B105" s="22">
        <v>280</v>
      </c>
      <c r="C105" s="22" t="s">
        <v>50</v>
      </c>
      <c r="D105" s="22" t="s">
        <v>51</v>
      </c>
      <c r="E105" s="22">
        <v>1</v>
      </c>
      <c r="F105" s="22">
        <v>0.33630000000000004</v>
      </c>
      <c r="G105" s="24">
        <v>2.1820000000000001E-7</v>
      </c>
      <c r="H105" s="24">
        <v>4.4200000000000005E-8</v>
      </c>
      <c r="I105" s="24">
        <v>1.052E-6</v>
      </c>
      <c r="J105" s="24">
        <v>1.3140000000000003E-7</v>
      </c>
      <c r="K105" s="24">
        <v>1.663</v>
      </c>
      <c r="L105" s="24">
        <v>1.663</v>
      </c>
      <c r="M105" s="24">
        <v>4.7620000000000003E-2</v>
      </c>
      <c r="N105" s="24">
        <v>2.6019999999999999</v>
      </c>
      <c r="O105" s="24">
        <v>2.4009999999999999E-7</v>
      </c>
      <c r="P105" s="24">
        <v>3.3080000000000002E-7</v>
      </c>
    </row>
    <row r="106" spans="2:16" x14ac:dyDescent="0.25">
      <c r="B106" s="22">
        <v>283</v>
      </c>
      <c r="C106" s="22" t="s">
        <v>50</v>
      </c>
      <c r="D106" s="22" t="s">
        <v>51</v>
      </c>
      <c r="E106" s="22">
        <v>1</v>
      </c>
      <c r="F106" s="22">
        <v>0.34160000000000001</v>
      </c>
      <c r="G106" s="24">
        <v>2.2360000000000002E-7</v>
      </c>
      <c r="H106" s="24">
        <v>2.4699999999999999E-8</v>
      </c>
      <c r="I106" s="24">
        <v>1.1639999999999998E-6</v>
      </c>
      <c r="J106" s="24">
        <v>7.0300000000000001E-8</v>
      </c>
      <c r="K106" s="24">
        <v>1.6950000000000001</v>
      </c>
      <c r="L106" s="24">
        <v>1.6950000000000001</v>
      </c>
      <c r="M106" s="24">
        <v>4.8009999999999997E-2</v>
      </c>
      <c r="N106" s="24">
        <v>2.63</v>
      </c>
      <c r="O106" s="24">
        <v>1.6240000000000002E-7</v>
      </c>
      <c r="P106" s="24">
        <v>2.1490000000000003E-7</v>
      </c>
    </row>
    <row r="107" spans="2:16" x14ac:dyDescent="0.25">
      <c r="B107" s="22">
        <v>286</v>
      </c>
      <c r="C107" s="22" t="s">
        <v>50</v>
      </c>
      <c r="D107" s="22" t="s">
        <v>51</v>
      </c>
      <c r="E107" s="22">
        <v>1</v>
      </c>
      <c r="F107" s="22">
        <v>0.33300000000000002</v>
      </c>
      <c r="G107" s="24">
        <v>8.9500000000000001E-8</v>
      </c>
      <c r="H107" s="24">
        <v>2.3800000000000001E-8</v>
      </c>
      <c r="I107" s="24">
        <v>4.2370000000000002E-7</v>
      </c>
      <c r="J107" s="24">
        <v>8.2200000000000008E-8</v>
      </c>
      <c r="K107" s="24">
        <v>1.714</v>
      </c>
      <c r="L107" s="24">
        <v>1.714</v>
      </c>
      <c r="M107" s="24">
        <v>4.8049999999999995E-2</v>
      </c>
      <c r="N107" s="24">
        <v>2.6549999999999998</v>
      </c>
      <c r="O107" s="24">
        <v>1.6969999999999999E-7</v>
      </c>
      <c r="P107" s="24">
        <v>1.2890000000000002E-7</v>
      </c>
    </row>
    <row r="108" spans="2:16" x14ac:dyDescent="0.25">
      <c r="B108" s="22">
        <v>287</v>
      </c>
      <c r="C108" s="22" t="s">
        <v>50</v>
      </c>
      <c r="D108" s="22" t="s">
        <v>51</v>
      </c>
      <c r="E108" s="22">
        <v>1</v>
      </c>
      <c r="F108" s="22">
        <v>0.35000000000000003</v>
      </c>
      <c r="G108" s="24">
        <v>9.9099999999999994E-8</v>
      </c>
      <c r="H108" s="24">
        <v>2.4699999999999999E-8</v>
      </c>
      <c r="I108" s="24">
        <v>4.9580000000000009E-7</v>
      </c>
      <c r="J108" s="24">
        <v>6.8900000000000015E-8</v>
      </c>
      <c r="K108" s="24">
        <v>1.585</v>
      </c>
      <c r="L108" s="24">
        <v>1.585</v>
      </c>
      <c r="M108" s="24">
        <v>4.7919999999999997E-2</v>
      </c>
      <c r="N108" s="24">
        <v>2.4969999999999999</v>
      </c>
      <c r="O108" s="24">
        <v>1.607E-7</v>
      </c>
      <c r="P108" s="24">
        <v>1.5209999999999999E-7</v>
      </c>
    </row>
    <row r="109" spans="2:16" x14ac:dyDescent="0.25">
      <c r="B109" s="22">
        <v>292</v>
      </c>
      <c r="C109" s="22" t="s">
        <v>50</v>
      </c>
      <c r="D109" s="22" t="s">
        <v>51</v>
      </c>
      <c r="E109" s="22">
        <v>1</v>
      </c>
      <c r="F109" s="22">
        <v>0.32939999999999997</v>
      </c>
      <c r="G109" s="24">
        <v>1.0720000000000001E-7</v>
      </c>
      <c r="H109" s="24">
        <v>3.6600000000000003E-8</v>
      </c>
      <c r="I109" s="24">
        <v>4.9820000000000005E-7</v>
      </c>
      <c r="J109" s="24">
        <v>1.2870000000000001E-7</v>
      </c>
      <c r="K109" s="24">
        <v>1.748</v>
      </c>
      <c r="L109" s="24">
        <v>1.748</v>
      </c>
      <c r="M109" s="24">
        <v>4.7820000000000001E-2</v>
      </c>
      <c r="N109" s="24">
        <v>2.661</v>
      </c>
      <c r="O109" s="24">
        <v>2.1430000000000003E-7</v>
      </c>
      <c r="P109" s="24">
        <v>1.511E-7</v>
      </c>
    </row>
    <row r="110" spans="2:16" x14ac:dyDescent="0.25">
      <c r="B110" s="22">
        <v>293</v>
      </c>
      <c r="C110" s="22" t="s">
        <v>50</v>
      </c>
      <c r="D110" s="22" t="s">
        <v>51</v>
      </c>
      <c r="E110" s="22">
        <v>1</v>
      </c>
      <c r="F110" s="22">
        <v>9.9840000000000012E-2</v>
      </c>
      <c r="G110" s="24">
        <v>1.5450000000000001E-7</v>
      </c>
      <c r="H110" s="24">
        <v>2.8000000000000003E-8</v>
      </c>
      <c r="I110" s="24">
        <v>7.4490000000000006E-7</v>
      </c>
      <c r="J110" s="24">
        <v>6.7099999999999999E-8</v>
      </c>
      <c r="K110" s="24">
        <v>1.643</v>
      </c>
      <c r="L110" s="24">
        <v>1.643</v>
      </c>
      <c r="M110" s="24">
        <v>4.8930000000000001E-2</v>
      </c>
      <c r="N110" s="24">
        <v>2.5760000000000001</v>
      </c>
      <c r="O110" s="24">
        <v>1.7560000000000001E-7</v>
      </c>
      <c r="P110" s="24">
        <v>2.2110000000000001E-7</v>
      </c>
    </row>
    <row r="111" spans="2:16" x14ac:dyDescent="0.25">
      <c r="B111" s="22">
        <v>296</v>
      </c>
      <c r="C111" s="22" t="s">
        <v>50</v>
      </c>
      <c r="D111" s="22" t="s">
        <v>51</v>
      </c>
      <c r="E111" s="22">
        <v>1</v>
      </c>
      <c r="F111" s="22">
        <v>0.34410000000000002</v>
      </c>
      <c r="G111" s="24">
        <v>2.466E-7</v>
      </c>
      <c r="H111" s="24">
        <v>5.1200000000000008E-8</v>
      </c>
      <c r="I111" s="24">
        <v>1.2639999999999999E-6</v>
      </c>
      <c r="J111" s="24">
        <v>1.6130000000000002E-7</v>
      </c>
      <c r="K111" s="24">
        <v>1.6830000000000001</v>
      </c>
      <c r="L111" s="24">
        <v>1.6830000000000001</v>
      </c>
      <c r="M111" s="24">
        <v>4.768E-2</v>
      </c>
      <c r="N111" s="24">
        <v>2.617</v>
      </c>
      <c r="O111" s="24">
        <v>2.7230000000000002E-7</v>
      </c>
      <c r="P111" s="24">
        <v>3.967E-7</v>
      </c>
    </row>
    <row r="112" spans="2:16" x14ac:dyDescent="0.25">
      <c r="B112" s="22">
        <v>299</v>
      </c>
      <c r="C112" s="22" t="s">
        <v>50</v>
      </c>
      <c r="D112" s="22" t="s">
        <v>51</v>
      </c>
      <c r="E112" s="22">
        <v>1</v>
      </c>
      <c r="F112" s="22">
        <v>1.0279999999999999E-2</v>
      </c>
      <c r="G112" s="24">
        <v>8.1900000000000012E-8</v>
      </c>
      <c r="H112" s="24">
        <v>2.4500000000000001E-8</v>
      </c>
      <c r="I112" s="24">
        <v>1.6880000000000003E-7</v>
      </c>
      <c r="J112" s="24">
        <v>6.1799999999999998E-8</v>
      </c>
      <c r="K112" s="24">
        <v>1.895</v>
      </c>
      <c r="L112" s="24">
        <v>1.895</v>
      </c>
      <c r="M112" s="24">
        <v>4.9130000000000007E-2</v>
      </c>
      <c r="N112" s="24">
        <v>2.8929999999999998</v>
      </c>
      <c r="O112" s="24">
        <v>1.6550000000000002E-7</v>
      </c>
      <c r="P112" s="24">
        <v>3.417E-7</v>
      </c>
    </row>
    <row r="113" spans="2:16" x14ac:dyDescent="0.25">
      <c r="B113" s="22">
        <v>309</v>
      </c>
      <c r="C113" s="22" t="s">
        <v>50</v>
      </c>
      <c r="D113" s="22" t="s">
        <v>51</v>
      </c>
      <c r="E113" s="22">
        <v>1</v>
      </c>
      <c r="F113" s="22">
        <v>9.919E-2</v>
      </c>
      <c r="G113" s="24">
        <v>1.4630000000000003E-7</v>
      </c>
      <c r="H113" s="24">
        <v>2.9900000000000003E-8</v>
      </c>
      <c r="I113" s="24">
        <v>7.7670000000000012E-7</v>
      </c>
      <c r="J113" s="24">
        <v>9.1100000000000002E-8</v>
      </c>
      <c r="K113" s="24">
        <v>1.58</v>
      </c>
      <c r="L113" s="24">
        <v>1.58</v>
      </c>
      <c r="M113" s="24">
        <v>4.7599999999999996E-2</v>
      </c>
      <c r="N113" s="24">
        <v>2.476</v>
      </c>
      <c r="O113" s="24">
        <v>1.821E-7</v>
      </c>
      <c r="P113" s="24">
        <v>2.2050000000000002E-7</v>
      </c>
    </row>
    <row r="114" spans="2:16" x14ac:dyDescent="0.25">
      <c r="B114" s="22">
        <v>310</v>
      </c>
      <c r="C114" s="22" t="s">
        <v>50</v>
      </c>
      <c r="D114" s="22" t="s">
        <v>51</v>
      </c>
      <c r="E114" s="22">
        <v>1</v>
      </c>
      <c r="F114" s="22">
        <v>0.36349999999999999</v>
      </c>
      <c r="G114" s="24">
        <v>7.9700000000000006E-8</v>
      </c>
      <c r="H114" s="24">
        <v>2.6800000000000002E-8</v>
      </c>
      <c r="I114" s="24">
        <v>3.8360000000000002E-7</v>
      </c>
      <c r="J114" s="24">
        <v>7.4200000000000003E-8</v>
      </c>
      <c r="K114" s="24">
        <v>1.599</v>
      </c>
      <c r="L114" s="24">
        <v>1.599</v>
      </c>
      <c r="M114" s="24">
        <v>4.8240000000000005E-2</v>
      </c>
      <c r="N114" s="24">
        <v>2.5259999999999998</v>
      </c>
      <c r="O114" s="24">
        <v>1.6440000000000002E-7</v>
      </c>
      <c r="P114" s="24">
        <v>1.171E-7</v>
      </c>
    </row>
    <row r="115" spans="2:16" x14ac:dyDescent="0.25">
      <c r="B115" s="22">
        <v>315</v>
      </c>
      <c r="C115" s="22" t="s">
        <v>50</v>
      </c>
      <c r="D115" s="22"/>
      <c r="E115" s="22">
        <v>1</v>
      </c>
      <c r="F115" s="22">
        <v>0.35339999999999999</v>
      </c>
      <c r="G115" s="24">
        <v>2.7800000000000004E-8</v>
      </c>
      <c r="H115" s="24">
        <v>1.3300000000000002E-8</v>
      </c>
      <c r="I115" s="24">
        <v>1.3619999999999999E-7</v>
      </c>
      <c r="J115" s="24">
        <v>5.8100000000000004E-8</v>
      </c>
      <c r="K115" s="24">
        <v>1.6439999999999999</v>
      </c>
      <c r="L115" s="24">
        <v>1.6439999999999999</v>
      </c>
      <c r="M115" s="24">
        <v>4.8220000000000006E-2</v>
      </c>
      <c r="N115" s="24">
        <v>2.7490000000000001</v>
      </c>
      <c r="O115" s="24">
        <v>8.5000000000000007E-8</v>
      </c>
      <c r="P115" s="24">
        <v>8.1200000000000012E-8</v>
      </c>
    </row>
    <row r="116" spans="2:16" x14ac:dyDescent="0.25">
      <c r="B116" s="22">
        <v>319</v>
      </c>
      <c r="C116" s="22" t="s">
        <v>50</v>
      </c>
      <c r="D116" s="22" t="s">
        <v>51</v>
      </c>
      <c r="E116" s="22">
        <v>1</v>
      </c>
      <c r="F116" s="22">
        <v>1.984E-2</v>
      </c>
      <c r="G116" s="24">
        <v>2.2930000000000002E-7</v>
      </c>
      <c r="H116" s="24">
        <v>5.2700000000000009E-8</v>
      </c>
      <c r="I116" s="24">
        <v>2.317E-6</v>
      </c>
      <c r="J116" s="24">
        <v>1.991E-7</v>
      </c>
      <c r="K116" s="24">
        <v>1.6120000000000001</v>
      </c>
      <c r="L116" s="24">
        <v>1.6120000000000001</v>
      </c>
      <c r="M116" s="24">
        <v>4.8090000000000008E-2</v>
      </c>
      <c r="N116" s="24">
        <v>2.4900000000000002</v>
      </c>
      <c r="O116" s="24">
        <v>2.8610000000000005E-7</v>
      </c>
      <c r="P116" s="24">
        <v>4.1830000000000003E-7</v>
      </c>
    </row>
    <row r="117" spans="2:16" x14ac:dyDescent="0.25">
      <c r="B117" s="22">
        <v>320</v>
      </c>
      <c r="C117" s="22" t="s">
        <v>50</v>
      </c>
      <c r="D117" s="22" t="s">
        <v>51</v>
      </c>
      <c r="E117" s="22">
        <v>1</v>
      </c>
      <c r="F117" s="22">
        <v>0.32489999999999997</v>
      </c>
      <c r="G117" s="24">
        <v>2.0690000000000001E-7</v>
      </c>
      <c r="H117" s="24">
        <v>3.3200000000000006E-8</v>
      </c>
      <c r="I117" s="24">
        <v>1.6730000000000002E-7</v>
      </c>
      <c r="J117" s="24">
        <v>5.84E-8</v>
      </c>
      <c r="K117" s="24">
        <v>1.804</v>
      </c>
      <c r="L117" s="24">
        <v>1.804</v>
      </c>
      <c r="M117" s="24">
        <v>4.8050000000000002E-2</v>
      </c>
      <c r="N117" s="24">
        <v>2.75</v>
      </c>
      <c r="O117" s="24">
        <v>1.9600000000000001E-7</v>
      </c>
      <c r="P117" s="24">
        <v>3.4719999999999999E-7</v>
      </c>
    </row>
    <row r="118" spans="2:16" x14ac:dyDescent="0.25">
      <c r="B118" s="22">
        <v>321</v>
      </c>
      <c r="C118" s="22" t="s">
        <v>50</v>
      </c>
      <c r="D118" s="22" t="s">
        <v>51</v>
      </c>
      <c r="E118" s="22">
        <v>1</v>
      </c>
      <c r="F118" s="22">
        <v>0.35589999999999999</v>
      </c>
      <c r="G118" s="24">
        <v>2.1880000000000003E-7</v>
      </c>
      <c r="H118" s="24">
        <v>4.7500000000000002E-8</v>
      </c>
      <c r="I118" s="24">
        <v>2.0089999999999997E-6</v>
      </c>
      <c r="J118" s="24">
        <v>1.596E-7</v>
      </c>
      <c r="K118" s="24">
        <v>1.623</v>
      </c>
      <c r="L118" s="24">
        <v>1.623</v>
      </c>
      <c r="M118" s="24">
        <v>4.7379999999999999E-2</v>
      </c>
      <c r="N118" s="24">
        <v>2.5099999999999998</v>
      </c>
      <c r="O118" s="24">
        <v>2.5820000000000002E-7</v>
      </c>
      <c r="P118" s="24">
        <v>4.5220000000000004E-7</v>
      </c>
    </row>
    <row r="119" spans="2:16" x14ac:dyDescent="0.25">
      <c r="B119" s="22">
        <v>322</v>
      </c>
      <c r="C119" s="22" t="s">
        <v>50</v>
      </c>
      <c r="D119" s="22" t="s">
        <v>51</v>
      </c>
      <c r="E119" s="22">
        <v>1</v>
      </c>
      <c r="F119" s="22">
        <v>0.33500000000000002</v>
      </c>
      <c r="G119" s="24">
        <v>7.5600000000000002E-8</v>
      </c>
      <c r="H119" s="24">
        <v>2.55E-8</v>
      </c>
      <c r="I119" s="24">
        <v>3.6450000000000001E-7</v>
      </c>
      <c r="J119" s="24">
        <v>8.3700000000000002E-8</v>
      </c>
      <c r="K119" s="24">
        <v>1.6160000000000001</v>
      </c>
      <c r="L119" s="24">
        <v>1.6160000000000001</v>
      </c>
      <c r="M119" s="24">
        <v>4.7370000000000002E-2</v>
      </c>
      <c r="N119" s="24">
        <v>2.5009999999999999</v>
      </c>
      <c r="O119" s="24">
        <v>1.5800000000000001E-7</v>
      </c>
      <c r="P119" s="24">
        <v>1.096E-7</v>
      </c>
    </row>
    <row r="120" spans="2:16" x14ac:dyDescent="0.25">
      <c r="B120" s="22">
        <v>323</v>
      </c>
      <c r="C120" s="22" t="s">
        <v>50</v>
      </c>
      <c r="D120" s="22" t="s">
        <v>51</v>
      </c>
      <c r="E120" s="22">
        <v>1</v>
      </c>
      <c r="F120" s="22">
        <v>0.35039999999999999</v>
      </c>
      <c r="G120" s="24">
        <v>1.226E-7</v>
      </c>
      <c r="H120" s="24">
        <v>3.6000000000000005E-8</v>
      </c>
      <c r="I120" s="24">
        <v>7.5890000000000005E-7</v>
      </c>
      <c r="J120" s="24">
        <v>1.5240000000000001E-7</v>
      </c>
      <c r="K120" s="24">
        <v>1.679</v>
      </c>
      <c r="L120" s="24">
        <v>1.679</v>
      </c>
      <c r="M120" s="24">
        <v>4.7939999999999997E-2</v>
      </c>
      <c r="N120" s="24">
        <v>2.57</v>
      </c>
      <c r="O120" s="24">
        <v>2.1410000000000002E-7</v>
      </c>
      <c r="P120" s="24">
        <v>1.952E-7</v>
      </c>
    </row>
    <row r="121" spans="2:16" x14ac:dyDescent="0.25">
      <c r="B121" s="22">
        <v>325</v>
      </c>
      <c r="C121" s="22" t="s">
        <v>50</v>
      </c>
      <c r="D121" s="22" t="s">
        <v>51</v>
      </c>
      <c r="E121" s="22">
        <v>1</v>
      </c>
      <c r="F121" s="22">
        <v>1.251E-2</v>
      </c>
      <c r="G121" s="24">
        <v>1.0900000000000001E-7</v>
      </c>
      <c r="H121" s="24">
        <v>6.06E-8</v>
      </c>
      <c r="I121" s="24">
        <v>1.485E-6</v>
      </c>
      <c r="J121" s="24">
        <v>2.5520000000000001E-7</v>
      </c>
      <c r="K121" s="24">
        <v>1.577</v>
      </c>
      <c r="L121" s="24">
        <v>1.577</v>
      </c>
      <c r="M121" s="24">
        <v>4.7690000000000003E-2</v>
      </c>
      <c r="N121" s="24">
        <v>2.415</v>
      </c>
      <c r="O121" s="24">
        <v>2.0020000000000001E-7</v>
      </c>
      <c r="P121" s="24">
        <v>3.7370000000000002E-7</v>
      </c>
    </row>
    <row r="122" spans="2:16" x14ac:dyDescent="0.25">
      <c r="B122" s="22">
        <v>326</v>
      </c>
      <c r="C122" s="22" t="s">
        <v>50</v>
      </c>
      <c r="D122" s="22" t="s">
        <v>51</v>
      </c>
      <c r="E122" s="22">
        <v>1</v>
      </c>
      <c r="F122" s="22">
        <v>3.184E-2</v>
      </c>
      <c r="G122" s="24">
        <v>5.03E-8</v>
      </c>
      <c r="H122" s="24">
        <v>1.52E-8</v>
      </c>
      <c r="I122" s="24">
        <v>3.3169999999999999E-7</v>
      </c>
      <c r="J122" s="24">
        <v>8.5900000000000008E-8</v>
      </c>
      <c r="K122" s="24">
        <v>1.6220000000000001</v>
      </c>
      <c r="L122" s="24">
        <v>1.6220000000000001</v>
      </c>
      <c r="M122" s="24">
        <v>4.7940000000000003E-2</v>
      </c>
      <c r="N122" s="24">
        <v>2.512</v>
      </c>
      <c r="O122" s="24">
        <v>1.5740000000000002E-7</v>
      </c>
      <c r="P122" s="24">
        <v>9.9200000000000015E-8</v>
      </c>
    </row>
    <row r="123" spans="2:16" x14ac:dyDescent="0.25">
      <c r="B123" s="22">
        <v>329</v>
      </c>
      <c r="C123" s="22" t="s">
        <v>50</v>
      </c>
      <c r="D123" s="22" t="s">
        <v>51</v>
      </c>
      <c r="E123" s="22">
        <v>1</v>
      </c>
      <c r="F123" s="22">
        <v>0.36130000000000001</v>
      </c>
      <c r="G123" s="24">
        <v>1.906E-7</v>
      </c>
      <c r="H123" s="24">
        <v>3.9400000000000002E-8</v>
      </c>
      <c r="I123" s="24">
        <v>8.7360000000000009E-7</v>
      </c>
      <c r="J123" s="24">
        <v>1.3830000000000001E-7</v>
      </c>
      <c r="K123" s="24">
        <v>1.621</v>
      </c>
      <c r="L123" s="24">
        <v>1.621</v>
      </c>
      <c r="M123" s="24">
        <v>4.8810000000000006E-2</v>
      </c>
      <c r="N123" s="24">
        <v>2.5139999999999998</v>
      </c>
      <c r="O123" s="24">
        <v>2.3370000000000001E-7</v>
      </c>
      <c r="P123" s="24">
        <v>2.6199999999999999E-7</v>
      </c>
    </row>
    <row r="124" spans="2:16" x14ac:dyDescent="0.25">
      <c r="B124" s="22">
        <v>330</v>
      </c>
      <c r="C124" s="22" t="s">
        <v>50</v>
      </c>
      <c r="D124" s="22" t="s">
        <v>51</v>
      </c>
      <c r="E124" s="22">
        <v>1</v>
      </c>
      <c r="F124" s="22">
        <v>0.3347</v>
      </c>
      <c r="G124" s="24">
        <v>8.5800000000000001E-8</v>
      </c>
      <c r="H124" s="24">
        <v>4.1600000000000002E-8</v>
      </c>
      <c r="I124" s="24">
        <v>5.2629999999999994E-7</v>
      </c>
      <c r="J124" s="24">
        <v>2.8450000000000004E-7</v>
      </c>
      <c r="K124" s="24">
        <v>1.5669999999999999</v>
      </c>
      <c r="L124" s="24">
        <v>1.5669999999999999</v>
      </c>
      <c r="M124" s="24">
        <v>4.7550000000000002E-2</v>
      </c>
      <c r="N124" s="24">
        <v>2.4319999999999999</v>
      </c>
      <c r="O124" s="24">
        <v>2.7360000000000001E-7</v>
      </c>
      <c r="P124" s="24">
        <v>1.3200000000000002E-7</v>
      </c>
    </row>
    <row r="125" spans="2:16" x14ac:dyDescent="0.25">
      <c r="B125" s="22">
        <v>336</v>
      </c>
      <c r="C125" s="22" t="s">
        <v>50</v>
      </c>
      <c r="D125" s="22" t="s">
        <v>51</v>
      </c>
      <c r="E125" s="22">
        <v>1</v>
      </c>
      <c r="F125" s="22">
        <v>0.3392</v>
      </c>
      <c r="G125" s="24">
        <v>6.9200000000000011E-8</v>
      </c>
      <c r="H125" s="24">
        <v>2.2500000000000003E-8</v>
      </c>
      <c r="I125" s="24">
        <v>3.1320000000000003E-7</v>
      </c>
      <c r="J125" s="24">
        <v>8.5300000000000003E-8</v>
      </c>
      <c r="K125" s="24">
        <v>1.5549999999999999</v>
      </c>
      <c r="L125" s="24">
        <v>1.5549999999999999</v>
      </c>
      <c r="M125" s="24">
        <v>4.7700000000000006E-2</v>
      </c>
      <c r="N125" s="24">
        <v>2.4390000000000001</v>
      </c>
      <c r="O125" s="24">
        <v>1.575E-7</v>
      </c>
      <c r="P125" s="24">
        <v>9.5700000000000003E-8</v>
      </c>
    </row>
    <row r="126" spans="2:16" x14ac:dyDescent="0.25">
      <c r="B126" s="22">
        <v>340</v>
      </c>
      <c r="C126" s="22" t="s">
        <v>50</v>
      </c>
      <c r="D126" s="22" t="s">
        <v>51</v>
      </c>
      <c r="E126" s="22">
        <v>1</v>
      </c>
      <c r="F126" s="22">
        <v>0.33700000000000002</v>
      </c>
      <c r="G126" s="24">
        <v>8.1400000000000014E-8</v>
      </c>
      <c r="H126" s="24">
        <v>2.0899999999999999E-8</v>
      </c>
      <c r="I126" s="24">
        <v>4.1740000000000002E-7</v>
      </c>
      <c r="J126" s="24">
        <v>1.05E-7</v>
      </c>
      <c r="K126" s="24">
        <v>1.5669999999999999</v>
      </c>
      <c r="L126" s="24">
        <v>1.5669999999999999</v>
      </c>
      <c r="M126" s="24">
        <v>4.8520000000000008E-2</v>
      </c>
      <c r="N126" s="24">
        <v>2.4369999999999998</v>
      </c>
      <c r="O126" s="24">
        <v>1.7490000000000001E-7</v>
      </c>
      <c r="P126" s="24">
        <v>1.2590000000000001E-7</v>
      </c>
    </row>
  </sheetData>
  <sheetProtection algorithmName="SHA-512" hashValue="tzxobGqRq9sAdidvt8YXAiP8JI+rl2gFqcjeuFw84gZ2Pzm8r4+LQgle9x8DYQJ1wPwdhl4G/CknNRjTPoxC0Q==" saltValue="MBDmIxH4xipjwh48m8VDZg==" spinCount="100000" sheet="1" objects="1" scenarios="1" sort="0" autoFilter="0"/>
  <autoFilter ref="A10:Q126" xr:uid="{302C6DAA-22FB-43C8-BF1A-CD6D5387E350}"/>
  <mergeCells count="14">
    <mergeCell ref="A1:F1"/>
    <mergeCell ref="K1:L1"/>
    <mergeCell ref="M1:N1"/>
    <mergeCell ref="O1:P1"/>
    <mergeCell ref="A2:B2"/>
    <mergeCell ref="C2:D2"/>
    <mergeCell ref="E2:F2"/>
    <mergeCell ref="H2:Q2"/>
    <mergeCell ref="A3:B3"/>
    <mergeCell ref="C3:D3"/>
    <mergeCell ref="E3:F3"/>
    <mergeCell ref="H3:Q3"/>
    <mergeCell ref="A4:G4"/>
    <mergeCell ref="H4:Q4"/>
  </mergeCells>
  <conditionalFormatting sqref="A11:A71">
    <cfRule type="duplicateValues" dxfId="43" priority="9"/>
  </conditionalFormatting>
  <conditionalFormatting sqref="A3:G3">
    <cfRule type="cellIs" dxfId="42" priority="1" operator="equal">
      <formula>0</formula>
    </cfRule>
  </conditionalFormatting>
  <conditionalFormatting sqref="B11:B71">
    <cfRule type="duplicateValues" dxfId="41" priority="10"/>
  </conditionalFormatting>
  <conditionalFormatting sqref="C11:C1623">
    <cfRule type="containsBlanks" dxfId="40" priority="5" stopIfTrue="1">
      <formula>LEN(TRIM(C11))=0</formula>
    </cfRule>
    <cfRule type="cellIs" dxfId="39" priority="6" stopIfTrue="1" operator="equal">
      <formula>"ND"</formula>
    </cfRule>
    <cfRule type="cellIs" dxfId="38" priority="7" operator="equal">
      <formula>"ALL PASS"</formula>
    </cfRule>
    <cfRule type="cellIs" dxfId="37" priority="8" operator="notEqual">
      <formula>"ALL PASS"</formula>
    </cfRule>
  </conditionalFormatting>
  <conditionalFormatting sqref="E11:E1623">
    <cfRule type="cellIs" dxfId="36" priority="2" stopIfTrue="1" operator="equal">
      <formula>99</formula>
    </cfRule>
    <cfRule type="cellIs" dxfId="35" priority="3" operator="between">
      <formula>2</formula>
      <formula>98</formula>
    </cfRule>
    <cfRule type="cellIs" dxfId="34" priority="4" operator="equal">
      <formula>1</formula>
    </cfRule>
  </conditionalFormatting>
  <hyperlinks>
    <hyperlink ref="H1" location="INDEX!A1" display="RETURN TO INDEX" xr:uid="{E9EAA4F8-5AB7-406C-A684-C2A8C03A3088}"/>
    <hyperlink ref="H1:I1" location="INDEX!A1" display="RETURN TO INDEX" xr:uid="{CC9DCD6B-5560-4A1F-B03C-73E9E802A317}"/>
    <hyperlink ref="M1" location="'SCREENING STATUS'!A1" display="SCREENING STATUS" xr:uid="{9FE6C6A1-0476-473C-BEE9-69AFA4630468}"/>
    <hyperlink ref="J1" location="SUMMARY!A1" display="SUMMARY" xr:uid="{9855EBAC-6411-45C1-9103-88C62A6D3EE4}"/>
    <hyperlink ref="K1" location="'SCREENING STATUS'!A1" display="SCREENING STATUS" xr:uid="{5DD0C77B-3310-4584-B28A-0B7ECA89BBF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D117-A02D-420B-A942-94F5DDD0F34E}">
  <sheetPr>
    <tabColor theme="4" tint="-0.249977111117893"/>
  </sheetPr>
  <dimension ref="A1:N126"/>
  <sheetViews>
    <sheetView zoomScale="95" zoomScaleNormal="95" workbookViewId="0">
      <pane xSplit="3" ySplit="10" topLeftCell="D11" activePane="bottomRight" state="frozen"/>
      <selection activeCell="D250" sqref="D250"/>
      <selection pane="topRight" activeCell="D250" sqref="D250"/>
      <selection pane="bottomLeft" activeCell="D250" sqref="D250"/>
      <selection pane="bottomRight" activeCell="D11" sqref="D11"/>
    </sheetView>
  </sheetViews>
  <sheetFormatPr defaultColWidth="0" defaultRowHeight="15" customHeight="1" zeroHeight="1" x14ac:dyDescent="0.25"/>
  <cols>
    <col min="1" max="1" width="18.85546875" customWidth="1"/>
    <col min="2" max="2" width="12.28515625" style="21" customWidth="1"/>
    <col min="3" max="3" width="13.5703125" style="21" customWidth="1"/>
    <col min="4" max="4" width="5.5703125" style="21" customWidth="1"/>
    <col min="5" max="5" width="3.85546875" style="21" customWidth="1"/>
    <col min="6" max="14" width="18.85546875" customWidth="1"/>
  </cols>
  <sheetData>
    <row r="1" spans="1:14" ht="24" x14ac:dyDescent="0.25">
      <c r="A1" s="81" t="s">
        <v>53</v>
      </c>
      <c r="B1" s="81"/>
      <c r="C1" s="81"/>
      <c r="D1" s="81"/>
      <c r="E1" s="81"/>
      <c r="F1" s="81"/>
      <c r="G1" s="4"/>
      <c r="H1" s="2" t="s">
        <v>1</v>
      </c>
      <c r="I1" s="2"/>
      <c r="J1" s="5" t="s">
        <v>6</v>
      </c>
      <c r="K1" s="75" t="s">
        <v>7</v>
      </c>
      <c r="L1" s="75"/>
      <c r="M1" s="75" t="s">
        <v>2</v>
      </c>
      <c r="N1" s="75"/>
    </row>
    <row r="2" spans="1:14" ht="24" x14ac:dyDescent="0.25">
      <c r="A2" s="76" t="s">
        <v>100</v>
      </c>
      <c r="B2" s="76"/>
      <c r="C2" s="76" t="s">
        <v>101</v>
      </c>
      <c r="D2" s="76"/>
      <c r="E2" s="76" t="s">
        <v>102</v>
      </c>
      <c r="F2" s="76"/>
      <c r="G2" s="6" t="s">
        <v>103</v>
      </c>
      <c r="H2" s="77" t="s">
        <v>8</v>
      </c>
      <c r="I2" s="78"/>
      <c r="J2" s="78"/>
      <c r="K2" s="78"/>
      <c r="L2" s="78"/>
      <c r="M2" s="78"/>
      <c r="N2" s="78"/>
    </row>
    <row r="3" spans="1:14" ht="24" x14ac:dyDescent="0.25">
      <c r="A3" s="76" t="s">
        <v>104</v>
      </c>
      <c r="B3" s="76"/>
      <c r="C3" s="76" t="s">
        <v>104</v>
      </c>
      <c r="D3" s="76"/>
      <c r="E3" s="76"/>
      <c r="F3" s="76"/>
      <c r="G3" s="6">
        <v>2347</v>
      </c>
      <c r="H3" s="77"/>
      <c r="I3" s="78"/>
      <c r="J3" s="78"/>
      <c r="K3" s="78"/>
      <c r="L3" s="78"/>
      <c r="M3" s="78"/>
      <c r="N3" s="78"/>
    </row>
    <row r="4" spans="1:14" ht="24" x14ac:dyDescent="0.4">
      <c r="A4" s="79" t="str">
        <f>IF($B$5=$B$6,"PASS","FAIL")</f>
        <v>PASS</v>
      </c>
      <c r="B4" s="80"/>
      <c r="C4" s="80"/>
      <c r="D4" s="80"/>
      <c r="E4" s="80"/>
      <c r="F4" s="80"/>
      <c r="G4" s="80"/>
      <c r="H4" s="78"/>
      <c r="I4" s="78"/>
      <c r="J4" s="78"/>
      <c r="K4" s="78"/>
      <c r="L4" s="78"/>
      <c r="M4" s="78"/>
      <c r="N4" s="78"/>
    </row>
    <row r="5" spans="1:14" x14ac:dyDescent="0.25">
      <c r="A5" s="7" t="s">
        <v>9</v>
      </c>
      <c r="B5" s="8">
        <f>COUNTA(C$11:C$2000)-COUNTIF(C11:C$2000,"ND")</f>
        <v>116</v>
      </c>
      <c r="C5" s="9"/>
      <c r="D5" s="10"/>
      <c r="E5" s="10"/>
      <c r="F5" s="11"/>
      <c r="G5" s="11"/>
      <c r="H5" s="12"/>
      <c r="I5" s="11"/>
      <c r="J5" s="11"/>
      <c r="K5" s="11"/>
      <c r="L5" s="11"/>
      <c r="M5" s="11"/>
      <c r="N5" s="11"/>
    </row>
    <row r="6" spans="1:14" x14ac:dyDescent="0.25">
      <c r="A6" s="13" t="s">
        <v>10</v>
      </c>
      <c r="B6" s="14">
        <f>COUNTIF(C11:C$2000,"All Pass")</f>
        <v>116</v>
      </c>
      <c r="C6" s="15"/>
      <c r="D6" s="15"/>
      <c r="E6" s="15"/>
      <c r="F6" s="16" t="s">
        <v>11</v>
      </c>
      <c r="G6" s="16" t="s">
        <v>54</v>
      </c>
      <c r="H6" s="17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</row>
    <row r="7" spans="1:14" x14ac:dyDescent="0.25">
      <c r="A7" s="13" t="s">
        <v>22</v>
      </c>
      <c r="B7" s="14">
        <f>COUNTIF(C11:C$2000,"ND")</f>
        <v>0</v>
      </c>
      <c r="C7" s="15"/>
      <c r="D7" s="15"/>
      <c r="E7" s="15"/>
      <c r="F7" s="16" t="s">
        <v>23</v>
      </c>
      <c r="G7" s="16" t="s">
        <v>62</v>
      </c>
      <c r="H7" s="17" t="s">
        <v>63</v>
      </c>
      <c r="I7" s="16" t="s">
        <v>62</v>
      </c>
      <c r="J7" s="16" t="s">
        <v>64</v>
      </c>
      <c r="K7" s="16" t="s">
        <v>65</v>
      </c>
      <c r="L7" s="16" t="s">
        <v>66</v>
      </c>
      <c r="M7" s="16" t="s">
        <v>67</v>
      </c>
      <c r="N7" s="16" t="s">
        <v>68</v>
      </c>
    </row>
    <row r="8" spans="1:14" x14ac:dyDescent="0.25">
      <c r="A8" s="13" t="s">
        <v>31</v>
      </c>
      <c r="B8" s="14">
        <f>B5-B6</f>
        <v>0</v>
      </c>
      <c r="C8" s="15"/>
      <c r="D8" s="15"/>
      <c r="E8" s="15"/>
      <c r="F8" s="16" t="s">
        <v>32</v>
      </c>
      <c r="G8" s="16" t="s">
        <v>33</v>
      </c>
      <c r="H8" s="17" t="s">
        <v>34</v>
      </c>
      <c r="I8" s="16" t="s">
        <v>35</v>
      </c>
      <c r="J8" s="16" t="s">
        <v>36</v>
      </c>
      <c r="K8" s="16" t="s">
        <v>37</v>
      </c>
      <c r="L8" s="16" t="s">
        <v>38</v>
      </c>
      <c r="M8" s="16" t="s">
        <v>39</v>
      </c>
      <c r="N8" s="16" t="s">
        <v>40</v>
      </c>
    </row>
    <row r="9" spans="1:14" x14ac:dyDescent="0.25">
      <c r="A9" s="15" t="s">
        <v>43</v>
      </c>
      <c r="B9" s="15" t="s">
        <v>44</v>
      </c>
      <c r="C9" s="15" t="s">
        <v>45</v>
      </c>
      <c r="D9" s="15" t="s">
        <v>46</v>
      </c>
      <c r="E9" s="15" t="s">
        <v>47</v>
      </c>
      <c r="F9" s="16" t="s">
        <v>48</v>
      </c>
      <c r="G9" s="16"/>
      <c r="H9" s="18"/>
      <c r="I9" s="16"/>
      <c r="J9" s="16"/>
      <c r="K9" s="16"/>
      <c r="L9" s="16"/>
      <c r="M9" s="16" t="s">
        <v>49</v>
      </c>
      <c r="N9" s="16"/>
    </row>
    <row r="10" spans="1:14" x14ac:dyDescent="0.25">
      <c r="A10" s="29"/>
      <c r="B10" s="30"/>
      <c r="C10" s="31"/>
      <c r="D10" s="31"/>
      <c r="E10" s="32"/>
      <c r="F10" s="33"/>
      <c r="G10" s="34"/>
      <c r="H10" s="35"/>
      <c r="I10" s="35"/>
      <c r="J10" s="33"/>
      <c r="K10" s="35"/>
      <c r="L10" s="34"/>
      <c r="M10" s="36"/>
      <c r="N10" s="37"/>
    </row>
    <row r="11" spans="1:14" x14ac:dyDescent="0.25">
      <c r="B11" s="22">
        <v>4</v>
      </c>
      <c r="C11" s="22" t="s">
        <v>50</v>
      </c>
      <c r="D11" s="22"/>
      <c r="E11" s="22">
        <v>1</v>
      </c>
      <c r="F11" s="22">
        <v>0.24230000000000002</v>
      </c>
      <c r="G11" s="24">
        <v>6.4999999999999996E-6</v>
      </c>
      <c r="H11" s="24">
        <v>6.0179999999999998E-6</v>
      </c>
      <c r="I11" s="24">
        <v>2.0559999999999996E-5</v>
      </c>
      <c r="J11" s="24">
        <v>5.5060000000000003E-6</v>
      </c>
      <c r="K11" s="24">
        <v>1.4570000000000001</v>
      </c>
      <c r="L11" s="24">
        <v>1.4570000000000001</v>
      </c>
      <c r="M11" s="24">
        <v>7.2270000000000001E-2</v>
      </c>
      <c r="N11" s="24">
        <v>2.6070000000000002</v>
      </c>
    </row>
    <row r="12" spans="1:14" x14ac:dyDescent="0.25">
      <c r="B12" s="22">
        <v>5</v>
      </c>
      <c r="C12" s="22" t="s">
        <v>50</v>
      </c>
      <c r="D12" s="22"/>
      <c r="E12" s="22">
        <v>1</v>
      </c>
      <c r="F12" s="22">
        <v>0.2384</v>
      </c>
      <c r="G12" s="24">
        <v>2.0019999999999996E-6</v>
      </c>
      <c r="H12" s="24">
        <v>4.1980000000000003E-6</v>
      </c>
      <c r="I12" s="24">
        <v>5.5990000000000001E-6</v>
      </c>
      <c r="J12" s="24">
        <v>2.3E-5</v>
      </c>
      <c r="K12" s="24">
        <v>1.35</v>
      </c>
      <c r="L12" s="24">
        <v>1.35</v>
      </c>
      <c r="M12" s="24">
        <v>7.4050000000000005E-2</v>
      </c>
      <c r="N12" s="24">
        <v>2.4140000000000001</v>
      </c>
    </row>
    <row r="13" spans="1:14" x14ac:dyDescent="0.25">
      <c r="B13" s="22">
        <v>8</v>
      </c>
      <c r="C13" s="22" t="s">
        <v>50</v>
      </c>
      <c r="D13" s="22"/>
      <c r="E13" s="22">
        <v>1</v>
      </c>
      <c r="F13" s="22">
        <v>0.25280000000000002</v>
      </c>
      <c r="G13" s="24">
        <v>2.6000000000000001E-6</v>
      </c>
      <c r="H13" s="24">
        <v>4.6909999999999996E-6</v>
      </c>
      <c r="I13" s="24">
        <v>7.4159999999999998E-6</v>
      </c>
      <c r="J13" s="24">
        <v>7.4289999999999995E-6</v>
      </c>
      <c r="K13" s="24">
        <v>1.3580000000000001</v>
      </c>
      <c r="L13" s="24">
        <v>1.3580000000000001</v>
      </c>
      <c r="M13" s="24">
        <v>7.0640000000000008E-2</v>
      </c>
      <c r="N13" s="24">
        <v>2.4630000000000001</v>
      </c>
    </row>
    <row r="14" spans="1:14" x14ac:dyDescent="0.25">
      <c r="B14" s="22">
        <v>10</v>
      </c>
      <c r="C14" s="22" t="s">
        <v>50</v>
      </c>
      <c r="D14" s="22"/>
      <c r="E14" s="22">
        <v>1</v>
      </c>
      <c r="F14" s="22">
        <v>0.22119999999999998</v>
      </c>
      <c r="G14" s="24">
        <v>1.1919999999999999E-5</v>
      </c>
      <c r="H14" s="24">
        <v>6.2060000000000004E-6</v>
      </c>
      <c r="I14" s="24">
        <v>3.1389999999999996E-5</v>
      </c>
      <c r="J14" s="24">
        <v>7.0069999999999992E-6</v>
      </c>
      <c r="K14" s="24">
        <v>1.64</v>
      </c>
      <c r="L14" s="24">
        <v>1.64</v>
      </c>
      <c r="M14" s="24">
        <v>7.3069999999999996E-2</v>
      </c>
      <c r="N14" s="24">
        <v>2.8069999999999999</v>
      </c>
    </row>
    <row r="15" spans="1:14" x14ac:dyDescent="0.25">
      <c r="B15" s="22">
        <v>22</v>
      </c>
      <c r="C15" s="22" t="s">
        <v>50</v>
      </c>
      <c r="D15" s="22"/>
      <c r="E15" s="22">
        <v>1</v>
      </c>
      <c r="F15" s="22">
        <v>0.24809999999999999</v>
      </c>
      <c r="G15" s="24">
        <v>9.8079999999999999E-6</v>
      </c>
      <c r="H15" s="24">
        <v>4.6859999999999997E-6</v>
      </c>
      <c r="I15" s="24">
        <v>3.1029999999999999E-5</v>
      </c>
      <c r="J15" s="24">
        <v>5.4E-6</v>
      </c>
      <c r="K15" s="24">
        <v>1.532</v>
      </c>
      <c r="L15" s="24">
        <v>1.532</v>
      </c>
      <c r="M15" s="24">
        <v>7.1069999999999994E-2</v>
      </c>
      <c r="N15" s="24">
        <v>2.681</v>
      </c>
    </row>
    <row r="16" spans="1:14" x14ac:dyDescent="0.25">
      <c r="B16" s="22">
        <v>25</v>
      </c>
      <c r="C16" s="22" t="s">
        <v>50</v>
      </c>
      <c r="D16" s="22"/>
      <c r="E16" s="22">
        <v>1</v>
      </c>
      <c r="F16" s="22">
        <v>0.23180000000000001</v>
      </c>
      <c r="G16" s="24">
        <v>1.9069999999999999E-6</v>
      </c>
      <c r="H16" s="24">
        <v>3.9709999999999998E-6</v>
      </c>
      <c r="I16" s="24">
        <v>5.4779999999999999E-6</v>
      </c>
      <c r="J16" s="24">
        <v>1.2019999999999998E-5</v>
      </c>
      <c r="K16" s="24">
        <v>1.3440000000000001</v>
      </c>
      <c r="L16" s="24">
        <v>1.3440000000000001</v>
      </c>
      <c r="M16" s="24">
        <v>7.3190000000000005E-2</v>
      </c>
      <c r="N16" s="24">
        <v>2.423</v>
      </c>
    </row>
    <row r="17" spans="2:14" x14ac:dyDescent="0.25">
      <c r="B17" s="22">
        <v>40</v>
      </c>
      <c r="C17" s="22" t="s">
        <v>50</v>
      </c>
      <c r="D17" s="22"/>
      <c r="E17" s="22">
        <v>1</v>
      </c>
      <c r="F17" s="22">
        <v>0.23169999999999999</v>
      </c>
      <c r="G17" s="24">
        <v>3.8709999999999999E-6</v>
      </c>
      <c r="H17" s="24">
        <v>5.7590000000000003E-6</v>
      </c>
      <c r="I17" s="24">
        <v>1.0769999999999999E-5</v>
      </c>
      <c r="J17" s="24">
        <v>6.1509999999999992E-6</v>
      </c>
      <c r="K17" s="24">
        <v>1.4690000000000001</v>
      </c>
      <c r="L17" s="24">
        <v>1.4690000000000001</v>
      </c>
      <c r="M17" s="24">
        <v>7.3679999999999995E-2</v>
      </c>
      <c r="N17" s="24">
        <v>2.6110000000000002</v>
      </c>
    </row>
    <row r="18" spans="2:14" x14ac:dyDescent="0.25">
      <c r="B18" s="22">
        <v>41</v>
      </c>
      <c r="C18" s="22" t="s">
        <v>50</v>
      </c>
      <c r="D18" s="22"/>
      <c r="E18" s="22">
        <v>1</v>
      </c>
      <c r="F18" s="22">
        <v>0.24310000000000001</v>
      </c>
      <c r="G18" s="24">
        <v>6.0929999999999999E-6</v>
      </c>
      <c r="H18" s="24">
        <v>4.2880000000000003E-6</v>
      </c>
      <c r="I18" s="24">
        <v>1.719E-5</v>
      </c>
      <c r="J18" s="24">
        <v>8.0069999999999997E-6</v>
      </c>
      <c r="K18" s="24">
        <v>1.413</v>
      </c>
      <c r="L18" s="24">
        <v>1.413</v>
      </c>
      <c r="M18" s="24">
        <v>7.4029999999999999E-2</v>
      </c>
      <c r="N18" s="24">
        <v>2.5059999999999998</v>
      </c>
    </row>
    <row r="19" spans="2:14" x14ac:dyDescent="0.25">
      <c r="B19" s="22">
        <v>52</v>
      </c>
      <c r="C19" s="22" t="s">
        <v>50</v>
      </c>
      <c r="D19" s="22"/>
      <c r="E19" s="22">
        <v>1</v>
      </c>
      <c r="F19" s="22">
        <v>0.24060000000000001</v>
      </c>
      <c r="G19" s="24">
        <v>2.4980000000000001E-6</v>
      </c>
      <c r="H19" s="24">
        <v>5.5499999999999994E-6</v>
      </c>
      <c r="I19" s="24">
        <v>6.6769999999999989E-6</v>
      </c>
      <c r="J19" s="24">
        <v>3.2109999999999996E-5</v>
      </c>
      <c r="K19" s="24">
        <v>1.347</v>
      </c>
      <c r="L19" s="24">
        <v>1.347</v>
      </c>
      <c r="M19" s="24">
        <v>7.485E-2</v>
      </c>
      <c r="N19" s="24">
        <v>2.4369999999999998</v>
      </c>
    </row>
    <row r="20" spans="2:14" x14ac:dyDescent="0.25">
      <c r="B20" s="22">
        <v>58</v>
      </c>
      <c r="C20" s="22" t="s">
        <v>50</v>
      </c>
      <c r="D20" s="22"/>
      <c r="E20" s="22">
        <v>1</v>
      </c>
      <c r="F20" s="22">
        <v>0.23019999999999999</v>
      </c>
      <c r="G20" s="24">
        <v>3.0989999999999999E-6</v>
      </c>
      <c r="H20" s="24">
        <v>5.5779999999999998E-6</v>
      </c>
      <c r="I20" s="24">
        <v>8.6010000000000012E-6</v>
      </c>
      <c r="J20" s="24">
        <v>6.3019999999999991E-6</v>
      </c>
      <c r="K20" s="24">
        <v>1.4339999999999999</v>
      </c>
      <c r="L20" s="24">
        <v>1.4339999999999999</v>
      </c>
      <c r="M20" s="24">
        <v>7.4160000000000004E-2</v>
      </c>
      <c r="N20" s="24">
        <v>2.573</v>
      </c>
    </row>
    <row r="21" spans="2:14" x14ac:dyDescent="0.25">
      <c r="B21" s="22">
        <v>60</v>
      </c>
      <c r="C21" s="22" t="s">
        <v>50</v>
      </c>
      <c r="D21" s="22"/>
      <c r="E21" s="22">
        <v>1</v>
      </c>
      <c r="F21" s="22">
        <v>0.23630000000000001</v>
      </c>
      <c r="G21" s="24">
        <v>2.5499999999999997E-6</v>
      </c>
      <c r="H21" s="24">
        <v>6.5409999999999997E-6</v>
      </c>
      <c r="I21" s="24">
        <v>6.9379999999999995E-6</v>
      </c>
      <c r="J21" s="24">
        <v>7.7549999999999994E-6</v>
      </c>
      <c r="K21" s="24">
        <v>1.3620000000000001</v>
      </c>
      <c r="L21" s="24">
        <v>1.3620000000000001</v>
      </c>
      <c r="M21" s="24">
        <v>7.3869999999999991E-2</v>
      </c>
      <c r="N21" s="24">
        <v>2.488</v>
      </c>
    </row>
    <row r="22" spans="2:14" x14ac:dyDescent="0.25">
      <c r="B22" s="22">
        <v>61</v>
      </c>
      <c r="C22" s="22" t="s">
        <v>50</v>
      </c>
      <c r="D22" s="22"/>
      <c r="E22" s="22">
        <v>1</v>
      </c>
      <c r="F22" s="22">
        <v>0.2331</v>
      </c>
      <c r="G22" s="24">
        <v>5.0209999999999999E-6</v>
      </c>
      <c r="H22" s="24">
        <v>4.916E-6</v>
      </c>
      <c r="I22" s="24">
        <v>1.4529999999999998E-5</v>
      </c>
      <c r="J22" s="24">
        <v>7.6969999999999993E-6</v>
      </c>
      <c r="K22" s="24">
        <v>1.3779999999999999</v>
      </c>
      <c r="L22" s="24">
        <v>1.3779999999999999</v>
      </c>
      <c r="M22" s="24">
        <v>7.4069999999999997E-2</v>
      </c>
      <c r="N22" s="24">
        <v>2.4729999999999999</v>
      </c>
    </row>
    <row r="23" spans="2:14" x14ac:dyDescent="0.25">
      <c r="B23" s="22">
        <v>64</v>
      </c>
      <c r="C23" s="22" t="s">
        <v>50</v>
      </c>
      <c r="D23" s="22"/>
      <c r="E23" s="22">
        <v>1</v>
      </c>
      <c r="F23" s="22">
        <v>0.2525</v>
      </c>
      <c r="G23" s="24">
        <v>4.5869999999999995E-6</v>
      </c>
      <c r="H23" s="24">
        <v>7.272E-6</v>
      </c>
      <c r="I23" s="24">
        <v>1.4389999999999999E-5</v>
      </c>
      <c r="J23" s="24">
        <v>4.155E-6</v>
      </c>
      <c r="K23" s="24">
        <v>1.425</v>
      </c>
      <c r="L23" s="24">
        <v>1.425</v>
      </c>
      <c r="M23" s="24">
        <v>7.0559999999999998E-2</v>
      </c>
      <c r="N23" s="24">
        <v>2.5670000000000002</v>
      </c>
    </row>
    <row r="24" spans="2:14" x14ac:dyDescent="0.25">
      <c r="B24" s="22">
        <v>65</v>
      </c>
      <c r="C24" s="22" t="s">
        <v>50</v>
      </c>
      <c r="D24" s="22"/>
      <c r="E24" s="22">
        <v>1</v>
      </c>
      <c r="F24" s="22">
        <v>0.24180000000000001</v>
      </c>
      <c r="G24" s="24">
        <v>1.951E-6</v>
      </c>
      <c r="H24" s="24">
        <v>4.0549999999999993E-6</v>
      </c>
      <c r="I24" s="24">
        <v>5.3379999999999995E-6</v>
      </c>
      <c r="J24" s="24">
        <v>1.0449999999999998E-5</v>
      </c>
      <c r="K24" s="24">
        <v>1.345</v>
      </c>
      <c r="L24" s="24">
        <v>1.345</v>
      </c>
      <c r="M24" s="24">
        <v>7.4120000000000005E-2</v>
      </c>
      <c r="N24" s="24">
        <v>2.4319999999999999</v>
      </c>
    </row>
    <row r="25" spans="2:14" x14ac:dyDescent="0.25">
      <c r="B25" s="22">
        <v>69</v>
      </c>
      <c r="C25" s="22" t="s">
        <v>50</v>
      </c>
      <c r="D25" s="22"/>
      <c r="E25" s="22">
        <v>1</v>
      </c>
      <c r="F25" s="22">
        <v>0.2346</v>
      </c>
      <c r="G25" s="24">
        <v>4.0689999999999995E-6</v>
      </c>
      <c r="H25" s="24">
        <v>6.0989999999999995E-6</v>
      </c>
      <c r="I25" s="24">
        <v>1.2339999999999999E-5</v>
      </c>
      <c r="J25" s="24">
        <v>7.2359999999999998E-6</v>
      </c>
      <c r="K25" s="24">
        <v>1.484</v>
      </c>
      <c r="L25" s="24">
        <v>1.484</v>
      </c>
      <c r="M25" s="24">
        <v>7.3300000000000004E-2</v>
      </c>
      <c r="N25" s="24">
        <v>2.613</v>
      </c>
    </row>
    <row r="26" spans="2:14" x14ac:dyDescent="0.25">
      <c r="B26" s="22">
        <v>78</v>
      </c>
      <c r="C26" s="22" t="s">
        <v>50</v>
      </c>
      <c r="D26" s="22"/>
      <c r="E26" s="22">
        <v>1</v>
      </c>
      <c r="F26" s="22">
        <v>0.23380000000000001</v>
      </c>
      <c r="G26" s="24">
        <v>3.596E-6</v>
      </c>
      <c r="H26" s="24">
        <v>6.878E-6</v>
      </c>
      <c r="I26" s="24">
        <v>1.0449999999999998E-5</v>
      </c>
      <c r="J26" s="24">
        <v>5.7640000000000002E-6</v>
      </c>
      <c r="K26" s="24">
        <v>1.39</v>
      </c>
      <c r="L26" s="24">
        <v>1.39</v>
      </c>
      <c r="M26" s="24">
        <v>7.3410000000000003E-2</v>
      </c>
      <c r="N26" s="24">
        <v>2.532</v>
      </c>
    </row>
    <row r="27" spans="2:14" x14ac:dyDescent="0.25">
      <c r="B27" s="22">
        <v>79</v>
      </c>
      <c r="C27" s="22" t="s">
        <v>50</v>
      </c>
      <c r="D27" s="22"/>
      <c r="E27" s="22">
        <v>1</v>
      </c>
      <c r="F27" s="22">
        <v>0.22359999999999999</v>
      </c>
      <c r="G27" s="24">
        <v>1.364E-5</v>
      </c>
      <c r="H27" s="24">
        <v>7.1779999999999997E-6</v>
      </c>
      <c r="I27" s="24">
        <v>3.4319999999999997E-5</v>
      </c>
      <c r="J27" s="24">
        <v>9.9999999999999991E-6</v>
      </c>
      <c r="K27" s="24">
        <v>1.6519999999999999</v>
      </c>
      <c r="L27" s="24">
        <v>1.6519999999999999</v>
      </c>
      <c r="M27" s="24">
        <v>7.4940000000000007E-2</v>
      </c>
      <c r="N27" s="24">
        <v>2.7970000000000002</v>
      </c>
    </row>
    <row r="28" spans="2:14" x14ac:dyDescent="0.25">
      <c r="B28" s="22">
        <v>80</v>
      </c>
      <c r="C28" s="22" t="s">
        <v>50</v>
      </c>
      <c r="D28" s="22"/>
      <c r="E28" s="22">
        <v>1</v>
      </c>
      <c r="F28" s="22">
        <v>0.25059999999999999</v>
      </c>
      <c r="G28" s="24">
        <v>3.1039999999999998E-6</v>
      </c>
      <c r="H28" s="24">
        <v>7.3520000000000001E-6</v>
      </c>
      <c r="I28" s="24">
        <v>8.2029999999999992E-6</v>
      </c>
      <c r="J28" s="24">
        <v>2.4739999999999997E-5</v>
      </c>
      <c r="K28" s="24">
        <v>1.3859999999999999</v>
      </c>
      <c r="L28" s="24">
        <v>1.3859999999999999</v>
      </c>
      <c r="M28" s="24">
        <v>7.1440000000000003E-2</v>
      </c>
      <c r="N28" s="24">
        <v>2.4550000000000001</v>
      </c>
    </row>
    <row r="29" spans="2:14" x14ac:dyDescent="0.25">
      <c r="B29" s="22">
        <v>83</v>
      </c>
      <c r="C29" s="22" t="s">
        <v>50</v>
      </c>
      <c r="D29" s="22"/>
      <c r="E29" s="22">
        <v>1</v>
      </c>
      <c r="F29" s="22">
        <v>0.24049999999999999</v>
      </c>
      <c r="G29" s="24">
        <v>4.7929999999999997E-6</v>
      </c>
      <c r="H29" s="24">
        <v>7.5069999999999994E-6</v>
      </c>
      <c r="I29" s="24">
        <v>1.347E-5</v>
      </c>
      <c r="J29" s="24">
        <v>1.275E-5</v>
      </c>
      <c r="K29" s="24">
        <v>1.4530000000000001</v>
      </c>
      <c r="L29" s="24">
        <v>1.4530000000000001</v>
      </c>
      <c r="M29" s="24">
        <v>7.3969999999999994E-2</v>
      </c>
      <c r="N29" s="24">
        <v>2.5489999999999999</v>
      </c>
    </row>
    <row r="30" spans="2:14" x14ac:dyDescent="0.25">
      <c r="B30" s="22">
        <v>85</v>
      </c>
      <c r="C30" s="22" t="s">
        <v>50</v>
      </c>
      <c r="D30" s="22"/>
      <c r="E30" s="22">
        <v>1</v>
      </c>
      <c r="F30" s="22">
        <v>0.2379</v>
      </c>
      <c r="G30" s="24">
        <v>2.193E-6</v>
      </c>
      <c r="H30" s="24">
        <v>4.6559999999999991E-6</v>
      </c>
      <c r="I30" s="24">
        <v>5.8789999999999991E-6</v>
      </c>
      <c r="J30" s="24">
        <v>1.131E-5</v>
      </c>
      <c r="K30" s="24">
        <v>1.329</v>
      </c>
      <c r="L30" s="24">
        <v>1.329</v>
      </c>
      <c r="M30" s="24">
        <v>7.3410000000000003E-2</v>
      </c>
      <c r="N30" s="24">
        <v>2.4209999999999998</v>
      </c>
    </row>
    <row r="31" spans="2:14" x14ac:dyDescent="0.25">
      <c r="B31" s="22">
        <v>86</v>
      </c>
      <c r="C31" s="22" t="s">
        <v>50</v>
      </c>
      <c r="D31" s="22"/>
      <c r="E31" s="22">
        <v>1</v>
      </c>
      <c r="F31" s="22">
        <v>0.2399</v>
      </c>
      <c r="G31" s="24">
        <v>2.8639999999999996E-6</v>
      </c>
      <c r="H31" s="24">
        <v>6.0799999999999994E-6</v>
      </c>
      <c r="I31" s="24">
        <v>7.8449999999999986E-6</v>
      </c>
      <c r="J31" s="24">
        <v>7.3599999999999998E-6</v>
      </c>
      <c r="K31" s="24">
        <v>1.379</v>
      </c>
      <c r="L31" s="24">
        <v>1.379</v>
      </c>
      <c r="M31" s="24">
        <v>7.3390000000000011E-2</v>
      </c>
      <c r="N31" s="24">
        <v>2.4950000000000001</v>
      </c>
    </row>
    <row r="32" spans="2:14" x14ac:dyDescent="0.25">
      <c r="B32" s="22">
        <v>88</v>
      </c>
      <c r="C32" s="22" t="s">
        <v>50</v>
      </c>
      <c r="D32" s="22"/>
      <c r="E32" s="22">
        <v>1</v>
      </c>
      <c r="F32" s="22">
        <v>0.2404</v>
      </c>
      <c r="G32" s="24">
        <v>2.2089999999999999E-6</v>
      </c>
      <c r="H32" s="24">
        <v>4.7960000000000003E-6</v>
      </c>
      <c r="I32" s="24">
        <v>5.8929999999999993E-6</v>
      </c>
      <c r="J32" s="24">
        <v>1.098E-5</v>
      </c>
      <c r="K32" s="24">
        <v>1.3320000000000001</v>
      </c>
      <c r="L32" s="24">
        <v>1.3320000000000001</v>
      </c>
      <c r="M32" s="24">
        <v>7.3280000000000012E-2</v>
      </c>
      <c r="N32" s="24">
        <v>2.4279999999999999</v>
      </c>
    </row>
    <row r="33" spans="2:14" x14ac:dyDescent="0.25">
      <c r="B33" s="22">
        <v>89</v>
      </c>
      <c r="C33" s="22" t="s">
        <v>50</v>
      </c>
      <c r="D33" s="22"/>
      <c r="E33" s="22">
        <v>1</v>
      </c>
      <c r="F33" s="22">
        <v>0.247</v>
      </c>
      <c r="G33" s="24">
        <v>2.3189999999999997E-6</v>
      </c>
      <c r="H33" s="24">
        <v>5.5670000000000002E-6</v>
      </c>
      <c r="I33" s="24">
        <v>6.2539999999999989E-6</v>
      </c>
      <c r="J33" s="24">
        <v>2.332E-5</v>
      </c>
      <c r="K33" s="24">
        <v>1.359</v>
      </c>
      <c r="L33" s="24">
        <v>1.359</v>
      </c>
      <c r="M33" s="24">
        <v>7.3090000000000002E-2</v>
      </c>
      <c r="N33" s="24">
        <v>2.4209999999999998</v>
      </c>
    </row>
    <row r="34" spans="2:14" x14ac:dyDescent="0.25">
      <c r="B34" s="22">
        <v>91</v>
      </c>
      <c r="C34" s="22" t="s">
        <v>50</v>
      </c>
      <c r="D34" s="22"/>
      <c r="E34" s="22">
        <v>1</v>
      </c>
      <c r="F34" s="22">
        <v>0.24380000000000002</v>
      </c>
      <c r="G34" s="24">
        <v>4.3150000000000002E-6</v>
      </c>
      <c r="H34" s="24">
        <v>6.2060000000000004E-6</v>
      </c>
      <c r="I34" s="24">
        <v>1.1869999999999998E-5</v>
      </c>
      <c r="J34" s="24">
        <v>7.7069999999999992E-6</v>
      </c>
      <c r="K34" s="24">
        <v>1.478</v>
      </c>
      <c r="L34" s="24">
        <v>1.478</v>
      </c>
      <c r="M34" s="24">
        <v>7.2169999999999998E-2</v>
      </c>
      <c r="N34" s="24">
        <v>2.6</v>
      </c>
    </row>
    <row r="35" spans="2:14" x14ac:dyDescent="0.25">
      <c r="B35" s="22">
        <v>96</v>
      </c>
      <c r="C35" s="22" t="s">
        <v>50</v>
      </c>
      <c r="D35" s="22"/>
      <c r="E35" s="22">
        <v>1</v>
      </c>
      <c r="F35" s="22">
        <v>0.24530000000000002</v>
      </c>
      <c r="G35" s="24">
        <v>2.9559999999999997E-6</v>
      </c>
      <c r="H35" s="24">
        <v>5.0010000000000001E-6</v>
      </c>
      <c r="I35" s="24">
        <v>8.0429999999999991E-6</v>
      </c>
      <c r="J35" s="24">
        <v>8.1729999999999995E-6</v>
      </c>
      <c r="K35" s="24">
        <v>1.323</v>
      </c>
      <c r="L35" s="24">
        <v>1.323</v>
      </c>
      <c r="M35" s="24">
        <v>7.3749999999999996E-2</v>
      </c>
      <c r="N35" s="24">
        <v>2.4180000000000001</v>
      </c>
    </row>
    <row r="36" spans="2:14" x14ac:dyDescent="0.25">
      <c r="B36" s="22">
        <v>97</v>
      </c>
      <c r="C36" s="22" t="s">
        <v>50</v>
      </c>
      <c r="D36" s="22"/>
      <c r="E36" s="22">
        <v>1</v>
      </c>
      <c r="F36" s="22">
        <v>0.23680000000000001</v>
      </c>
      <c r="G36" s="24">
        <v>9.1379999999999996E-6</v>
      </c>
      <c r="H36" s="24">
        <v>6.5970000000000005E-6</v>
      </c>
      <c r="I36" s="24">
        <v>2.6079999999999998E-5</v>
      </c>
      <c r="J36" s="24">
        <v>9.6969999999999988E-6</v>
      </c>
      <c r="K36" s="24">
        <v>1.4390000000000001</v>
      </c>
      <c r="L36" s="24">
        <v>1.4390000000000001</v>
      </c>
      <c r="M36" s="24">
        <v>7.3440000000000005E-2</v>
      </c>
      <c r="N36" s="24">
        <v>2.5510000000000002</v>
      </c>
    </row>
    <row r="37" spans="2:14" x14ac:dyDescent="0.25">
      <c r="B37" s="22">
        <v>99</v>
      </c>
      <c r="C37" s="22" t="s">
        <v>50</v>
      </c>
      <c r="D37" s="22"/>
      <c r="E37" s="22">
        <v>1</v>
      </c>
      <c r="F37" s="22">
        <v>0.23730000000000001</v>
      </c>
      <c r="G37" s="24">
        <v>4.2239999999999997E-6</v>
      </c>
      <c r="H37" s="24">
        <v>5.1379999999999998E-6</v>
      </c>
      <c r="I37" s="24">
        <v>1.2119999999999999E-5</v>
      </c>
      <c r="J37" s="24">
        <v>8.9670000000000007E-6</v>
      </c>
      <c r="K37" s="24">
        <v>1.35</v>
      </c>
      <c r="L37" s="24">
        <v>1.35</v>
      </c>
      <c r="M37" s="24">
        <v>7.3690000000000005E-2</v>
      </c>
      <c r="N37" s="24">
        <v>2.4460000000000002</v>
      </c>
    </row>
    <row r="38" spans="2:14" x14ac:dyDescent="0.25">
      <c r="B38" s="22">
        <v>102</v>
      </c>
      <c r="C38" s="22" t="s">
        <v>50</v>
      </c>
      <c r="D38" s="22"/>
      <c r="E38" s="22">
        <v>1</v>
      </c>
      <c r="F38" s="22">
        <v>0.23900000000000002</v>
      </c>
      <c r="G38" s="24">
        <v>5.4129999999999997E-6</v>
      </c>
      <c r="H38" s="24">
        <v>5.5380000000000002E-6</v>
      </c>
      <c r="I38" s="24">
        <v>1.5609999999999998E-5</v>
      </c>
      <c r="J38" s="24">
        <v>1.0669999999999999E-5</v>
      </c>
      <c r="K38" s="24">
        <v>1.3680000000000001</v>
      </c>
      <c r="L38" s="24">
        <v>1.3680000000000001</v>
      </c>
      <c r="M38" s="24">
        <v>7.3679999999999995E-2</v>
      </c>
      <c r="N38" s="24">
        <v>2.4620000000000002</v>
      </c>
    </row>
    <row r="39" spans="2:14" x14ac:dyDescent="0.25">
      <c r="B39" s="22">
        <v>103</v>
      </c>
      <c r="C39" s="22" t="s">
        <v>50</v>
      </c>
      <c r="D39" s="22"/>
      <c r="E39" s="22">
        <v>1</v>
      </c>
      <c r="F39" s="22">
        <v>0.23800000000000002</v>
      </c>
      <c r="G39" s="24">
        <v>2.452E-6</v>
      </c>
      <c r="H39" s="24">
        <v>4.8819999999999992E-6</v>
      </c>
      <c r="I39" s="24">
        <v>6.9859999999999997E-6</v>
      </c>
      <c r="J39" s="24">
        <v>1.3529999999999999E-5</v>
      </c>
      <c r="K39" s="24">
        <v>1.325</v>
      </c>
      <c r="L39" s="24">
        <v>1.325</v>
      </c>
      <c r="M39" s="24">
        <v>7.3640000000000011E-2</v>
      </c>
      <c r="N39" s="24">
        <v>2.411</v>
      </c>
    </row>
    <row r="40" spans="2:14" x14ac:dyDescent="0.25">
      <c r="B40" s="22">
        <v>104</v>
      </c>
      <c r="C40" s="22" t="s">
        <v>50</v>
      </c>
      <c r="D40" s="22"/>
      <c r="E40" s="22">
        <v>1</v>
      </c>
      <c r="F40" s="22">
        <v>0.23680000000000001</v>
      </c>
      <c r="G40" s="24">
        <v>3.4700000000000002E-6</v>
      </c>
      <c r="H40" s="24">
        <v>6.4939999999999991E-6</v>
      </c>
      <c r="I40" s="24">
        <v>9.6979999999999993E-6</v>
      </c>
      <c r="J40" s="24">
        <v>5.5810000000000004E-6</v>
      </c>
      <c r="K40" s="24">
        <v>1.3779999999999999</v>
      </c>
      <c r="L40" s="24">
        <v>1.3779999999999999</v>
      </c>
      <c r="M40" s="24">
        <v>7.3020000000000002E-2</v>
      </c>
      <c r="N40" s="24">
        <v>2.5070000000000001</v>
      </c>
    </row>
    <row r="41" spans="2:14" x14ac:dyDescent="0.25">
      <c r="B41" s="22">
        <v>105</v>
      </c>
      <c r="C41" s="22" t="s">
        <v>50</v>
      </c>
      <c r="D41" s="22"/>
      <c r="E41" s="22">
        <v>1</v>
      </c>
      <c r="F41" s="22">
        <v>0.24249999999999999</v>
      </c>
      <c r="G41" s="24">
        <v>1.2519999999999999E-5</v>
      </c>
      <c r="H41" s="24">
        <v>6.8379999999999996E-6</v>
      </c>
      <c r="I41" s="24">
        <v>3.625E-5</v>
      </c>
      <c r="J41" s="24">
        <v>7.7670000000000003E-6</v>
      </c>
      <c r="K41" s="24">
        <v>1.4970000000000001</v>
      </c>
      <c r="L41" s="24">
        <v>1.4970000000000001</v>
      </c>
      <c r="M41" s="24">
        <v>7.195E-2</v>
      </c>
      <c r="N41" s="24">
        <v>2.6619999999999999</v>
      </c>
    </row>
    <row r="42" spans="2:14" x14ac:dyDescent="0.25">
      <c r="B42" s="22">
        <v>106</v>
      </c>
      <c r="C42" s="22" t="s">
        <v>50</v>
      </c>
      <c r="D42" s="22"/>
      <c r="E42" s="22">
        <v>1</v>
      </c>
      <c r="F42" s="22">
        <v>0.2397</v>
      </c>
      <c r="G42" s="24">
        <v>3.3639999999999999E-6</v>
      </c>
      <c r="H42" s="24">
        <v>7.2779999999999996E-6</v>
      </c>
      <c r="I42" s="24">
        <v>8.8109999999999992E-6</v>
      </c>
      <c r="J42" s="24">
        <v>2.1239999999999997E-5</v>
      </c>
      <c r="K42" s="24">
        <v>1.3979999999999999</v>
      </c>
      <c r="L42" s="24">
        <v>1.3979999999999999</v>
      </c>
      <c r="M42" s="24">
        <v>7.46E-2</v>
      </c>
      <c r="N42" s="24">
        <v>2.4809999999999999</v>
      </c>
    </row>
    <row r="43" spans="2:14" x14ac:dyDescent="0.25">
      <c r="B43" s="22">
        <v>108</v>
      </c>
      <c r="C43" s="22" t="s">
        <v>50</v>
      </c>
      <c r="D43" s="22"/>
      <c r="E43" s="22">
        <v>1</v>
      </c>
      <c r="F43" s="22">
        <v>0.24530000000000002</v>
      </c>
      <c r="G43" s="24">
        <v>2.4269999999999998E-6</v>
      </c>
      <c r="H43" s="24">
        <v>7.7109999999999995E-6</v>
      </c>
      <c r="I43" s="24">
        <v>6.8310000000000003E-6</v>
      </c>
      <c r="J43" s="24">
        <v>9.214999999999999E-6</v>
      </c>
      <c r="K43" s="24">
        <v>1.3280000000000001</v>
      </c>
      <c r="L43" s="24">
        <v>1.3280000000000001</v>
      </c>
      <c r="M43" s="24">
        <v>7.3889999999999997E-2</v>
      </c>
      <c r="N43" s="24">
        <v>2.4319999999999999</v>
      </c>
    </row>
    <row r="44" spans="2:14" x14ac:dyDescent="0.25">
      <c r="B44" s="22">
        <v>109</v>
      </c>
      <c r="C44" s="22" t="s">
        <v>50</v>
      </c>
      <c r="D44" s="22"/>
      <c r="E44" s="22">
        <v>1</v>
      </c>
      <c r="F44" s="22">
        <v>0.23350000000000001</v>
      </c>
      <c r="G44" s="24">
        <v>1.181E-5</v>
      </c>
      <c r="H44" s="24">
        <v>8.8949999999999987E-6</v>
      </c>
      <c r="I44" s="24">
        <v>3.2630000000000004E-5</v>
      </c>
      <c r="J44" s="24">
        <v>1.2789999999999998E-5</v>
      </c>
      <c r="K44" s="24">
        <v>1.4390000000000001</v>
      </c>
      <c r="L44" s="24">
        <v>1.4390000000000001</v>
      </c>
      <c r="M44" s="24">
        <v>7.3050000000000004E-2</v>
      </c>
      <c r="N44" s="24">
        <v>2.556</v>
      </c>
    </row>
    <row r="45" spans="2:14" x14ac:dyDescent="0.25">
      <c r="B45" s="22">
        <v>113</v>
      </c>
      <c r="C45" s="22" t="s">
        <v>50</v>
      </c>
      <c r="D45" s="22"/>
      <c r="E45" s="22">
        <v>1</v>
      </c>
      <c r="F45" s="22">
        <v>0.24160000000000001</v>
      </c>
      <c r="G45" s="24">
        <v>2.7599999999999998E-6</v>
      </c>
      <c r="H45" s="24">
        <v>7.3589999999999993E-6</v>
      </c>
      <c r="I45" s="24">
        <v>7.7779999999999991E-6</v>
      </c>
      <c r="J45" s="24">
        <v>5.7350000000000001E-6</v>
      </c>
      <c r="K45" s="24">
        <v>1.34</v>
      </c>
      <c r="L45" s="24">
        <v>1.34</v>
      </c>
      <c r="M45" s="24">
        <v>7.4349999999999999E-2</v>
      </c>
      <c r="N45" s="24">
        <v>2.4609999999999999</v>
      </c>
    </row>
    <row r="46" spans="2:14" x14ac:dyDescent="0.25">
      <c r="B46" s="22">
        <v>115</v>
      </c>
      <c r="C46" s="22" t="s">
        <v>50</v>
      </c>
      <c r="D46" s="22"/>
      <c r="E46" s="22">
        <v>1</v>
      </c>
      <c r="F46" s="22">
        <v>0.2296</v>
      </c>
      <c r="G46" s="24">
        <v>1.1909999999999999E-5</v>
      </c>
      <c r="H46" s="24">
        <v>7.0839999999999994E-6</v>
      </c>
      <c r="I46" s="24">
        <v>3.1619999999999999E-5</v>
      </c>
      <c r="J46" s="24">
        <v>1.0789999999999998E-5</v>
      </c>
      <c r="K46" s="24">
        <v>1.498</v>
      </c>
      <c r="L46" s="24">
        <v>1.498</v>
      </c>
      <c r="M46" s="24">
        <v>7.3660000000000003E-2</v>
      </c>
      <c r="N46" s="24">
        <v>2.629</v>
      </c>
    </row>
    <row r="47" spans="2:14" x14ac:dyDescent="0.25">
      <c r="B47" s="22">
        <v>116</v>
      </c>
      <c r="C47" s="22" t="s">
        <v>50</v>
      </c>
      <c r="D47" s="22"/>
      <c r="E47" s="22">
        <v>1</v>
      </c>
      <c r="F47" s="22">
        <v>0.2447</v>
      </c>
      <c r="G47" s="24">
        <v>4.9309999999999999E-6</v>
      </c>
      <c r="H47" s="24">
        <v>7.9619999999999993E-6</v>
      </c>
      <c r="I47" s="24">
        <v>1.4970000000000001E-5</v>
      </c>
      <c r="J47" s="24">
        <v>4.7140000000000001E-6</v>
      </c>
      <c r="K47" s="24">
        <v>1.405</v>
      </c>
      <c r="L47" s="24">
        <v>1.405</v>
      </c>
      <c r="M47" s="24">
        <v>7.2319999999999995E-2</v>
      </c>
      <c r="N47" s="24">
        <v>2.5529999999999999</v>
      </c>
    </row>
    <row r="48" spans="2:14" x14ac:dyDescent="0.25">
      <c r="B48" s="22">
        <v>119</v>
      </c>
      <c r="C48" s="22" t="s">
        <v>50</v>
      </c>
      <c r="D48" s="22"/>
      <c r="E48" s="22">
        <v>1</v>
      </c>
      <c r="F48" s="22">
        <v>0.23650000000000002</v>
      </c>
      <c r="G48" s="24">
        <v>8.3850000000000002E-6</v>
      </c>
      <c r="H48" s="24">
        <v>6.1719999999999995E-6</v>
      </c>
      <c r="I48" s="24">
        <v>2.3050000000000001E-5</v>
      </c>
      <c r="J48" s="24">
        <v>9.1460000000000002E-6</v>
      </c>
      <c r="K48" s="24">
        <v>1.43</v>
      </c>
      <c r="L48" s="24">
        <v>1.43</v>
      </c>
      <c r="M48" s="24">
        <v>7.4829999999999994E-2</v>
      </c>
      <c r="N48" s="24">
        <v>2.5459999999999998</v>
      </c>
    </row>
    <row r="49" spans="2:14" x14ac:dyDescent="0.25">
      <c r="B49" s="22">
        <v>121</v>
      </c>
      <c r="C49" s="22" t="s">
        <v>50</v>
      </c>
      <c r="D49" s="22"/>
      <c r="E49" s="22">
        <v>1</v>
      </c>
      <c r="F49" s="22">
        <v>0.23830000000000001</v>
      </c>
      <c r="G49" s="24">
        <v>2.8919999999999996E-6</v>
      </c>
      <c r="H49" s="24">
        <v>4.34E-6</v>
      </c>
      <c r="I49" s="24">
        <v>8.3510000000000002E-6</v>
      </c>
      <c r="J49" s="24">
        <v>1.0329999999999999E-5</v>
      </c>
      <c r="K49" s="24">
        <v>1.34</v>
      </c>
      <c r="L49" s="24">
        <v>1.34</v>
      </c>
      <c r="M49" s="24">
        <v>7.3660000000000003E-2</v>
      </c>
      <c r="N49" s="24">
        <v>2.423</v>
      </c>
    </row>
    <row r="50" spans="2:14" x14ac:dyDescent="0.25">
      <c r="B50" s="22">
        <v>123</v>
      </c>
      <c r="C50" s="22" t="s">
        <v>50</v>
      </c>
      <c r="D50" s="22"/>
      <c r="E50" s="22">
        <v>1</v>
      </c>
      <c r="F50" s="22">
        <v>0.23400000000000001</v>
      </c>
      <c r="G50" s="24">
        <v>5.0300000000000001E-6</v>
      </c>
      <c r="H50" s="24">
        <v>6.3749999999999999E-6</v>
      </c>
      <c r="I50" s="24">
        <v>1.4429999999999999E-5</v>
      </c>
      <c r="J50" s="24">
        <v>6.3299999999999995E-6</v>
      </c>
      <c r="K50" s="24">
        <v>1.5389999999999999</v>
      </c>
      <c r="L50" s="24">
        <v>1.5389999999999999</v>
      </c>
      <c r="M50" s="24">
        <v>7.4900000000000008E-2</v>
      </c>
      <c r="N50" s="24">
        <v>2.681</v>
      </c>
    </row>
    <row r="51" spans="2:14" x14ac:dyDescent="0.25">
      <c r="B51" s="22">
        <v>124</v>
      </c>
      <c r="C51" s="22" t="s">
        <v>50</v>
      </c>
      <c r="D51" s="22"/>
      <c r="E51" s="22">
        <v>1</v>
      </c>
      <c r="F51" s="22">
        <v>0.24280000000000002</v>
      </c>
      <c r="G51" s="24">
        <v>4.4499999999999997E-6</v>
      </c>
      <c r="H51" s="24">
        <v>6.5319999999999995E-6</v>
      </c>
      <c r="I51" s="24">
        <v>1.306E-5</v>
      </c>
      <c r="J51" s="24">
        <v>5.2629999999999994E-6</v>
      </c>
      <c r="K51" s="24">
        <v>1.389</v>
      </c>
      <c r="L51" s="24">
        <v>1.389</v>
      </c>
      <c r="M51" s="24">
        <v>7.4040000000000009E-2</v>
      </c>
      <c r="N51" s="24">
        <v>2.52</v>
      </c>
    </row>
    <row r="52" spans="2:14" x14ac:dyDescent="0.25">
      <c r="B52" s="22">
        <v>125</v>
      </c>
      <c r="C52" s="22" t="s">
        <v>50</v>
      </c>
      <c r="D52" s="22"/>
      <c r="E52" s="22">
        <v>1</v>
      </c>
      <c r="F52" s="22">
        <v>0.23519999999999999</v>
      </c>
      <c r="G52" s="24">
        <v>7.5289999999999994E-6</v>
      </c>
      <c r="H52" s="24">
        <v>5.4519999999999996E-6</v>
      </c>
      <c r="I52" s="24">
        <v>2.1909999999999999E-5</v>
      </c>
      <c r="J52" s="24">
        <v>1.419E-5</v>
      </c>
      <c r="K52" s="24">
        <v>1.4</v>
      </c>
      <c r="L52" s="24">
        <v>1.4</v>
      </c>
      <c r="M52" s="24">
        <v>7.3520000000000002E-2</v>
      </c>
      <c r="N52" s="24">
        <v>2.492</v>
      </c>
    </row>
    <row r="53" spans="2:14" x14ac:dyDescent="0.25">
      <c r="B53" s="22">
        <v>128</v>
      </c>
      <c r="C53" s="22" t="s">
        <v>50</v>
      </c>
      <c r="D53" s="22"/>
      <c r="E53" s="22">
        <v>1</v>
      </c>
      <c r="F53" s="22">
        <v>0.2326</v>
      </c>
      <c r="G53" s="24">
        <v>2.1939999999999997E-6</v>
      </c>
      <c r="H53" s="24">
        <v>4.4969999999999995E-6</v>
      </c>
      <c r="I53" s="24">
        <v>5.9349999999999991E-6</v>
      </c>
      <c r="J53" s="24">
        <v>1.2140000000000001E-5</v>
      </c>
      <c r="K53" s="24">
        <v>1.333</v>
      </c>
      <c r="L53" s="24">
        <v>1.333</v>
      </c>
      <c r="M53" s="24">
        <v>7.4830000000000008E-2</v>
      </c>
      <c r="N53" s="24">
        <v>2.4239999999999999</v>
      </c>
    </row>
    <row r="54" spans="2:14" x14ac:dyDescent="0.25">
      <c r="B54" s="22">
        <v>130</v>
      </c>
      <c r="C54" s="22" t="s">
        <v>50</v>
      </c>
      <c r="D54" s="22"/>
      <c r="E54" s="22">
        <v>1</v>
      </c>
      <c r="F54" s="22">
        <v>0.23330000000000001</v>
      </c>
      <c r="G54" s="24">
        <v>2.0670000000000003E-6</v>
      </c>
      <c r="H54" s="24">
        <v>4.7599999999999993E-6</v>
      </c>
      <c r="I54" s="24">
        <v>5.5199999999999997E-6</v>
      </c>
      <c r="J54" s="24">
        <v>1.7519999999999998E-5</v>
      </c>
      <c r="K54" s="24">
        <v>1.3340000000000001</v>
      </c>
      <c r="L54" s="24">
        <v>1.3340000000000001</v>
      </c>
      <c r="M54" s="24">
        <v>7.3039999999999994E-2</v>
      </c>
      <c r="N54" s="24">
        <v>2.407</v>
      </c>
    </row>
    <row r="55" spans="2:14" x14ac:dyDescent="0.25">
      <c r="B55" s="22">
        <v>131</v>
      </c>
      <c r="C55" s="22" t="s">
        <v>50</v>
      </c>
      <c r="D55" s="22"/>
      <c r="E55" s="22">
        <v>1</v>
      </c>
      <c r="F55" s="22">
        <v>0.2298</v>
      </c>
      <c r="G55" s="24">
        <v>3.5139999999999997E-6</v>
      </c>
      <c r="H55" s="24">
        <v>5.0089999999999998E-6</v>
      </c>
      <c r="I55" s="24">
        <v>9.5329999999999983E-6</v>
      </c>
      <c r="J55" s="24">
        <v>1.8620000000000001E-5</v>
      </c>
      <c r="K55" s="24">
        <v>1.361</v>
      </c>
      <c r="L55" s="24">
        <v>1.361</v>
      </c>
      <c r="M55" s="24">
        <v>7.400000000000001E-2</v>
      </c>
      <c r="N55" s="24">
        <v>2.4430000000000001</v>
      </c>
    </row>
    <row r="56" spans="2:14" x14ac:dyDescent="0.25">
      <c r="B56" s="22">
        <v>132</v>
      </c>
      <c r="C56" s="22" t="s">
        <v>50</v>
      </c>
      <c r="D56" s="22"/>
      <c r="E56" s="22">
        <v>1</v>
      </c>
      <c r="F56" s="22">
        <v>0.24460000000000001</v>
      </c>
      <c r="G56" s="24">
        <v>7.1469999999999995E-6</v>
      </c>
      <c r="H56" s="24">
        <v>5.908E-6</v>
      </c>
      <c r="I56" s="24">
        <v>2.05E-5</v>
      </c>
      <c r="J56" s="24">
        <v>1.0699999999999999E-5</v>
      </c>
      <c r="K56" s="24">
        <v>1.4059999999999999</v>
      </c>
      <c r="L56" s="24">
        <v>1.4059999999999999</v>
      </c>
      <c r="M56" s="24">
        <v>7.4329999999999993E-2</v>
      </c>
      <c r="N56" s="24">
        <v>2.488</v>
      </c>
    </row>
    <row r="57" spans="2:14" x14ac:dyDescent="0.25">
      <c r="B57" s="22">
        <v>136</v>
      </c>
      <c r="C57" s="22" t="s">
        <v>50</v>
      </c>
      <c r="D57" s="22"/>
      <c r="E57" s="22">
        <v>1</v>
      </c>
      <c r="F57" s="22">
        <v>0.2465</v>
      </c>
      <c r="G57" s="24">
        <v>2.1639999999999999E-6</v>
      </c>
      <c r="H57" s="24">
        <v>5.4589999999999997E-6</v>
      </c>
      <c r="I57" s="24">
        <v>5.614E-6</v>
      </c>
      <c r="J57" s="24">
        <v>1.6499999999999998E-5</v>
      </c>
      <c r="K57" s="24">
        <v>1.3360000000000001</v>
      </c>
      <c r="L57" s="24">
        <v>1.3360000000000001</v>
      </c>
      <c r="M57" s="24">
        <v>7.3499999999999996E-2</v>
      </c>
      <c r="N57" s="24">
        <v>2.4129999999999998</v>
      </c>
    </row>
    <row r="58" spans="2:14" x14ac:dyDescent="0.25">
      <c r="B58" s="22">
        <v>137</v>
      </c>
      <c r="C58" s="22" t="s">
        <v>50</v>
      </c>
      <c r="D58" s="22"/>
      <c r="E58" s="22">
        <v>1</v>
      </c>
      <c r="F58" s="22">
        <v>0.24399999999999999</v>
      </c>
      <c r="G58" s="24">
        <v>2.5790000000000002E-6</v>
      </c>
      <c r="H58" s="24">
        <v>6.6239999999999996E-6</v>
      </c>
      <c r="I58" s="24">
        <v>7.0149999999999998E-6</v>
      </c>
      <c r="J58" s="24">
        <v>1.306E-5</v>
      </c>
      <c r="K58" s="24">
        <v>1.369</v>
      </c>
      <c r="L58" s="24">
        <v>1.369</v>
      </c>
      <c r="M58" s="24">
        <v>7.4959999999999999E-2</v>
      </c>
      <c r="N58" s="24">
        <v>2.4460000000000002</v>
      </c>
    </row>
    <row r="59" spans="2:14" x14ac:dyDescent="0.25">
      <c r="B59" s="22">
        <v>138</v>
      </c>
      <c r="C59" s="22" t="s">
        <v>50</v>
      </c>
      <c r="D59" s="22"/>
      <c r="E59" s="22">
        <v>1</v>
      </c>
      <c r="F59" s="22">
        <v>0.22069999999999998</v>
      </c>
      <c r="G59" s="24">
        <v>9.0999999999999993E-6</v>
      </c>
      <c r="H59" s="24">
        <v>6.2639999999999997E-6</v>
      </c>
      <c r="I59" s="24">
        <v>2.423E-5</v>
      </c>
      <c r="J59" s="24">
        <v>6.7969999999999995E-6</v>
      </c>
      <c r="K59" s="24">
        <v>1.599</v>
      </c>
      <c r="L59" s="24">
        <v>1.599</v>
      </c>
      <c r="M59" s="24">
        <v>7.3509999999999992E-2</v>
      </c>
      <c r="N59" s="24">
        <v>2.7570000000000001</v>
      </c>
    </row>
    <row r="60" spans="2:14" x14ac:dyDescent="0.25">
      <c r="B60" s="22">
        <v>142</v>
      </c>
      <c r="C60" s="22" t="s">
        <v>50</v>
      </c>
      <c r="D60" s="22"/>
      <c r="E60" s="22">
        <v>1</v>
      </c>
      <c r="F60" s="22">
        <v>0.23650000000000002</v>
      </c>
      <c r="G60" s="24">
        <v>5.327E-6</v>
      </c>
      <c r="H60" s="24">
        <v>7.4529999999999996E-6</v>
      </c>
      <c r="I60" s="24">
        <v>1.505E-5</v>
      </c>
      <c r="J60" s="24">
        <v>8.0429999999999991E-6</v>
      </c>
      <c r="K60" s="24">
        <v>1.333</v>
      </c>
      <c r="L60" s="24">
        <v>1.333</v>
      </c>
      <c r="M60" s="24">
        <v>7.324E-2</v>
      </c>
      <c r="N60" s="24">
        <v>2.4380000000000002</v>
      </c>
    </row>
    <row r="61" spans="2:14" x14ac:dyDescent="0.25">
      <c r="B61" s="22">
        <v>145</v>
      </c>
      <c r="C61" s="22" t="s">
        <v>50</v>
      </c>
      <c r="D61" s="22"/>
      <c r="E61" s="22">
        <v>1</v>
      </c>
      <c r="F61" s="22">
        <v>0.2349</v>
      </c>
      <c r="G61" s="24">
        <v>1.9699999999999998E-6</v>
      </c>
      <c r="H61" s="24">
        <v>4.6159999999999995E-6</v>
      </c>
      <c r="I61" s="24">
        <v>5.3429999999999995E-6</v>
      </c>
      <c r="J61" s="24">
        <v>1.8960000000000001E-5</v>
      </c>
      <c r="K61" s="24">
        <v>1.325</v>
      </c>
      <c r="L61" s="24">
        <v>1.325</v>
      </c>
      <c r="M61" s="24">
        <v>7.3140000000000011E-2</v>
      </c>
      <c r="N61" s="24">
        <v>2.395</v>
      </c>
    </row>
    <row r="62" spans="2:14" x14ac:dyDescent="0.25">
      <c r="B62" s="22">
        <v>153</v>
      </c>
      <c r="C62" s="22" t="s">
        <v>50</v>
      </c>
      <c r="D62" s="22"/>
      <c r="E62" s="22">
        <v>1</v>
      </c>
      <c r="F62" s="22">
        <v>0.23350000000000001</v>
      </c>
      <c r="G62" s="24">
        <v>3.1659999999999998E-6</v>
      </c>
      <c r="H62" s="24">
        <v>6.4569999999999993E-6</v>
      </c>
      <c r="I62" s="24">
        <v>8.5749999999999984E-6</v>
      </c>
      <c r="J62" s="24">
        <v>7.3339999999999996E-6</v>
      </c>
      <c r="K62" s="24">
        <v>1.403</v>
      </c>
      <c r="L62" s="24">
        <v>1.403</v>
      </c>
      <c r="M62" s="24">
        <v>7.4050000000000005E-2</v>
      </c>
      <c r="N62" s="24">
        <v>2.528</v>
      </c>
    </row>
    <row r="63" spans="2:14" x14ac:dyDescent="0.25">
      <c r="B63" s="22">
        <v>162</v>
      </c>
      <c r="C63" s="22" t="s">
        <v>50</v>
      </c>
      <c r="D63" s="22"/>
      <c r="E63" s="22">
        <v>1</v>
      </c>
      <c r="F63" s="22">
        <v>0.23780000000000001</v>
      </c>
      <c r="G63" s="24">
        <v>4.0549999999999993E-6</v>
      </c>
      <c r="H63" s="24">
        <v>5.0609999999999995E-6</v>
      </c>
      <c r="I63" s="24">
        <v>1.19E-5</v>
      </c>
      <c r="J63" s="24">
        <v>6.8379999999999996E-6</v>
      </c>
      <c r="K63" s="24">
        <v>1.35</v>
      </c>
      <c r="L63" s="24">
        <v>1.35</v>
      </c>
      <c r="M63" s="24">
        <v>7.3730000000000004E-2</v>
      </c>
      <c r="N63" s="24">
        <v>2.4529999999999998</v>
      </c>
    </row>
    <row r="64" spans="2:14" x14ac:dyDescent="0.25">
      <c r="B64" s="22">
        <v>168</v>
      </c>
      <c r="C64" s="22" t="s">
        <v>50</v>
      </c>
      <c r="D64" s="22"/>
      <c r="E64" s="22">
        <v>1</v>
      </c>
      <c r="F64" s="22">
        <v>0.24010000000000001</v>
      </c>
      <c r="G64" s="24">
        <v>4.2209999999999999E-6</v>
      </c>
      <c r="H64" s="24">
        <v>7.8310000000000001E-6</v>
      </c>
      <c r="I64" s="24">
        <v>1.1119999999999999E-5</v>
      </c>
      <c r="J64" s="24">
        <v>1.8960000000000001E-5</v>
      </c>
      <c r="K64" s="24">
        <v>1.41</v>
      </c>
      <c r="L64" s="24">
        <v>1.41</v>
      </c>
      <c r="M64" s="24">
        <v>7.4209999999999998E-2</v>
      </c>
      <c r="N64" s="24">
        <v>2.5</v>
      </c>
    </row>
    <row r="65" spans="2:14" x14ac:dyDescent="0.25">
      <c r="B65" s="22">
        <v>169</v>
      </c>
      <c r="C65" s="22" t="s">
        <v>50</v>
      </c>
      <c r="D65" s="22"/>
      <c r="E65" s="22">
        <v>1</v>
      </c>
      <c r="F65" s="22">
        <v>0.24680000000000002</v>
      </c>
      <c r="G65" s="24">
        <v>4.6659999999999999E-6</v>
      </c>
      <c r="H65" s="24">
        <v>6.7789999999999998E-6</v>
      </c>
      <c r="I65" s="24">
        <v>1.3369999999999999E-5</v>
      </c>
      <c r="J65" s="24">
        <v>6.5730000000000004E-6</v>
      </c>
      <c r="K65" s="24">
        <v>1.34</v>
      </c>
      <c r="L65" s="24">
        <v>1.34</v>
      </c>
      <c r="M65" s="24">
        <v>7.3120000000000004E-2</v>
      </c>
      <c r="N65" s="24">
        <v>2.4569999999999999</v>
      </c>
    </row>
    <row r="66" spans="2:14" x14ac:dyDescent="0.25">
      <c r="B66" s="22">
        <v>170</v>
      </c>
      <c r="C66" s="22" t="s">
        <v>50</v>
      </c>
      <c r="D66" s="22"/>
      <c r="E66" s="22">
        <v>1</v>
      </c>
      <c r="F66" s="22">
        <v>0.23669999999999999</v>
      </c>
      <c r="G66" s="24">
        <v>3.084E-6</v>
      </c>
      <c r="H66" s="24">
        <v>6.8229999999999997E-6</v>
      </c>
      <c r="I66" s="24">
        <v>8.5909999999999996E-6</v>
      </c>
      <c r="J66" s="24">
        <v>9.7129999999999983E-6</v>
      </c>
      <c r="K66" s="24">
        <v>1.4039999999999999</v>
      </c>
      <c r="L66" s="24">
        <v>1.4039999999999999</v>
      </c>
      <c r="M66" s="24">
        <v>7.2940000000000005E-2</v>
      </c>
      <c r="N66" s="24">
        <v>2.5</v>
      </c>
    </row>
    <row r="67" spans="2:14" x14ac:dyDescent="0.25">
      <c r="B67" s="22">
        <v>171</v>
      </c>
      <c r="C67" s="22" t="s">
        <v>50</v>
      </c>
      <c r="D67" s="22"/>
      <c r="E67" s="22">
        <v>1</v>
      </c>
      <c r="F67" s="22">
        <v>0.23630000000000001</v>
      </c>
      <c r="G67" s="24">
        <v>7.7270000000000007E-6</v>
      </c>
      <c r="H67" s="24">
        <v>5.806E-6</v>
      </c>
      <c r="I67" s="24">
        <v>2.2439999999999999E-5</v>
      </c>
      <c r="J67" s="24">
        <v>6.4029999999999995E-6</v>
      </c>
      <c r="K67" s="24">
        <v>1.4530000000000001</v>
      </c>
      <c r="L67" s="24">
        <v>1.4530000000000001</v>
      </c>
      <c r="M67" s="24">
        <v>7.4050000000000005E-2</v>
      </c>
      <c r="N67" s="24">
        <v>2.597</v>
      </c>
    </row>
    <row r="68" spans="2:14" x14ac:dyDescent="0.25">
      <c r="B68" s="22">
        <v>173</v>
      </c>
      <c r="C68" s="22" t="s">
        <v>50</v>
      </c>
      <c r="D68" s="22"/>
      <c r="E68" s="22">
        <v>1</v>
      </c>
      <c r="F68" s="22">
        <v>0.24709999999999999</v>
      </c>
      <c r="G68" s="24">
        <v>2.7019999999999997E-6</v>
      </c>
      <c r="H68" s="24">
        <v>6.3809999999999996E-6</v>
      </c>
      <c r="I68" s="24">
        <v>7.1359999999999999E-6</v>
      </c>
      <c r="J68" s="24">
        <v>2.264E-5</v>
      </c>
      <c r="K68" s="24">
        <v>1.383</v>
      </c>
      <c r="L68" s="24">
        <v>1.383</v>
      </c>
      <c r="M68" s="24">
        <v>7.2550000000000003E-2</v>
      </c>
      <c r="N68" s="24">
        <v>2.4489999999999998</v>
      </c>
    </row>
    <row r="69" spans="2:14" x14ac:dyDescent="0.25">
      <c r="B69" s="22">
        <v>177</v>
      </c>
      <c r="C69" s="22" t="s">
        <v>50</v>
      </c>
      <c r="D69" s="22"/>
      <c r="E69" s="22">
        <v>1</v>
      </c>
      <c r="F69" s="22">
        <v>0.24790000000000001</v>
      </c>
      <c r="G69" s="24">
        <v>3.6880000000000001E-6</v>
      </c>
      <c r="H69" s="24">
        <v>7.2569999999999993E-6</v>
      </c>
      <c r="I69" s="24">
        <v>1.0019999999999999E-5</v>
      </c>
      <c r="J69" s="24">
        <v>9.003E-6</v>
      </c>
      <c r="K69" s="24">
        <v>1.4379999999999999</v>
      </c>
      <c r="L69" s="24">
        <v>1.4379999999999999</v>
      </c>
      <c r="M69" s="24">
        <v>7.2319999999999995E-2</v>
      </c>
      <c r="N69" s="24">
        <v>2.5619999999999998</v>
      </c>
    </row>
    <row r="70" spans="2:14" x14ac:dyDescent="0.25">
      <c r="B70" s="22">
        <v>178</v>
      </c>
      <c r="C70" s="22" t="s">
        <v>50</v>
      </c>
      <c r="D70" s="22"/>
      <c r="E70" s="22">
        <v>1</v>
      </c>
      <c r="F70" s="22">
        <v>0.23230000000000001</v>
      </c>
      <c r="G70" s="24">
        <v>3.18E-6</v>
      </c>
      <c r="H70" s="24">
        <v>5.4649999999999993E-6</v>
      </c>
      <c r="I70" s="24">
        <v>8.8049999999999996E-6</v>
      </c>
      <c r="J70" s="24">
        <v>6.1139999999999994E-6</v>
      </c>
      <c r="K70" s="24">
        <v>1.4490000000000001</v>
      </c>
      <c r="L70" s="24">
        <v>1.4490000000000001</v>
      </c>
      <c r="M70" s="24">
        <v>7.4050000000000005E-2</v>
      </c>
      <c r="N70" s="24">
        <v>2.58</v>
      </c>
    </row>
    <row r="71" spans="2:14" x14ac:dyDescent="0.25">
      <c r="B71" s="22">
        <v>180</v>
      </c>
      <c r="C71" s="22" t="s">
        <v>50</v>
      </c>
      <c r="D71" s="22"/>
      <c r="E71" s="22">
        <v>1</v>
      </c>
      <c r="F71" s="22">
        <v>0.246</v>
      </c>
      <c r="G71" s="24">
        <v>2.7360000000000001E-6</v>
      </c>
      <c r="H71" s="24">
        <v>6.7190000000000004E-6</v>
      </c>
      <c r="I71" s="24">
        <v>7.8809999999999996E-6</v>
      </c>
      <c r="J71" s="24">
        <v>2.7989999999999998E-5</v>
      </c>
      <c r="K71" s="24">
        <v>1.38</v>
      </c>
      <c r="L71" s="24">
        <v>1.38</v>
      </c>
      <c r="M71" s="24">
        <v>7.2650000000000006E-2</v>
      </c>
      <c r="N71" s="24">
        <v>2.4420000000000002</v>
      </c>
    </row>
    <row r="72" spans="2:14" x14ac:dyDescent="0.25">
      <c r="B72" s="22">
        <v>184</v>
      </c>
      <c r="C72" s="22" t="s">
        <v>50</v>
      </c>
      <c r="D72" s="22"/>
      <c r="E72" s="22">
        <v>1</v>
      </c>
      <c r="F72" s="22">
        <v>0.23569999999999999</v>
      </c>
      <c r="G72" s="24">
        <v>7.4339999999999995E-6</v>
      </c>
      <c r="H72" s="24">
        <v>1.0849999999999999E-5</v>
      </c>
      <c r="I72" s="24">
        <v>2.302E-5</v>
      </c>
      <c r="J72" s="24">
        <v>5.4319999999999998E-6</v>
      </c>
      <c r="K72" s="24">
        <v>1.4330000000000001</v>
      </c>
      <c r="L72" s="24">
        <v>1.4330000000000001</v>
      </c>
      <c r="M72" s="24">
        <v>7.3530000000000012E-2</v>
      </c>
      <c r="N72" s="24">
        <v>2.5939999999999999</v>
      </c>
    </row>
    <row r="73" spans="2:14" x14ac:dyDescent="0.25">
      <c r="B73" s="22">
        <v>186</v>
      </c>
      <c r="C73" s="22" t="s">
        <v>50</v>
      </c>
      <c r="D73" s="22"/>
      <c r="E73" s="22">
        <v>1</v>
      </c>
      <c r="F73" s="22">
        <v>0.2301</v>
      </c>
      <c r="G73" s="24">
        <v>5.3859999999999998E-6</v>
      </c>
      <c r="H73" s="24">
        <v>6.8759999999999999E-6</v>
      </c>
      <c r="I73" s="24">
        <v>1.4589999999999999E-5</v>
      </c>
      <c r="J73" s="24">
        <v>8.9979999999999992E-6</v>
      </c>
      <c r="K73" s="24">
        <v>1.494</v>
      </c>
      <c r="L73" s="24">
        <v>1.494</v>
      </c>
      <c r="M73" s="24">
        <v>7.3929999999999996E-2</v>
      </c>
      <c r="N73" s="24">
        <v>2.6219999999999999</v>
      </c>
    </row>
    <row r="74" spans="2:14" x14ac:dyDescent="0.25">
      <c r="B74" s="22">
        <v>187</v>
      </c>
      <c r="C74" s="22" t="s">
        <v>50</v>
      </c>
      <c r="D74" s="22"/>
      <c r="E74" s="22">
        <v>1</v>
      </c>
      <c r="F74" s="22">
        <v>0.23550000000000001</v>
      </c>
      <c r="G74" s="24">
        <v>7.0849999999999999E-6</v>
      </c>
      <c r="H74" s="24">
        <v>6.0769999999999996E-6</v>
      </c>
      <c r="I74" s="24">
        <v>2.02E-5</v>
      </c>
      <c r="J74" s="24">
        <v>7.0729999999999999E-6</v>
      </c>
      <c r="K74" s="24">
        <v>1.4059999999999999</v>
      </c>
      <c r="L74" s="24">
        <v>1.4059999999999999</v>
      </c>
      <c r="M74" s="24">
        <v>7.3360000000000009E-2</v>
      </c>
      <c r="N74" s="24">
        <v>2.5259999999999998</v>
      </c>
    </row>
    <row r="75" spans="2:14" x14ac:dyDescent="0.25">
      <c r="B75" s="22">
        <v>188</v>
      </c>
      <c r="C75" s="22" t="s">
        <v>50</v>
      </c>
      <c r="D75" s="22"/>
      <c r="E75" s="22">
        <v>1</v>
      </c>
      <c r="F75" s="22">
        <v>0.24280000000000002</v>
      </c>
      <c r="G75" s="24">
        <v>4.7699999999999992E-6</v>
      </c>
      <c r="H75" s="24">
        <v>7.7069999999999992E-6</v>
      </c>
      <c r="I75" s="24">
        <v>1.3539999999999999E-5</v>
      </c>
      <c r="J75" s="24">
        <v>6.2679999999999991E-6</v>
      </c>
      <c r="K75" s="24">
        <v>1.403</v>
      </c>
      <c r="L75" s="24">
        <v>1.403</v>
      </c>
      <c r="M75" s="24">
        <v>7.3389999999999997E-2</v>
      </c>
      <c r="N75" s="24">
        <v>2.5539999999999998</v>
      </c>
    </row>
    <row r="76" spans="2:14" x14ac:dyDescent="0.25">
      <c r="B76" s="22">
        <v>191</v>
      </c>
      <c r="C76" s="22" t="s">
        <v>50</v>
      </c>
      <c r="D76" s="22"/>
      <c r="E76" s="22">
        <v>1</v>
      </c>
      <c r="F76" s="22">
        <v>0.2341</v>
      </c>
      <c r="G76" s="24">
        <v>1.7869999999999998E-6</v>
      </c>
      <c r="H76" s="24">
        <v>4.6130000000000006E-6</v>
      </c>
      <c r="I76" s="24">
        <v>4.7409999999999992E-6</v>
      </c>
      <c r="J76" s="24">
        <v>2.1299999999999999E-5</v>
      </c>
      <c r="K76" s="24">
        <v>1.333</v>
      </c>
      <c r="L76" s="24">
        <v>1.333</v>
      </c>
      <c r="M76" s="24">
        <v>7.4410000000000004E-2</v>
      </c>
      <c r="N76" s="24">
        <v>2.431</v>
      </c>
    </row>
    <row r="77" spans="2:14" x14ac:dyDescent="0.25">
      <c r="B77" s="22">
        <v>195</v>
      </c>
      <c r="C77" s="22" t="s">
        <v>50</v>
      </c>
      <c r="D77" s="22"/>
      <c r="E77" s="22">
        <v>1</v>
      </c>
      <c r="F77" s="22">
        <v>0.23760000000000001</v>
      </c>
      <c r="G77" s="24">
        <v>6.7610000000000002E-6</v>
      </c>
      <c r="H77" s="24">
        <v>7.6550000000000004E-6</v>
      </c>
      <c r="I77" s="24">
        <v>1.986E-5</v>
      </c>
      <c r="J77" s="24">
        <v>5.6210000000000001E-6</v>
      </c>
      <c r="K77" s="24">
        <v>1.46</v>
      </c>
      <c r="L77" s="24">
        <v>1.46</v>
      </c>
      <c r="M77" s="24">
        <v>7.3980000000000004E-2</v>
      </c>
      <c r="N77" s="24">
        <v>2.617</v>
      </c>
    </row>
    <row r="78" spans="2:14" x14ac:dyDescent="0.25">
      <c r="B78" s="22">
        <v>198</v>
      </c>
      <c r="C78" s="22" t="s">
        <v>50</v>
      </c>
      <c r="D78" s="22"/>
      <c r="E78" s="22">
        <v>1</v>
      </c>
      <c r="F78" s="22">
        <v>0.25680000000000003</v>
      </c>
      <c r="G78" s="24">
        <v>3.1240000000000001E-6</v>
      </c>
      <c r="H78" s="24">
        <v>6.7889999999999997E-6</v>
      </c>
      <c r="I78" s="24">
        <v>8.8230000000000001E-6</v>
      </c>
      <c r="J78" s="24">
        <v>1.6519999999999998E-5</v>
      </c>
      <c r="K78" s="24">
        <v>1.3959999999999999</v>
      </c>
      <c r="L78" s="24">
        <v>1.3959999999999999</v>
      </c>
      <c r="M78" s="24">
        <v>7.0330000000000004E-2</v>
      </c>
      <c r="N78" s="24">
        <v>2.4660000000000002</v>
      </c>
    </row>
    <row r="79" spans="2:14" x14ac:dyDescent="0.25">
      <c r="B79" s="22">
        <v>200</v>
      </c>
      <c r="C79" s="22" t="s">
        <v>50</v>
      </c>
      <c r="D79" s="22"/>
      <c r="E79" s="22">
        <v>1</v>
      </c>
      <c r="F79" s="22">
        <v>0.24540000000000001</v>
      </c>
      <c r="G79" s="24">
        <v>3.0979999999999998E-6</v>
      </c>
      <c r="H79" s="24">
        <v>6.9299999999999997E-6</v>
      </c>
      <c r="I79" s="24">
        <v>8.7069999999999998E-6</v>
      </c>
      <c r="J79" s="24">
        <v>6.4359999999999999E-6</v>
      </c>
      <c r="K79" s="24">
        <v>1.3420000000000001</v>
      </c>
      <c r="L79" s="24">
        <v>1.3420000000000001</v>
      </c>
      <c r="M79" s="24">
        <v>7.2730000000000003E-2</v>
      </c>
      <c r="N79" s="24">
        <v>2.4700000000000002</v>
      </c>
    </row>
    <row r="80" spans="2:14" x14ac:dyDescent="0.25">
      <c r="B80" s="22">
        <v>201</v>
      </c>
      <c r="C80" s="22" t="s">
        <v>50</v>
      </c>
      <c r="D80" s="22"/>
      <c r="E80" s="22">
        <v>1</v>
      </c>
      <c r="F80" s="22">
        <v>0.24930000000000002</v>
      </c>
      <c r="G80" s="24">
        <v>2.6450000000000001E-6</v>
      </c>
      <c r="H80" s="24">
        <v>6.9299999999999997E-6</v>
      </c>
      <c r="I80" s="24">
        <v>7.0729999999999999E-6</v>
      </c>
      <c r="J80" s="24">
        <v>1.151E-5</v>
      </c>
      <c r="K80" s="24">
        <v>1.3540000000000001</v>
      </c>
      <c r="L80" s="24">
        <v>1.3540000000000001</v>
      </c>
      <c r="M80" s="24">
        <v>7.2319999999999995E-2</v>
      </c>
      <c r="N80" s="24">
        <v>2.4420000000000002</v>
      </c>
    </row>
    <row r="81" spans="2:14" x14ac:dyDescent="0.25">
      <c r="B81" s="22">
        <v>203</v>
      </c>
      <c r="C81" s="22" t="s">
        <v>50</v>
      </c>
      <c r="D81" s="22"/>
      <c r="E81" s="22">
        <v>1</v>
      </c>
      <c r="F81" s="22">
        <v>0.23930000000000001</v>
      </c>
      <c r="G81" s="24">
        <v>8.3140000000000004E-6</v>
      </c>
      <c r="H81" s="24">
        <v>5.9710000000000001E-6</v>
      </c>
      <c r="I81" s="24">
        <v>2.3059999999999996E-5</v>
      </c>
      <c r="J81" s="24">
        <v>8.9930000000000001E-6</v>
      </c>
      <c r="K81" s="24">
        <v>1.4339999999999999</v>
      </c>
      <c r="L81" s="24">
        <v>1.4339999999999999</v>
      </c>
      <c r="M81" s="24">
        <v>7.3889999999999997E-2</v>
      </c>
      <c r="N81" s="24">
        <v>2.5499999999999998</v>
      </c>
    </row>
    <row r="82" spans="2:14" x14ac:dyDescent="0.25">
      <c r="B82" s="22">
        <v>204</v>
      </c>
      <c r="C82" s="22" t="s">
        <v>50</v>
      </c>
      <c r="D82" s="22"/>
      <c r="E82" s="22">
        <v>1</v>
      </c>
      <c r="F82" s="22">
        <v>0.22190000000000001</v>
      </c>
      <c r="G82" s="24">
        <v>1.0730000000000001E-5</v>
      </c>
      <c r="H82" s="24">
        <v>7.0249999999999997E-6</v>
      </c>
      <c r="I82" s="24">
        <v>2.7989999999999998E-5</v>
      </c>
      <c r="J82" s="24">
        <v>8.752999999999999E-6</v>
      </c>
      <c r="K82" s="24">
        <v>1.6140000000000001</v>
      </c>
      <c r="L82" s="24">
        <v>1.6140000000000001</v>
      </c>
      <c r="M82" s="24">
        <v>7.3050000000000004E-2</v>
      </c>
      <c r="N82" s="24">
        <v>2.7639999999999998</v>
      </c>
    </row>
    <row r="83" spans="2:14" x14ac:dyDescent="0.25">
      <c r="B83" s="22">
        <v>206</v>
      </c>
      <c r="C83" s="22" t="s">
        <v>50</v>
      </c>
      <c r="D83" s="22"/>
      <c r="E83" s="22">
        <v>1</v>
      </c>
      <c r="F83" s="22">
        <v>0.23519999999999999</v>
      </c>
      <c r="G83" s="24">
        <v>5.7799999999999997E-6</v>
      </c>
      <c r="H83" s="24">
        <v>5.609E-6</v>
      </c>
      <c r="I83" s="24">
        <v>1.626E-5</v>
      </c>
      <c r="J83" s="24">
        <v>8.7819999999999999E-6</v>
      </c>
      <c r="K83" s="24">
        <v>1.37</v>
      </c>
      <c r="L83" s="24">
        <v>1.37</v>
      </c>
      <c r="M83" s="24">
        <v>7.3730000000000004E-2</v>
      </c>
      <c r="N83" s="24">
        <v>2.4660000000000002</v>
      </c>
    </row>
    <row r="84" spans="2:14" x14ac:dyDescent="0.25">
      <c r="B84" s="22">
        <v>208</v>
      </c>
      <c r="C84" s="22" t="s">
        <v>50</v>
      </c>
      <c r="D84" s="22"/>
      <c r="E84" s="22">
        <v>1</v>
      </c>
      <c r="F84" s="22">
        <v>0.23350000000000001</v>
      </c>
      <c r="G84" s="24">
        <v>2.1969999999999999E-6</v>
      </c>
      <c r="H84" s="24">
        <v>4.7300000000000005E-6</v>
      </c>
      <c r="I84" s="24">
        <v>6.0209999999999996E-6</v>
      </c>
      <c r="J84" s="24">
        <v>1.5929999999999998E-5</v>
      </c>
      <c r="K84" s="24">
        <v>1.323</v>
      </c>
      <c r="L84" s="24">
        <v>1.323</v>
      </c>
      <c r="M84" s="24">
        <v>7.4410000000000004E-2</v>
      </c>
      <c r="N84" s="24">
        <v>2.4060000000000001</v>
      </c>
    </row>
    <row r="85" spans="2:14" x14ac:dyDescent="0.25">
      <c r="B85" s="22">
        <v>209</v>
      </c>
      <c r="C85" s="22" t="s">
        <v>50</v>
      </c>
      <c r="D85" s="22"/>
      <c r="E85" s="22">
        <v>1</v>
      </c>
      <c r="F85" s="22">
        <v>0.23710000000000001</v>
      </c>
      <c r="G85" s="24">
        <v>4.9790000000000001E-6</v>
      </c>
      <c r="H85" s="24">
        <v>5.1719999999999998E-6</v>
      </c>
      <c r="I85" s="24">
        <v>1.3539999999999999E-5</v>
      </c>
      <c r="J85" s="24">
        <v>1.134E-5</v>
      </c>
      <c r="K85" s="24">
        <v>1.369</v>
      </c>
      <c r="L85" s="24">
        <v>1.369</v>
      </c>
      <c r="M85" s="24">
        <v>7.392E-2</v>
      </c>
      <c r="N85" s="24">
        <v>2.4649999999999999</v>
      </c>
    </row>
    <row r="86" spans="2:14" x14ac:dyDescent="0.25">
      <c r="B86" s="22">
        <v>213</v>
      </c>
      <c r="C86" s="22" t="s">
        <v>50</v>
      </c>
      <c r="D86" s="22"/>
      <c r="E86" s="22">
        <v>1</v>
      </c>
      <c r="F86" s="22">
        <v>0.24510000000000001</v>
      </c>
      <c r="G86" s="24">
        <v>2.5390000000000002E-6</v>
      </c>
      <c r="H86" s="24">
        <v>6.1619999999999996E-6</v>
      </c>
      <c r="I86" s="24">
        <v>6.8460000000000002E-6</v>
      </c>
      <c r="J86" s="24">
        <v>1.0169999999999999E-5</v>
      </c>
      <c r="K86" s="24">
        <v>1.331</v>
      </c>
      <c r="L86" s="24">
        <v>1.331</v>
      </c>
      <c r="M86" s="24">
        <v>7.3169999999999999E-2</v>
      </c>
      <c r="N86" s="24">
        <v>2.4359999999999999</v>
      </c>
    </row>
    <row r="87" spans="2:14" x14ac:dyDescent="0.25">
      <c r="B87" s="22">
        <v>214</v>
      </c>
      <c r="C87" s="22" t="s">
        <v>50</v>
      </c>
      <c r="D87" s="22"/>
      <c r="E87" s="22">
        <v>1</v>
      </c>
      <c r="F87" s="22">
        <v>0.25519999999999998</v>
      </c>
      <c r="G87" s="24">
        <v>6.8509999999999993E-6</v>
      </c>
      <c r="H87" s="24">
        <v>6.8279999999999997E-6</v>
      </c>
      <c r="I87" s="24">
        <v>1.9870000000000001E-5</v>
      </c>
      <c r="J87" s="24">
        <v>6.6309999999999997E-6</v>
      </c>
      <c r="K87" s="24">
        <v>1.3979999999999999</v>
      </c>
      <c r="L87" s="24">
        <v>1.3979999999999999</v>
      </c>
      <c r="M87" s="24">
        <v>7.0269999999999999E-2</v>
      </c>
      <c r="N87" s="24">
        <v>2.5249999999999999</v>
      </c>
    </row>
    <row r="88" spans="2:14" x14ac:dyDescent="0.25">
      <c r="B88" s="22">
        <v>218</v>
      </c>
      <c r="C88" s="22" t="s">
        <v>50</v>
      </c>
      <c r="D88" s="22"/>
      <c r="E88" s="22">
        <v>1</v>
      </c>
      <c r="F88" s="22">
        <v>0.2316</v>
      </c>
      <c r="G88" s="24">
        <v>2.1749999999999999E-6</v>
      </c>
      <c r="H88" s="24">
        <v>6.032E-6</v>
      </c>
      <c r="I88" s="24">
        <v>5.9299999999999991E-6</v>
      </c>
      <c r="J88" s="24">
        <v>8.1470000000000001E-6</v>
      </c>
      <c r="K88" s="24">
        <v>1.343</v>
      </c>
      <c r="L88" s="24">
        <v>1.343</v>
      </c>
      <c r="M88" s="24">
        <v>7.3030000000000012E-2</v>
      </c>
      <c r="N88" s="24">
        <v>2.4670000000000001</v>
      </c>
    </row>
    <row r="89" spans="2:14" x14ac:dyDescent="0.25">
      <c r="B89" s="22">
        <v>223</v>
      </c>
      <c r="C89" s="22" t="s">
        <v>50</v>
      </c>
      <c r="D89" s="22"/>
      <c r="E89" s="22">
        <v>1</v>
      </c>
      <c r="F89" s="22">
        <v>0.2339</v>
      </c>
      <c r="G89" s="24">
        <v>6.3829999999999997E-6</v>
      </c>
      <c r="H89" s="24">
        <v>6.3069999999999999E-6</v>
      </c>
      <c r="I89" s="24">
        <v>1.8069999999999998E-5</v>
      </c>
      <c r="J89" s="24">
        <v>7.7190000000000001E-6</v>
      </c>
      <c r="K89" s="24">
        <v>1.458</v>
      </c>
      <c r="L89" s="24">
        <v>1.458</v>
      </c>
      <c r="M89" s="24">
        <v>7.3330000000000006E-2</v>
      </c>
      <c r="N89" s="24">
        <v>2.609</v>
      </c>
    </row>
    <row r="90" spans="2:14" x14ac:dyDescent="0.25">
      <c r="B90" s="22">
        <v>226</v>
      </c>
      <c r="C90" s="22" t="s">
        <v>50</v>
      </c>
      <c r="D90" s="22"/>
      <c r="E90" s="22">
        <v>1</v>
      </c>
      <c r="F90" s="22">
        <v>0.2455</v>
      </c>
      <c r="G90" s="24">
        <v>2.0839999999999999E-6</v>
      </c>
      <c r="H90" s="24">
        <v>4.143E-6</v>
      </c>
      <c r="I90" s="24">
        <v>5.8869999999999997E-6</v>
      </c>
      <c r="J90" s="24">
        <v>5.8739999999999992E-6</v>
      </c>
      <c r="K90" s="24">
        <v>1.387</v>
      </c>
      <c r="L90" s="24">
        <v>1.387</v>
      </c>
      <c r="M90" s="24">
        <v>7.2470000000000007E-2</v>
      </c>
      <c r="N90" s="24">
        <v>2.4980000000000002</v>
      </c>
    </row>
    <row r="91" spans="2:14" x14ac:dyDescent="0.25">
      <c r="B91" s="22">
        <v>228</v>
      </c>
      <c r="C91" s="22" t="s">
        <v>50</v>
      </c>
      <c r="D91" s="22"/>
      <c r="E91" s="22">
        <v>1</v>
      </c>
      <c r="F91" s="22">
        <v>0.24210000000000001</v>
      </c>
      <c r="G91" s="24">
        <v>4.5449999999999997E-6</v>
      </c>
      <c r="H91" s="24">
        <v>4.7639999999999996E-6</v>
      </c>
      <c r="I91" s="24">
        <v>1.2969999999999999E-5</v>
      </c>
      <c r="J91" s="24">
        <v>1.7239999999999998E-5</v>
      </c>
      <c r="K91" s="24">
        <v>1.405</v>
      </c>
      <c r="L91" s="24">
        <v>1.405</v>
      </c>
      <c r="M91" s="24">
        <v>7.3719999999999994E-2</v>
      </c>
      <c r="N91" s="24">
        <v>2.4929999999999999</v>
      </c>
    </row>
    <row r="92" spans="2:14" x14ac:dyDescent="0.25">
      <c r="B92" s="22">
        <v>233</v>
      </c>
      <c r="C92" s="22" t="s">
        <v>50</v>
      </c>
      <c r="D92" s="22"/>
      <c r="E92" s="22">
        <v>1</v>
      </c>
      <c r="F92" s="22">
        <v>0.23910000000000001</v>
      </c>
      <c r="G92" s="24">
        <v>2.8779999999999998E-6</v>
      </c>
      <c r="H92" s="24">
        <v>5.3310000000000003E-6</v>
      </c>
      <c r="I92" s="24">
        <v>8.0600000000000008E-6</v>
      </c>
      <c r="J92" s="24">
        <v>9.800000000000001E-6</v>
      </c>
      <c r="K92" s="24">
        <v>1.3109999999999999</v>
      </c>
      <c r="L92" s="24">
        <v>1.3109999999999999</v>
      </c>
      <c r="M92" s="24">
        <v>7.3890000000000011E-2</v>
      </c>
      <c r="N92" s="24">
        <v>2.399</v>
      </c>
    </row>
    <row r="93" spans="2:14" x14ac:dyDescent="0.25">
      <c r="B93" s="22">
        <v>235</v>
      </c>
      <c r="C93" s="22" t="s">
        <v>50</v>
      </c>
      <c r="D93" s="22"/>
      <c r="E93" s="22">
        <v>1</v>
      </c>
      <c r="F93" s="22">
        <v>0.24199999999999999</v>
      </c>
      <c r="G93" s="24">
        <v>7.6729999999999992E-6</v>
      </c>
      <c r="H93" s="24">
        <v>6.105E-6</v>
      </c>
      <c r="I93" s="24">
        <v>2.2350000000000001E-5</v>
      </c>
      <c r="J93" s="24">
        <v>6.0679999999999993E-6</v>
      </c>
      <c r="K93" s="24">
        <v>1.4470000000000001</v>
      </c>
      <c r="L93" s="24">
        <v>1.4470000000000001</v>
      </c>
      <c r="M93" s="24">
        <v>7.4069999999999997E-2</v>
      </c>
      <c r="N93" s="24">
        <v>2.5880000000000001</v>
      </c>
    </row>
    <row r="94" spans="2:14" x14ac:dyDescent="0.25">
      <c r="B94" s="22">
        <v>239</v>
      </c>
      <c r="C94" s="22" t="s">
        <v>50</v>
      </c>
      <c r="D94" s="22"/>
      <c r="E94" s="22">
        <v>1</v>
      </c>
      <c r="F94" s="22">
        <v>0.23480000000000001</v>
      </c>
      <c r="G94" s="24">
        <v>2.988E-6</v>
      </c>
      <c r="H94" s="24">
        <v>5.7880000000000003E-6</v>
      </c>
      <c r="I94" s="24">
        <v>8.2810000000000008E-6</v>
      </c>
      <c r="J94" s="24">
        <v>6.7629999999999995E-6</v>
      </c>
      <c r="K94" s="24">
        <v>1.37</v>
      </c>
      <c r="L94" s="24">
        <v>1.37</v>
      </c>
      <c r="M94" s="24">
        <v>7.3149999999999993E-2</v>
      </c>
      <c r="N94" s="24">
        <v>2.4889999999999999</v>
      </c>
    </row>
    <row r="95" spans="2:14" x14ac:dyDescent="0.25">
      <c r="B95" s="22">
        <v>244</v>
      </c>
      <c r="C95" s="22" t="s">
        <v>50</v>
      </c>
      <c r="D95" s="22"/>
      <c r="E95" s="22">
        <v>1</v>
      </c>
      <c r="F95" s="22">
        <v>0.23330000000000001</v>
      </c>
      <c r="G95" s="24">
        <v>5.6369999999999996E-6</v>
      </c>
      <c r="H95" s="24">
        <v>5.2629999999999994E-6</v>
      </c>
      <c r="I95" s="24">
        <v>1.3949999999999999E-5</v>
      </c>
      <c r="J95" s="24">
        <v>1.6760000000000002E-5</v>
      </c>
      <c r="K95" s="24">
        <v>1.401</v>
      </c>
      <c r="L95" s="24">
        <v>1.401</v>
      </c>
      <c r="M95" s="24">
        <v>7.3700000000000002E-2</v>
      </c>
      <c r="N95" s="24">
        <v>2.496</v>
      </c>
    </row>
    <row r="96" spans="2:14" x14ac:dyDescent="0.25">
      <c r="B96" s="22">
        <v>252</v>
      </c>
      <c r="C96" s="22" t="s">
        <v>50</v>
      </c>
      <c r="D96" s="22"/>
      <c r="E96" s="22">
        <v>1</v>
      </c>
      <c r="F96" s="22">
        <v>0.22309999999999999</v>
      </c>
      <c r="G96" s="24">
        <v>1.4970000000000001E-5</v>
      </c>
      <c r="H96" s="24">
        <v>9.112999999999999E-6</v>
      </c>
      <c r="I96" s="24">
        <v>3.701E-5</v>
      </c>
      <c r="J96" s="24">
        <v>1.1619999999999999E-5</v>
      </c>
      <c r="K96" s="24">
        <v>1.6240000000000001</v>
      </c>
      <c r="L96" s="24">
        <v>1.6240000000000001</v>
      </c>
      <c r="M96" s="24">
        <v>7.4929999999999997E-2</v>
      </c>
      <c r="N96" s="24">
        <v>2.7669999999999999</v>
      </c>
    </row>
    <row r="97" spans="2:14" x14ac:dyDescent="0.25">
      <c r="B97" s="22">
        <v>263</v>
      </c>
      <c r="C97" s="22" t="s">
        <v>50</v>
      </c>
      <c r="D97" s="22"/>
      <c r="E97" s="22">
        <v>1</v>
      </c>
      <c r="F97" s="22">
        <v>0.24630000000000002</v>
      </c>
      <c r="G97" s="24">
        <v>2.7299999999999997E-6</v>
      </c>
      <c r="H97" s="24">
        <v>5.6069999999999998E-6</v>
      </c>
      <c r="I97" s="24">
        <v>7.3129999999999993E-6</v>
      </c>
      <c r="J97" s="24">
        <v>9.2929999999999989E-6</v>
      </c>
      <c r="K97" s="24">
        <v>1.3220000000000001</v>
      </c>
      <c r="L97" s="24">
        <v>1.3220000000000001</v>
      </c>
      <c r="M97" s="24">
        <v>7.2840000000000002E-2</v>
      </c>
      <c r="N97" s="24">
        <v>2.4279999999999999</v>
      </c>
    </row>
    <row r="98" spans="2:14" x14ac:dyDescent="0.25">
      <c r="B98" s="22">
        <v>265</v>
      </c>
      <c r="C98" s="22" t="s">
        <v>50</v>
      </c>
      <c r="D98" s="22"/>
      <c r="E98" s="22">
        <v>1</v>
      </c>
      <c r="F98" s="22">
        <v>0.2354</v>
      </c>
      <c r="G98" s="24">
        <v>2.5349999999999999E-6</v>
      </c>
      <c r="H98" s="24">
        <v>4.5119999999999993E-6</v>
      </c>
      <c r="I98" s="24">
        <v>7.041E-6</v>
      </c>
      <c r="J98" s="24">
        <v>9.7289999999999995E-6</v>
      </c>
      <c r="K98" s="24">
        <v>1.321</v>
      </c>
      <c r="L98" s="24">
        <v>1.321</v>
      </c>
      <c r="M98" s="24">
        <v>7.4220000000000008E-2</v>
      </c>
      <c r="N98" s="24">
        <v>2.399</v>
      </c>
    </row>
    <row r="99" spans="2:14" x14ac:dyDescent="0.25">
      <c r="B99" s="22">
        <v>267</v>
      </c>
      <c r="C99" s="22" t="s">
        <v>50</v>
      </c>
      <c r="D99" s="22"/>
      <c r="E99" s="22">
        <v>1</v>
      </c>
      <c r="F99" s="22">
        <v>0.23290000000000002</v>
      </c>
      <c r="G99" s="24">
        <v>5.4400000000000004E-6</v>
      </c>
      <c r="H99" s="24">
        <v>5.614E-6</v>
      </c>
      <c r="I99" s="24">
        <v>1.5609999999999998E-5</v>
      </c>
      <c r="J99" s="24">
        <v>2.1559999999999997E-5</v>
      </c>
      <c r="K99" s="24">
        <v>1.421</v>
      </c>
      <c r="L99" s="24">
        <v>1.421</v>
      </c>
      <c r="M99" s="24">
        <v>7.4759999999999993E-2</v>
      </c>
      <c r="N99" s="24">
        <v>2.5049999999999999</v>
      </c>
    </row>
    <row r="100" spans="2:14" x14ac:dyDescent="0.25">
      <c r="B100" s="22">
        <v>268</v>
      </c>
      <c r="C100" s="22" t="s">
        <v>50</v>
      </c>
      <c r="D100" s="22"/>
      <c r="E100" s="22">
        <v>1</v>
      </c>
      <c r="F100" s="22">
        <v>0.2288</v>
      </c>
      <c r="G100" s="24">
        <v>5.567999999999999E-6</v>
      </c>
      <c r="H100" s="24">
        <v>5.4189999999999993E-6</v>
      </c>
      <c r="I100" s="24">
        <v>1.5330000000000001E-5</v>
      </c>
      <c r="J100" s="24">
        <v>1.188E-5</v>
      </c>
      <c r="K100" s="24">
        <v>1.385</v>
      </c>
      <c r="L100" s="24">
        <v>1.385</v>
      </c>
      <c r="M100" s="24">
        <v>7.3789999999999994E-2</v>
      </c>
      <c r="N100" s="24">
        <v>2.476</v>
      </c>
    </row>
    <row r="101" spans="2:14" x14ac:dyDescent="0.25">
      <c r="B101" s="22">
        <v>270</v>
      </c>
      <c r="C101" s="22" t="s">
        <v>50</v>
      </c>
      <c r="D101" s="22"/>
      <c r="E101" s="22">
        <v>1</v>
      </c>
      <c r="F101" s="22">
        <v>0.22309999999999999</v>
      </c>
      <c r="G101" s="24">
        <v>1.2460000000000001E-5</v>
      </c>
      <c r="H101" s="24">
        <v>8.3889999999999988E-6</v>
      </c>
      <c r="I101" s="24">
        <v>3.4990000000000002E-5</v>
      </c>
      <c r="J101" s="24">
        <v>1.3859999999999999E-5</v>
      </c>
      <c r="K101" s="24">
        <v>1.4690000000000001</v>
      </c>
      <c r="L101" s="24">
        <v>1.4690000000000001</v>
      </c>
      <c r="M101" s="24">
        <v>7.4699999999999989E-2</v>
      </c>
      <c r="N101" s="24">
        <v>2.5840000000000001</v>
      </c>
    </row>
    <row r="102" spans="2:14" x14ac:dyDescent="0.25">
      <c r="B102" s="22">
        <v>272</v>
      </c>
      <c r="C102" s="22" t="s">
        <v>50</v>
      </c>
      <c r="D102" s="22"/>
      <c r="E102" s="22">
        <v>1</v>
      </c>
      <c r="F102" s="22">
        <v>0.23250000000000001</v>
      </c>
      <c r="G102" s="24">
        <v>2.0760000000000001E-6</v>
      </c>
      <c r="H102" s="24">
        <v>5.135E-6</v>
      </c>
      <c r="I102" s="24">
        <v>5.75E-6</v>
      </c>
      <c r="J102" s="24">
        <v>1.9559999999999999E-5</v>
      </c>
      <c r="K102" s="24">
        <v>1.3120000000000001</v>
      </c>
      <c r="L102" s="24">
        <v>1.3120000000000001</v>
      </c>
      <c r="M102" s="24">
        <v>7.4319999999999997E-2</v>
      </c>
      <c r="N102" s="24">
        <v>2.3919999999999999</v>
      </c>
    </row>
    <row r="103" spans="2:14" x14ac:dyDescent="0.25">
      <c r="B103" s="22">
        <v>274</v>
      </c>
      <c r="C103" s="22" t="s">
        <v>50</v>
      </c>
      <c r="D103" s="22"/>
      <c r="E103" s="22">
        <v>1</v>
      </c>
      <c r="F103" s="22">
        <v>0.24859999999999999</v>
      </c>
      <c r="G103" s="24">
        <v>4.6149999999999999E-6</v>
      </c>
      <c r="H103" s="24">
        <v>6.6599999999999998E-6</v>
      </c>
      <c r="I103" s="24">
        <v>1.3419999999999999E-5</v>
      </c>
      <c r="J103" s="24">
        <v>5.5919999999999991E-6</v>
      </c>
      <c r="K103" s="24">
        <v>1.375</v>
      </c>
      <c r="L103" s="24">
        <v>1.375</v>
      </c>
      <c r="M103" s="24">
        <v>7.1190000000000003E-2</v>
      </c>
      <c r="N103" s="24">
        <v>2.5099999999999998</v>
      </c>
    </row>
    <row r="104" spans="2:14" x14ac:dyDescent="0.25">
      <c r="B104" s="22">
        <v>279</v>
      </c>
      <c r="C104" s="22" t="s">
        <v>50</v>
      </c>
      <c r="D104" s="22"/>
      <c r="E104" s="22">
        <v>1</v>
      </c>
      <c r="F104" s="22">
        <v>0.24349999999999999</v>
      </c>
      <c r="G104" s="24">
        <v>2.7469999999999997E-6</v>
      </c>
      <c r="H104" s="24">
        <v>6.7719999999999997E-6</v>
      </c>
      <c r="I104" s="24">
        <v>7.4930000000000001E-6</v>
      </c>
      <c r="J104" s="24">
        <v>9.2140000000000002E-6</v>
      </c>
      <c r="K104" s="24">
        <v>1.3169999999999999</v>
      </c>
      <c r="L104" s="24">
        <v>1.3169999999999999</v>
      </c>
      <c r="M104" s="24">
        <v>7.4450000000000002E-2</v>
      </c>
      <c r="N104" s="24">
        <v>2.427</v>
      </c>
    </row>
    <row r="105" spans="2:14" x14ac:dyDescent="0.25">
      <c r="B105" s="22">
        <v>280</v>
      </c>
      <c r="C105" s="22" t="s">
        <v>50</v>
      </c>
      <c r="D105" s="22"/>
      <c r="E105" s="22">
        <v>1</v>
      </c>
      <c r="F105" s="22">
        <v>0.23180000000000001</v>
      </c>
      <c r="G105" s="24">
        <v>8.6479999999999992E-6</v>
      </c>
      <c r="H105" s="24">
        <v>6.5469999999999993E-6</v>
      </c>
      <c r="I105" s="24">
        <v>2.3729999999999998E-5</v>
      </c>
      <c r="J105" s="24">
        <v>8.5619999999999987E-6</v>
      </c>
      <c r="K105" s="24">
        <v>1.4490000000000001</v>
      </c>
      <c r="L105" s="24">
        <v>1.4490000000000001</v>
      </c>
      <c r="M105" s="24">
        <v>7.4080000000000007E-2</v>
      </c>
      <c r="N105" s="24">
        <v>2.589</v>
      </c>
    </row>
    <row r="106" spans="2:14" x14ac:dyDescent="0.25">
      <c r="B106" s="22">
        <v>283</v>
      </c>
      <c r="C106" s="22" t="s">
        <v>50</v>
      </c>
      <c r="D106" s="22"/>
      <c r="E106" s="22">
        <v>1</v>
      </c>
      <c r="F106" s="22">
        <v>0.23350000000000001</v>
      </c>
      <c r="G106" s="24">
        <v>4.3239999999999996E-6</v>
      </c>
      <c r="H106" s="24">
        <v>6.2899999999999999E-6</v>
      </c>
      <c r="I106" s="24">
        <v>1.2649999999999999E-5</v>
      </c>
      <c r="J106" s="24">
        <v>5.3819999999999995E-6</v>
      </c>
      <c r="K106" s="24">
        <v>1.466</v>
      </c>
      <c r="L106" s="24">
        <v>1.466</v>
      </c>
      <c r="M106" s="24">
        <v>7.375000000000001E-2</v>
      </c>
      <c r="N106" s="24">
        <v>2.6160000000000001</v>
      </c>
    </row>
    <row r="107" spans="2:14" x14ac:dyDescent="0.25">
      <c r="B107" s="22">
        <v>286</v>
      </c>
      <c r="C107" s="22" t="s">
        <v>50</v>
      </c>
      <c r="D107" s="22"/>
      <c r="E107" s="22">
        <v>1</v>
      </c>
      <c r="F107" s="22">
        <v>0.23369999999999999</v>
      </c>
      <c r="G107" s="24">
        <v>4.6269999999999999E-6</v>
      </c>
      <c r="H107" s="24">
        <v>8.2279999999999998E-6</v>
      </c>
      <c r="I107" s="24">
        <v>1.2349999999999999E-5</v>
      </c>
      <c r="J107" s="24">
        <v>7.8609999999999998E-6</v>
      </c>
      <c r="K107" s="24">
        <v>1.4590000000000001</v>
      </c>
      <c r="L107" s="24">
        <v>1.4590000000000001</v>
      </c>
      <c r="M107" s="24">
        <v>7.3209999999999997E-2</v>
      </c>
      <c r="N107" s="24">
        <v>2.621</v>
      </c>
    </row>
    <row r="108" spans="2:14" x14ac:dyDescent="0.25">
      <c r="B108" s="22">
        <v>287</v>
      </c>
      <c r="C108" s="22" t="s">
        <v>50</v>
      </c>
      <c r="D108" s="22"/>
      <c r="E108" s="22">
        <v>1</v>
      </c>
      <c r="F108" s="22">
        <v>0.24030000000000001</v>
      </c>
      <c r="G108" s="24">
        <v>4.5109999999999997E-6</v>
      </c>
      <c r="H108" s="24">
        <v>6.5139999999999998E-6</v>
      </c>
      <c r="I108" s="24">
        <v>1.3029999999999999E-5</v>
      </c>
      <c r="J108" s="24">
        <v>6.5269999999999995E-6</v>
      </c>
      <c r="K108" s="24">
        <v>1.355</v>
      </c>
      <c r="L108" s="24">
        <v>1.355</v>
      </c>
      <c r="M108" s="24">
        <v>7.4749999999999997E-2</v>
      </c>
      <c r="N108" s="24">
        <v>2.4790000000000001</v>
      </c>
    </row>
    <row r="109" spans="2:14" x14ac:dyDescent="0.25">
      <c r="B109" s="22">
        <v>292</v>
      </c>
      <c r="C109" s="22" t="s">
        <v>50</v>
      </c>
      <c r="D109" s="22"/>
      <c r="E109" s="22">
        <v>1</v>
      </c>
      <c r="F109" s="22">
        <v>0.23219999999999999</v>
      </c>
      <c r="G109" s="24">
        <v>4.7559999999999999E-6</v>
      </c>
      <c r="H109" s="24">
        <v>7.8250000000000005E-6</v>
      </c>
      <c r="I109" s="24">
        <v>1.309E-5</v>
      </c>
      <c r="J109" s="24">
        <v>1.102E-5</v>
      </c>
      <c r="K109" s="24">
        <v>1.4890000000000001</v>
      </c>
      <c r="L109" s="24">
        <v>1.4890000000000001</v>
      </c>
      <c r="M109" s="24">
        <v>7.4179999999999996E-2</v>
      </c>
      <c r="N109" s="24">
        <v>2.617</v>
      </c>
    </row>
    <row r="110" spans="2:14" x14ac:dyDescent="0.25">
      <c r="B110" s="22">
        <v>293</v>
      </c>
      <c r="C110" s="22" t="s">
        <v>50</v>
      </c>
      <c r="D110" s="22"/>
      <c r="E110" s="22">
        <v>1</v>
      </c>
      <c r="F110" s="22">
        <v>0.24580000000000002</v>
      </c>
      <c r="G110" s="24">
        <v>5.2320000000000001E-6</v>
      </c>
      <c r="H110" s="24">
        <v>9.696E-6</v>
      </c>
      <c r="I110" s="24">
        <v>1.5549999999999999E-5</v>
      </c>
      <c r="J110" s="24">
        <v>5.1799999999999995E-6</v>
      </c>
      <c r="K110" s="24">
        <v>1.4</v>
      </c>
      <c r="L110" s="24">
        <v>1.4</v>
      </c>
      <c r="M110" s="24">
        <v>7.1940000000000004E-2</v>
      </c>
      <c r="N110" s="24">
        <v>2.5550000000000002</v>
      </c>
    </row>
    <row r="111" spans="2:14" x14ac:dyDescent="0.25">
      <c r="B111" s="22">
        <v>296</v>
      </c>
      <c r="C111" s="22" t="s">
        <v>50</v>
      </c>
      <c r="D111" s="22"/>
      <c r="E111" s="22">
        <v>1</v>
      </c>
      <c r="F111" s="22">
        <v>0.23730000000000001</v>
      </c>
      <c r="G111" s="24">
        <v>9.727999999999999E-6</v>
      </c>
      <c r="H111" s="24">
        <v>6.8970000000000002E-6</v>
      </c>
      <c r="I111" s="24">
        <v>2.6800000000000001E-5</v>
      </c>
      <c r="J111" s="24">
        <v>9.6350000000000001E-6</v>
      </c>
      <c r="K111" s="24">
        <v>1.464</v>
      </c>
      <c r="L111" s="24">
        <v>1.464</v>
      </c>
      <c r="M111" s="24">
        <v>7.468000000000001E-2</v>
      </c>
      <c r="N111" s="24">
        <v>2.601</v>
      </c>
    </row>
    <row r="112" spans="2:14" x14ac:dyDescent="0.25">
      <c r="B112" s="22">
        <v>299</v>
      </c>
      <c r="C112" s="22" t="s">
        <v>50</v>
      </c>
      <c r="D112" s="22"/>
      <c r="E112" s="22">
        <v>1</v>
      </c>
      <c r="F112" s="22">
        <v>0.2437</v>
      </c>
      <c r="G112" s="24">
        <v>8.5079999999999988E-6</v>
      </c>
      <c r="H112" s="24">
        <v>9.1329999999999988E-6</v>
      </c>
      <c r="I112" s="24">
        <v>2.3199999999999998E-5</v>
      </c>
      <c r="J112" s="24">
        <v>7.4320000000000002E-6</v>
      </c>
      <c r="K112" s="24">
        <v>1.47</v>
      </c>
      <c r="L112" s="24">
        <v>1.47</v>
      </c>
      <c r="M112" s="24">
        <v>7.2279999999999997E-2</v>
      </c>
      <c r="N112" s="24">
        <v>2.64</v>
      </c>
    </row>
    <row r="113" spans="2:14" x14ac:dyDescent="0.25">
      <c r="B113" s="22">
        <v>309</v>
      </c>
      <c r="C113" s="22" t="s">
        <v>50</v>
      </c>
      <c r="D113" s="22"/>
      <c r="E113" s="22">
        <v>1</v>
      </c>
      <c r="F113" s="22">
        <v>0.2427</v>
      </c>
      <c r="G113" s="24">
        <v>5.2719999999999997E-6</v>
      </c>
      <c r="H113" s="24">
        <v>6.28E-6</v>
      </c>
      <c r="I113" s="24">
        <v>1.5159999999999999E-5</v>
      </c>
      <c r="J113" s="24">
        <v>7.2910000000000002E-6</v>
      </c>
      <c r="K113" s="24">
        <v>1.3560000000000001</v>
      </c>
      <c r="L113" s="24">
        <v>1.3560000000000001</v>
      </c>
      <c r="M113" s="24">
        <v>7.4029999999999999E-2</v>
      </c>
      <c r="N113" s="24">
        <v>2.4649999999999999</v>
      </c>
    </row>
    <row r="114" spans="2:14" x14ac:dyDescent="0.25">
      <c r="B114" s="22">
        <v>310</v>
      </c>
      <c r="C114" s="22" t="s">
        <v>50</v>
      </c>
      <c r="D114" s="22"/>
      <c r="E114" s="22">
        <v>1</v>
      </c>
      <c r="F114" s="22">
        <v>0.25069999999999998</v>
      </c>
      <c r="G114" s="24">
        <v>3.3780000000000001E-6</v>
      </c>
      <c r="H114" s="24">
        <v>6.4799999999999998E-6</v>
      </c>
      <c r="I114" s="24">
        <v>9.3849999999999991E-6</v>
      </c>
      <c r="J114" s="24">
        <v>5.9649999999999996E-6</v>
      </c>
      <c r="K114" s="24">
        <v>1.3779999999999999</v>
      </c>
      <c r="L114" s="24">
        <v>1.3779999999999999</v>
      </c>
      <c r="M114" s="24">
        <v>7.0890000000000009E-2</v>
      </c>
      <c r="N114" s="24">
        <v>2.5209999999999999</v>
      </c>
    </row>
    <row r="115" spans="2:14" x14ac:dyDescent="0.25">
      <c r="B115" s="22">
        <v>315</v>
      </c>
      <c r="C115" s="22" t="s">
        <v>50</v>
      </c>
      <c r="D115" s="22"/>
      <c r="E115" s="22">
        <v>1</v>
      </c>
      <c r="F115" s="22">
        <v>0.2432</v>
      </c>
      <c r="G115" s="24">
        <v>2.4590000000000001E-6</v>
      </c>
      <c r="H115" s="24">
        <v>6.8659999999999991E-6</v>
      </c>
      <c r="I115" s="24">
        <v>6.7059999999999998E-6</v>
      </c>
      <c r="J115" s="24">
        <v>8.6240000000000008E-6</v>
      </c>
      <c r="K115" s="24">
        <v>1.335</v>
      </c>
      <c r="L115" s="24">
        <v>1.335</v>
      </c>
      <c r="M115" s="24">
        <v>7.3749999999999996E-2</v>
      </c>
      <c r="N115" s="24">
        <v>2.44</v>
      </c>
    </row>
    <row r="116" spans="2:14" x14ac:dyDescent="0.25">
      <c r="B116" s="22">
        <v>319</v>
      </c>
      <c r="C116" s="22" t="s">
        <v>50</v>
      </c>
      <c r="D116" s="22"/>
      <c r="E116" s="22">
        <v>1</v>
      </c>
      <c r="F116" s="22">
        <v>0.23300000000000001</v>
      </c>
      <c r="G116" s="24">
        <v>7.0229999999999995E-6</v>
      </c>
      <c r="H116" s="24">
        <v>6.0289999999999994E-6</v>
      </c>
      <c r="I116" s="24">
        <v>1.9920000000000002E-5</v>
      </c>
      <c r="J116" s="24">
        <v>1.238E-5</v>
      </c>
      <c r="K116" s="24">
        <v>1.4</v>
      </c>
      <c r="L116" s="24">
        <v>1.4</v>
      </c>
      <c r="M116" s="24">
        <v>7.4360000000000009E-2</v>
      </c>
      <c r="N116" s="24">
        <v>2.484</v>
      </c>
    </row>
    <row r="117" spans="2:14" x14ac:dyDescent="0.25">
      <c r="B117" s="22">
        <v>320</v>
      </c>
      <c r="C117" s="22" t="s">
        <v>50</v>
      </c>
      <c r="D117" s="22"/>
      <c r="E117" s="22">
        <v>1</v>
      </c>
      <c r="F117" s="22">
        <v>0.2283</v>
      </c>
      <c r="G117" s="24">
        <v>7.8259999999999993E-6</v>
      </c>
      <c r="H117" s="24">
        <v>6.8070000000000002E-6</v>
      </c>
      <c r="I117" s="24">
        <v>2.1309999999999998E-5</v>
      </c>
      <c r="J117" s="24">
        <v>6.6509999999999995E-6</v>
      </c>
      <c r="K117" s="24">
        <v>1.5840000000000001</v>
      </c>
      <c r="L117" s="24">
        <v>1.5840000000000001</v>
      </c>
      <c r="M117" s="24">
        <v>7.3970000000000008E-2</v>
      </c>
      <c r="N117" s="24">
        <v>2.7360000000000002</v>
      </c>
    </row>
    <row r="118" spans="2:14" x14ac:dyDescent="0.25">
      <c r="B118" s="22">
        <v>321</v>
      </c>
      <c r="C118" s="22" t="s">
        <v>50</v>
      </c>
      <c r="D118" s="22"/>
      <c r="E118" s="22">
        <v>1</v>
      </c>
      <c r="F118" s="22">
        <v>0.2445</v>
      </c>
      <c r="G118" s="24">
        <v>7.3049999999999995E-6</v>
      </c>
      <c r="H118" s="24">
        <v>6.0079999999999999E-6</v>
      </c>
      <c r="I118" s="24">
        <v>2.2239999999999997E-5</v>
      </c>
      <c r="J118" s="24">
        <v>1.01E-5</v>
      </c>
      <c r="K118" s="24">
        <v>1.4079999999999999</v>
      </c>
      <c r="L118" s="24">
        <v>1.4079999999999999</v>
      </c>
      <c r="M118" s="24">
        <v>7.4010000000000006E-2</v>
      </c>
      <c r="N118" s="24">
        <v>2.4980000000000002</v>
      </c>
    </row>
    <row r="119" spans="2:14" x14ac:dyDescent="0.25">
      <c r="B119" s="22">
        <v>322</v>
      </c>
      <c r="C119" s="22" t="s">
        <v>50</v>
      </c>
      <c r="D119" s="22"/>
      <c r="E119" s="22">
        <v>1</v>
      </c>
      <c r="F119" s="22">
        <v>0.23269999999999999</v>
      </c>
      <c r="G119" s="24">
        <v>2.5270000000000001E-6</v>
      </c>
      <c r="H119" s="24">
        <v>6.477E-6</v>
      </c>
      <c r="I119" s="24">
        <v>7.1280000000000002E-6</v>
      </c>
      <c r="J119" s="24">
        <v>7.1969999999999999E-6</v>
      </c>
      <c r="K119" s="24">
        <v>1.3759999999999999</v>
      </c>
      <c r="L119" s="24">
        <v>1.3759999999999999</v>
      </c>
      <c r="M119" s="24">
        <v>7.4360000000000009E-2</v>
      </c>
      <c r="N119" s="24">
        <v>2.484</v>
      </c>
    </row>
    <row r="120" spans="2:14" x14ac:dyDescent="0.25">
      <c r="B120" s="22">
        <v>323</v>
      </c>
      <c r="C120" s="22" t="s">
        <v>50</v>
      </c>
      <c r="D120" s="22"/>
      <c r="E120" s="22">
        <v>1</v>
      </c>
      <c r="F120" s="22">
        <v>0.24130000000000001</v>
      </c>
      <c r="G120" s="24">
        <v>4.0309999999999992E-6</v>
      </c>
      <c r="H120" s="24">
        <v>7.3189999999999997E-6</v>
      </c>
      <c r="I120" s="24">
        <v>1.13E-5</v>
      </c>
      <c r="J120" s="24">
        <v>1.096E-5</v>
      </c>
      <c r="K120" s="24">
        <v>1.448</v>
      </c>
      <c r="L120" s="24">
        <v>1.448</v>
      </c>
      <c r="M120" s="24">
        <v>7.3880000000000001E-2</v>
      </c>
      <c r="N120" s="24">
        <v>2.5489999999999999</v>
      </c>
    </row>
    <row r="121" spans="2:14" x14ac:dyDescent="0.25">
      <c r="B121" s="22">
        <v>325</v>
      </c>
      <c r="C121" s="22" t="s">
        <v>50</v>
      </c>
      <c r="D121" s="22"/>
      <c r="E121" s="22">
        <v>1</v>
      </c>
      <c r="F121" s="22">
        <v>0.23600000000000002</v>
      </c>
      <c r="G121" s="24">
        <v>2.277E-6</v>
      </c>
      <c r="H121" s="24">
        <v>5.9499999999999998E-6</v>
      </c>
      <c r="I121" s="24">
        <v>6.4489999999999996E-6</v>
      </c>
      <c r="J121" s="24">
        <v>3.1019999999999998E-5</v>
      </c>
      <c r="K121" s="24">
        <v>1.339</v>
      </c>
      <c r="L121" s="24">
        <v>1.339</v>
      </c>
      <c r="M121" s="24">
        <v>7.3580000000000007E-2</v>
      </c>
      <c r="N121" s="24">
        <v>2.4009999999999998</v>
      </c>
    </row>
    <row r="122" spans="2:14" x14ac:dyDescent="0.25">
      <c r="B122" s="22">
        <v>326</v>
      </c>
      <c r="C122" s="22" t="s">
        <v>50</v>
      </c>
      <c r="D122" s="22"/>
      <c r="E122" s="22">
        <v>1</v>
      </c>
      <c r="F122" s="22">
        <v>0.23530000000000001</v>
      </c>
      <c r="G122" s="24">
        <v>2.5939999999999996E-6</v>
      </c>
      <c r="H122" s="24">
        <v>7.5149999999999992E-6</v>
      </c>
      <c r="I122" s="24">
        <v>7.1859999999999995E-6</v>
      </c>
      <c r="J122" s="24">
        <v>8.2599999999999988E-6</v>
      </c>
      <c r="K122" s="24">
        <v>1.353</v>
      </c>
      <c r="L122" s="24">
        <v>1.353</v>
      </c>
      <c r="M122" s="24">
        <v>7.3880000000000001E-2</v>
      </c>
      <c r="N122" s="24">
        <v>2.4620000000000002</v>
      </c>
    </row>
    <row r="123" spans="2:14" x14ac:dyDescent="0.25">
      <c r="B123" s="22">
        <v>329</v>
      </c>
      <c r="C123" s="22" t="s">
        <v>50</v>
      </c>
      <c r="D123" s="22"/>
      <c r="E123" s="22">
        <v>1</v>
      </c>
      <c r="F123" s="22">
        <v>0.24830000000000002</v>
      </c>
      <c r="G123" s="24">
        <v>6.1089999999999994E-6</v>
      </c>
      <c r="H123" s="24">
        <v>4.6349999999999997E-6</v>
      </c>
      <c r="I123" s="24">
        <v>1.7179999999999998E-5</v>
      </c>
      <c r="J123" s="24">
        <v>8.8780000000000004E-6</v>
      </c>
      <c r="K123" s="24">
        <v>1.413</v>
      </c>
      <c r="L123" s="24">
        <v>1.413</v>
      </c>
      <c r="M123" s="24">
        <v>7.152E-2</v>
      </c>
      <c r="N123" s="24">
        <v>2.5089999999999999</v>
      </c>
    </row>
    <row r="124" spans="2:14" x14ac:dyDescent="0.25">
      <c r="B124" s="22">
        <v>330</v>
      </c>
      <c r="C124" s="22" t="s">
        <v>50</v>
      </c>
      <c r="D124" s="22"/>
      <c r="E124" s="22">
        <v>1</v>
      </c>
      <c r="F124" s="22">
        <v>0.23650000000000002</v>
      </c>
      <c r="G124" s="24">
        <v>2.2919999999999998E-6</v>
      </c>
      <c r="H124" s="24">
        <v>4.296E-6</v>
      </c>
      <c r="I124" s="24">
        <v>6.2929999999999997E-6</v>
      </c>
      <c r="J124" s="24">
        <v>1.7989999999999999E-5</v>
      </c>
      <c r="K124" s="24">
        <v>1.3420000000000001</v>
      </c>
      <c r="L124" s="24">
        <v>1.3420000000000001</v>
      </c>
      <c r="M124" s="24">
        <v>7.4179999999999996E-2</v>
      </c>
      <c r="N124" s="24">
        <v>2.423</v>
      </c>
    </row>
    <row r="125" spans="2:14" x14ac:dyDescent="0.25">
      <c r="B125" s="22">
        <v>336</v>
      </c>
      <c r="C125" s="22" t="s">
        <v>50</v>
      </c>
      <c r="D125" s="22"/>
      <c r="E125" s="22">
        <v>1</v>
      </c>
      <c r="F125" s="22">
        <v>0.2369</v>
      </c>
      <c r="G125" s="24">
        <v>2.7379999999999999E-6</v>
      </c>
      <c r="H125" s="24">
        <v>4.7049999999999998E-6</v>
      </c>
      <c r="I125" s="24">
        <v>7.4610000000000002E-6</v>
      </c>
      <c r="J125" s="24">
        <v>7.5809999999999999E-6</v>
      </c>
      <c r="K125" s="24">
        <v>1.331</v>
      </c>
      <c r="L125" s="24">
        <v>1.331</v>
      </c>
      <c r="M125" s="24">
        <v>7.349E-2</v>
      </c>
      <c r="N125" s="24">
        <v>2.431</v>
      </c>
    </row>
    <row r="126" spans="2:14" x14ac:dyDescent="0.25">
      <c r="B126" s="22">
        <v>340</v>
      </c>
      <c r="C126" s="22" t="s">
        <v>50</v>
      </c>
      <c r="D126" s="22"/>
      <c r="E126" s="22">
        <v>1</v>
      </c>
      <c r="F126" s="22">
        <v>0.2293</v>
      </c>
      <c r="G126" s="24">
        <v>3.4009999999999997E-6</v>
      </c>
      <c r="H126" s="24">
        <v>6.0709999999999991E-6</v>
      </c>
      <c r="I126" s="24">
        <v>9.1910000000000006E-6</v>
      </c>
      <c r="J126" s="24">
        <v>1.0359999999999999E-5</v>
      </c>
      <c r="K126" s="24">
        <v>1.3120000000000001</v>
      </c>
      <c r="L126" s="24">
        <v>1.3120000000000001</v>
      </c>
      <c r="M126" s="24">
        <v>7.4740000000000001E-2</v>
      </c>
      <c r="N126" s="24">
        <v>2.4020000000000001</v>
      </c>
    </row>
  </sheetData>
  <sheetProtection algorithmName="SHA-512" hashValue="QqoR99FDieHeeUnxO3i3mQwszflhzQKluCpHTXNBGOzdrfV5H4xXbHh5Jw4tBuFkDxkrT3xmTszsmVcfEF68yw==" saltValue="6bqWKO0b9rmvZ/mUaDpkeQ==" spinCount="100000" sheet="1" objects="1" scenarios="1" sort="0" autoFilter="0"/>
  <autoFilter ref="A10:N126" xr:uid="{1A26D117-A02D-420B-A942-94F5DDD0F34E}"/>
  <mergeCells count="13">
    <mergeCell ref="A1:F1"/>
    <mergeCell ref="K1:L1"/>
    <mergeCell ref="M1:N1"/>
    <mergeCell ref="A2:B2"/>
    <mergeCell ref="C2:D2"/>
    <mergeCell ref="E2:F2"/>
    <mergeCell ref="H2:N2"/>
    <mergeCell ref="A3:B3"/>
    <mergeCell ref="C3:D3"/>
    <mergeCell ref="E3:F3"/>
    <mergeCell ref="H3:N3"/>
    <mergeCell ref="A4:G4"/>
    <mergeCell ref="H4:N4"/>
  </mergeCells>
  <conditionalFormatting sqref="A11:A61">
    <cfRule type="duplicateValues" dxfId="33" priority="10"/>
  </conditionalFormatting>
  <conditionalFormatting sqref="A3:G3">
    <cfRule type="cellIs" dxfId="32" priority="1" operator="equal">
      <formula>0</formula>
    </cfRule>
  </conditionalFormatting>
  <conditionalFormatting sqref="B10">
    <cfRule type="cellIs" dxfId="31" priority="9" operator="equal">
      <formula>"All Pass"</formula>
    </cfRule>
  </conditionalFormatting>
  <conditionalFormatting sqref="B11:B61">
    <cfRule type="duplicateValues" dxfId="30" priority="11"/>
  </conditionalFormatting>
  <conditionalFormatting sqref="C11:C1538">
    <cfRule type="containsBlanks" dxfId="29" priority="5">
      <formula>LEN(TRIM(C11))=0</formula>
    </cfRule>
    <cfRule type="cellIs" dxfId="28" priority="6" operator="equal">
      <formula>"ALL PASS"</formula>
    </cfRule>
    <cfRule type="cellIs" dxfId="27" priority="7" stopIfTrue="1" operator="equal">
      <formula>"ND"</formula>
    </cfRule>
    <cfRule type="cellIs" dxfId="26" priority="8" operator="notEqual">
      <formula>"ALL PASS"</formula>
    </cfRule>
  </conditionalFormatting>
  <conditionalFormatting sqref="E11:E1538">
    <cfRule type="cellIs" dxfId="25" priority="2" stopIfTrue="1" operator="equal">
      <formula>99</formula>
    </cfRule>
    <cfRule type="cellIs" dxfId="24" priority="3" operator="between">
      <formula>2</formula>
      <formula>98</formula>
    </cfRule>
    <cfRule type="cellIs" dxfId="23" priority="4" operator="equal">
      <formula>1</formula>
    </cfRule>
  </conditionalFormatting>
  <hyperlinks>
    <hyperlink ref="H1" location="INDEX!A1" display="RETURN TO INDEX" xr:uid="{6191442B-D8F7-46BC-97A1-A95C7E082F98}"/>
    <hyperlink ref="H1:I1" location="INDEX!A1" display="RETURN TO INDEX" xr:uid="{8CE104FC-56FA-4289-A201-D93501E06AA2}"/>
    <hyperlink ref="M1" location="'SCREENING STATUS'!A1" display="SCREENING STATUS" xr:uid="{1163E038-2FB5-4E01-A5FA-7766B9AAD759}"/>
    <hyperlink ref="J1" location="SUMMARY!A1" display="SUMMARY" xr:uid="{1A042196-5477-4012-B331-3648CAFE3144}"/>
    <hyperlink ref="K1" location="'SCREENING STATUS'!A1" display="SCREENING STATUS" xr:uid="{9B1E43E2-97A9-470D-A4B7-6185EE176BB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78F7-86A9-440F-B60C-5988821EF5FE}">
  <sheetPr>
    <tabColor theme="4" tint="-0.249977111117893"/>
  </sheetPr>
  <dimension ref="A1:G129"/>
  <sheetViews>
    <sheetView zoomScale="95" zoomScaleNormal="95" workbookViewId="0">
      <pane xSplit="3" ySplit="13" topLeftCell="D14" activePane="bottomRight" state="frozen"/>
      <selection activeCell="D250" sqref="D250"/>
      <selection pane="topRight" activeCell="D250" sqref="D250"/>
      <selection pane="bottomLeft" activeCell="D250" sqref="D250"/>
      <selection pane="bottomRight" activeCell="D14" sqref="D14"/>
    </sheetView>
  </sheetViews>
  <sheetFormatPr defaultColWidth="0" defaultRowHeight="15" customHeight="1" zeroHeight="1" x14ac:dyDescent="0.25"/>
  <cols>
    <col min="1" max="1" width="18.85546875" customWidth="1"/>
    <col min="2" max="2" width="12.28515625" style="21" customWidth="1"/>
    <col min="3" max="3" width="13.5703125" style="21" customWidth="1"/>
    <col min="4" max="4" width="5.5703125" style="21" customWidth="1"/>
    <col min="5" max="5" width="3.85546875" style="21" customWidth="1"/>
    <col min="6" max="7" width="18.85546875" customWidth="1"/>
  </cols>
  <sheetData>
    <row r="1" spans="1:7" ht="24" x14ac:dyDescent="0.25">
      <c r="A1" s="81" t="s">
        <v>53</v>
      </c>
      <c r="B1" s="81"/>
      <c r="C1" s="81"/>
      <c r="D1" s="87" t="s">
        <v>1</v>
      </c>
      <c r="E1" s="87"/>
      <c r="F1" s="87"/>
      <c r="G1" s="87"/>
    </row>
    <row r="2" spans="1:7" ht="15.75" x14ac:dyDescent="0.25">
      <c r="A2" s="76" t="s">
        <v>100</v>
      </c>
      <c r="B2" s="76"/>
      <c r="C2" s="76" t="s">
        <v>101</v>
      </c>
      <c r="D2" s="76"/>
      <c r="E2" s="76" t="s">
        <v>102</v>
      </c>
      <c r="F2" s="76"/>
      <c r="G2" s="6" t="s">
        <v>103</v>
      </c>
    </row>
    <row r="3" spans="1:7" ht="23.25" customHeight="1" x14ac:dyDescent="0.25">
      <c r="A3" s="88" t="s">
        <v>104</v>
      </c>
      <c r="B3" s="88"/>
      <c r="C3" s="88" t="s">
        <v>104</v>
      </c>
      <c r="D3" s="88"/>
      <c r="E3" s="88"/>
      <c r="F3" s="88"/>
      <c r="G3" s="38">
        <v>2347</v>
      </c>
    </row>
    <row r="4" spans="1:7" ht="24" x14ac:dyDescent="0.25">
      <c r="A4" s="83" t="s">
        <v>69</v>
      </c>
      <c r="B4" s="84"/>
      <c r="C4" s="84"/>
      <c r="D4" s="84"/>
      <c r="E4" s="84"/>
      <c r="F4" s="84"/>
      <c r="G4" s="84"/>
    </row>
    <row r="5" spans="1:7" ht="24" x14ac:dyDescent="0.25">
      <c r="A5" s="77" t="s">
        <v>70</v>
      </c>
      <c r="B5" s="78"/>
      <c r="C5" s="78"/>
      <c r="D5" s="78"/>
      <c r="E5" s="78"/>
      <c r="F5" s="78"/>
      <c r="G5" s="78"/>
    </row>
    <row r="6" spans="1:7" ht="24" x14ac:dyDescent="0.25">
      <c r="A6" s="77" t="s">
        <v>8</v>
      </c>
      <c r="B6" s="78"/>
      <c r="C6" s="78"/>
      <c r="D6" s="78"/>
      <c r="E6" s="78"/>
      <c r="F6" s="78"/>
      <c r="G6" s="78"/>
    </row>
    <row r="7" spans="1:7" ht="24" x14ac:dyDescent="0.4">
      <c r="A7" s="85" t="str">
        <f>IF($B$8=$B$9,"PASS","FAIL")</f>
        <v>PASS</v>
      </c>
      <c r="B7" s="86"/>
      <c r="C7" s="86"/>
      <c r="D7" s="86"/>
      <c r="E7" s="86"/>
      <c r="F7" s="86"/>
      <c r="G7" s="86"/>
    </row>
    <row r="8" spans="1:7" x14ac:dyDescent="0.25">
      <c r="A8" s="7" t="s">
        <v>9</v>
      </c>
      <c r="B8" s="8">
        <f>COUNTA(C$14:C$2000)-COUNTIF(C14:C$2000,"ND")</f>
        <v>116</v>
      </c>
      <c r="C8" s="9"/>
      <c r="D8" s="10"/>
      <c r="E8" s="10"/>
      <c r="F8" s="11"/>
      <c r="G8" s="11"/>
    </row>
    <row r="9" spans="1:7" x14ac:dyDescent="0.25">
      <c r="A9" s="13" t="s">
        <v>10</v>
      </c>
      <c r="B9" s="14">
        <f>COUNTIF(C14:C$2000,"All Pass")</f>
        <v>116</v>
      </c>
      <c r="C9" s="15"/>
      <c r="D9" s="15"/>
      <c r="E9" s="15"/>
      <c r="F9" s="16" t="s">
        <v>11</v>
      </c>
      <c r="G9" s="16" t="s">
        <v>71</v>
      </c>
    </row>
    <row r="10" spans="1:7" x14ac:dyDescent="0.25">
      <c r="A10" s="13" t="s">
        <v>22</v>
      </c>
      <c r="B10" s="14">
        <f>COUNTIF(C14:C$2000,"ND")</f>
        <v>0</v>
      </c>
      <c r="C10" s="15"/>
      <c r="D10" s="15"/>
      <c r="E10" s="15"/>
      <c r="F10" s="16" t="s">
        <v>23</v>
      </c>
      <c r="G10" s="16" t="s">
        <v>72</v>
      </c>
    </row>
    <row r="11" spans="1:7" x14ac:dyDescent="0.25">
      <c r="A11" s="13" t="s">
        <v>31</v>
      </c>
      <c r="B11" s="14">
        <f>B8-B9</f>
        <v>0</v>
      </c>
      <c r="C11" s="15"/>
      <c r="D11" s="15"/>
      <c r="E11" s="15"/>
      <c r="F11" s="16" t="s">
        <v>32</v>
      </c>
      <c r="G11" s="16" t="s">
        <v>37</v>
      </c>
    </row>
    <row r="12" spans="1:7" x14ac:dyDescent="0.25">
      <c r="A12" s="15" t="s">
        <v>43</v>
      </c>
      <c r="B12" s="15" t="s">
        <v>44</v>
      </c>
      <c r="C12" s="15" t="s">
        <v>45</v>
      </c>
      <c r="D12" s="15" t="s">
        <v>46</v>
      </c>
      <c r="E12" s="15" t="s">
        <v>47</v>
      </c>
      <c r="F12" s="16" t="s">
        <v>48</v>
      </c>
      <c r="G12" s="16"/>
    </row>
    <row r="13" spans="1:7" x14ac:dyDescent="0.25">
      <c r="A13" s="29"/>
      <c r="B13" s="30"/>
      <c r="C13" s="31"/>
      <c r="D13" s="31"/>
      <c r="E13" s="32"/>
      <c r="F13" s="33"/>
      <c r="G13" s="34"/>
    </row>
    <row r="14" spans="1:7" x14ac:dyDescent="0.25">
      <c r="B14" s="22">
        <v>4</v>
      </c>
      <c r="C14" s="22" t="s">
        <v>50</v>
      </c>
      <c r="D14" s="22"/>
      <c r="E14" s="22">
        <v>1</v>
      </c>
      <c r="F14" s="22">
        <v>9.6939999999999998E-2</v>
      </c>
      <c r="G14" s="24">
        <v>1.609</v>
      </c>
    </row>
    <row r="15" spans="1:7" x14ac:dyDescent="0.25">
      <c r="B15" s="22">
        <v>5</v>
      </c>
      <c r="C15" s="22" t="s">
        <v>50</v>
      </c>
      <c r="D15" s="22"/>
      <c r="E15" s="22">
        <v>1</v>
      </c>
      <c r="F15" s="22">
        <v>9.7310000000000008E-2</v>
      </c>
      <c r="G15" s="24">
        <v>1.518</v>
      </c>
    </row>
    <row r="16" spans="1:7" x14ac:dyDescent="0.25">
      <c r="B16" s="22">
        <v>8</v>
      </c>
      <c r="C16" s="22" t="s">
        <v>50</v>
      </c>
      <c r="D16" s="22"/>
      <c r="E16" s="22">
        <v>1</v>
      </c>
      <c r="F16" s="22">
        <v>0.4945</v>
      </c>
      <c r="G16" s="24">
        <v>1.5069999999999999</v>
      </c>
    </row>
    <row r="17" spans="2:7" x14ac:dyDescent="0.25">
      <c r="B17" s="22">
        <v>10</v>
      </c>
      <c r="C17" s="22" t="s">
        <v>50</v>
      </c>
      <c r="D17" s="22"/>
      <c r="E17" s="22">
        <v>1</v>
      </c>
      <c r="F17" s="22">
        <v>9.895000000000001E-2</v>
      </c>
      <c r="G17" s="24">
        <v>1.855</v>
      </c>
    </row>
    <row r="18" spans="2:7" x14ac:dyDescent="0.25">
      <c r="B18" s="22">
        <v>22</v>
      </c>
      <c r="C18" s="22" t="s">
        <v>50</v>
      </c>
      <c r="D18" s="22"/>
      <c r="E18" s="22">
        <v>1</v>
      </c>
      <c r="F18" s="22">
        <v>0.48730000000000001</v>
      </c>
      <c r="G18" s="24">
        <v>1.6819999999999999</v>
      </c>
    </row>
    <row r="19" spans="2:7" x14ac:dyDescent="0.25">
      <c r="B19" s="22">
        <v>25</v>
      </c>
      <c r="C19" s="22" t="s">
        <v>50</v>
      </c>
      <c r="D19" s="22"/>
      <c r="E19" s="22">
        <v>1</v>
      </c>
      <c r="F19" s="22">
        <v>0.45430000000000004</v>
      </c>
      <c r="G19" s="24">
        <v>1.5149999999999999</v>
      </c>
    </row>
    <row r="20" spans="2:7" x14ac:dyDescent="0.25">
      <c r="B20" s="22">
        <v>40</v>
      </c>
      <c r="C20" s="22" t="s">
        <v>50</v>
      </c>
      <c r="D20" s="22"/>
      <c r="E20" s="22">
        <v>1</v>
      </c>
      <c r="F20" s="22">
        <v>9.6670000000000006E-2</v>
      </c>
      <c r="G20" s="24">
        <v>1.653</v>
      </c>
    </row>
    <row r="21" spans="2:7" x14ac:dyDescent="0.25">
      <c r="B21" s="22">
        <v>41</v>
      </c>
      <c r="C21" s="22" t="s">
        <v>50</v>
      </c>
      <c r="D21" s="22"/>
      <c r="E21" s="22">
        <v>1</v>
      </c>
      <c r="F21" s="22">
        <v>0.4824</v>
      </c>
      <c r="G21" s="24">
        <v>1.585</v>
      </c>
    </row>
    <row r="22" spans="2:7" x14ac:dyDescent="0.25">
      <c r="B22" s="22">
        <v>52</v>
      </c>
      <c r="C22" s="22" t="s">
        <v>50</v>
      </c>
      <c r="D22" s="22"/>
      <c r="E22" s="22">
        <v>1</v>
      </c>
      <c r="F22" s="22">
        <v>0.47800000000000004</v>
      </c>
      <c r="G22" s="24">
        <v>1.512</v>
      </c>
    </row>
    <row r="23" spans="2:7" x14ac:dyDescent="0.25">
      <c r="B23" s="22">
        <v>58</v>
      </c>
      <c r="C23" s="22" t="s">
        <v>50</v>
      </c>
      <c r="D23" s="22"/>
      <c r="E23" s="22">
        <v>1</v>
      </c>
      <c r="F23" s="22">
        <v>0.43080000000000002</v>
      </c>
      <c r="G23" s="24">
        <v>1.6140000000000001</v>
      </c>
    </row>
    <row r="24" spans="2:7" x14ac:dyDescent="0.25">
      <c r="B24" s="22">
        <v>60</v>
      </c>
      <c r="C24" s="22" t="s">
        <v>50</v>
      </c>
      <c r="D24" s="22"/>
      <c r="E24" s="22">
        <v>1</v>
      </c>
      <c r="F24" s="22">
        <v>0.442</v>
      </c>
      <c r="G24" s="24">
        <v>1.542</v>
      </c>
    </row>
    <row r="25" spans="2:7" x14ac:dyDescent="0.25">
      <c r="B25" s="22">
        <v>61</v>
      </c>
      <c r="C25" s="22" t="s">
        <v>50</v>
      </c>
      <c r="D25" s="22"/>
      <c r="E25" s="22">
        <v>1</v>
      </c>
      <c r="F25" s="22">
        <v>9.6879999999999994E-2</v>
      </c>
      <c r="G25" s="24">
        <v>1.5549999999999999</v>
      </c>
    </row>
    <row r="26" spans="2:7" x14ac:dyDescent="0.25">
      <c r="B26" s="22">
        <v>64</v>
      </c>
      <c r="C26" s="22" t="s">
        <v>50</v>
      </c>
      <c r="D26" s="22"/>
      <c r="E26" s="22">
        <v>1</v>
      </c>
      <c r="F26" s="22">
        <v>9.9920000000000009E-2</v>
      </c>
      <c r="G26" s="24">
        <v>1.5940000000000001</v>
      </c>
    </row>
    <row r="27" spans="2:7" x14ac:dyDescent="0.25">
      <c r="B27" s="22">
        <v>65</v>
      </c>
      <c r="C27" s="22" t="s">
        <v>50</v>
      </c>
      <c r="D27" s="22"/>
      <c r="E27" s="22">
        <v>1</v>
      </c>
      <c r="F27" s="22">
        <v>9.7540000000000002E-2</v>
      </c>
      <c r="G27" s="24">
        <v>1.488</v>
      </c>
    </row>
    <row r="28" spans="2:7" x14ac:dyDescent="0.25">
      <c r="B28" s="22">
        <v>69</v>
      </c>
      <c r="C28" s="22" t="s">
        <v>50</v>
      </c>
      <c r="D28" s="22"/>
      <c r="E28" s="22">
        <v>1</v>
      </c>
      <c r="F28" s="22">
        <v>9.673000000000001E-2</v>
      </c>
      <c r="G28" s="24">
        <v>1.663</v>
      </c>
    </row>
    <row r="29" spans="2:7" x14ac:dyDescent="0.25">
      <c r="B29" s="22">
        <v>78</v>
      </c>
      <c r="C29" s="22" t="s">
        <v>50</v>
      </c>
      <c r="D29" s="22"/>
      <c r="E29" s="22">
        <v>1</v>
      </c>
      <c r="F29" s="22">
        <v>9.9760000000000001E-2</v>
      </c>
      <c r="G29" s="24">
        <v>1.581</v>
      </c>
    </row>
    <row r="30" spans="2:7" x14ac:dyDescent="0.25">
      <c r="B30" s="22">
        <v>79</v>
      </c>
      <c r="C30" s="22" t="s">
        <v>50</v>
      </c>
      <c r="D30" s="22"/>
      <c r="E30" s="22">
        <v>1</v>
      </c>
      <c r="F30" s="22">
        <v>9.9690000000000001E-2</v>
      </c>
      <c r="G30" s="24">
        <v>1.8879999999999999</v>
      </c>
    </row>
    <row r="31" spans="2:7" x14ac:dyDescent="0.25">
      <c r="B31" s="22">
        <v>80</v>
      </c>
      <c r="C31" s="22" t="s">
        <v>50</v>
      </c>
      <c r="D31" s="22"/>
      <c r="E31" s="22">
        <v>1</v>
      </c>
      <c r="F31" s="22">
        <v>0.52390000000000003</v>
      </c>
      <c r="G31" s="24">
        <v>1.583</v>
      </c>
    </row>
    <row r="32" spans="2:7" x14ac:dyDescent="0.25">
      <c r="B32" s="22">
        <v>83</v>
      </c>
      <c r="C32" s="22" t="s">
        <v>50</v>
      </c>
      <c r="D32" s="22"/>
      <c r="E32" s="22">
        <v>1</v>
      </c>
      <c r="F32" s="22">
        <v>0.49490000000000001</v>
      </c>
      <c r="G32" s="24">
        <v>1.6519999999999999</v>
      </c>
    </row>
    <row r="33" spans="2:7" x14ac:dyDescent="0.25">
      <c r="B33" s="22">
        <v>85</v>
      </c>
      <c r="C33" s="22" t="s">
        <v>50</v>
      </c>
      <c r="D33" s="22"/>
      <c r="E33" s="22">
        <v>1</v>
      </c>
      <c r="F33" s="22">
        <v>9.6920000000000006E-2</v>
      </c>
      <c r="G33" s="24">
        <v>1.4810000000000001</v>
      </c>
    </row>
    <row r="34" spans="2:7" x14ac:dyDescent="0.25">
      <c r="B34" s="22">
        <v>86</v>
      </c>
      <c r="C34" s="22" t="s">
        <v>50</v>
      </c>
      <c r="D34" s="22"/>
      <c r="E34" s="22">
        <v>1</v>
      </c>
      <c r="F34" s="22">
        <v>9.7129999999999994E-2</v>
      </c>
      <c r="G34" s="24">
        <v>1.58</v>
      </c>
    </row>
    <row r="35" spans="2:7" x14ac:dyDescent="0.25">
      <c r="B35" s="22">
        <v>88</v>
      </c>
      <c r="C35" s="22" t="s">
        <v>50</v>
      </c>
      <c r="D35" s="22"/>
      <c r="E35" s="22">
        <v>1</v>
      </c>
      <c r="F35" s="22">
        <v>9.8400000000000001E-2</v>
      </c>
      <c r="G35" s="24">
        <v>1.4990000000000001</v>
      </c>
    </row>
    <row r="36" spans="2:7" x14ac:dyDescent="0.25">
      <c r="B36" s="22">
        <v>89</v>
      </c>
      <c r="C36" s="22" t="s">
        <v>50</v>
      </c>
      <c r="D36" s="22"/>
      <c r="E36" s="22">
        <v>1</v>
      </c>
      <c r="F36" s="22">
        <v>0.51370000000000005</v>
      </c>
      <c r="G36" s="24">
        <v>1.542</v>
      </c>
    </row>
    <row r="37" spans="2:7" x14ac:dyDescent="0.25">
      <c r="B37" s="22">
        <v>91</v>
      </c>
      <c r="C37" s="22" t="s">
        <v>50</v>
      </c>
      <c r="D37" s="22"/>
      <c r="E37" s="22">
        <v>1</v>
      </c>
      <c r="F37" s="22">
        <v>9.7489999999999993E-2</v>
      </c>
      <c r="G37" s="24">
        <v>1.655</v>
      </c>
    </row>
    <row r="38" spans="2:7" x14ac:dyDescent="0.25">
      <c r="B38" s="22">
        <v>96</v>
      </c>
      <c r="C38" s="22" t="s">
        <v>50</v>
      </c>
      <c r="D38" s="22"/>
      <c r="E38" s="22">
        <v>1</v>
      </c>
      <c r="F38" s="22">
        <v>9.8730000000000012E-2</v>
      </c>
      <c r="G38" s="24">
        <v>1.484</v>
      </c>
    </row>
    <row r="39" spans="2:7" x14ac:dyDescent="0.25">
      <c r="B39" s="22">
        <v>97</v>
      </c>
      <c r="C39" s="22" t="s">
        <v>50</v>
      </c>
      <c r="D39" s="22"/>
      <c r="E39" s="22">
        <v>1</v>
      </c>
      <c r="F39" s="22">
        <v>0.46110000000000001</v>
      </c>
      <c r="G39" s="24">
        <v>1.627</v>
      </c>
    </row>
    <row r="40" spans="2:7" x14ac:dyDescent="0.25">
      <c r="B40" s="22">
        <v>99</v>
      </c>
      <c r="C40" s="22" t="s">
        <v>50</v>
      </c>
      <c r="D40" s="22"/>
      <c r="E40" s="22">
        <v>1</v>
      </c>
      <c r="F40" s="22">
        <v>9.6939999999999998E-2</v>
      </c>
      <c r="G40" s="24">
        <v>1.5169999999999999</v>
      </c>
    </row>
    <row r="41" spans="2:7" x14ac:dyDescent="0.25">
      <c r="B41" s="22">
        <v>102</v>
      </c>
      <c r="C41" s="22" t="s">
        <v>50</v>
      </c>
      <c r="D41" s="22"/>
      <c r="E41" s="22">
        <v>1</v>
      </c>
      <c r="F41" s="22">
        <v>0.47489999999999999</v>
      </c>
      <c r="G41" s="24">
        <v>1.5449999999999999</v>
      </c>
    </row>
    <row r="42" spans="2:7" x14ac:dyDescent="0.25">
      <c r="B42" s="22">
        <v>103</v>
      </c>
      <c r="C42" s="22" t="s">
        <v>50</v>
      </c>
      <c r="D42" s="22"/>
      <c r="E42" s="22">
        <v>1</v>
      </c>
      <c r="F42" s="22">
        <v>0.48089999999999999</v>
      </c>
      <c r="G42" s="24">
        <v>1.5049999999999999</v>
      </c>
    </row>
    <row r="43" spans="2:7" x14ac:dyDescent="0.25">
      <c r="B43" s="22">
        <v>104</v>
      </c>
      <c r="C43" s="22" t="s">
        <v>50</v>
      </c>
      <c r="D43" s="22"/>
      <c r="E43" s="22">
        <v>1</v>
      </c>
      <c r="F43" s="22">
        <v>9.9019999999999997E-2</v>
      </c>
      <c r="G43" s="24">
        <v>1.5409999999999999</v>
      </c>
    </row>
    <row r="44" spans="2:7" x14ac:dyDescent="0.25">
      <c r="B44" s="22">
        <v>105</v>
      </c>
      <c r="C44" s="22" t="s">
        <v>50</v>
      </c>
      <c r="D44" s="22"/>
      <c r="E44" s="22">
        <v>1</v>
      </c>
      <c r="F44" s="22">
        <v>0.48760000000000003</v>
      </c>
      <c r="G44" s="24">
        <v>1.6679999999999999</v>
      </c>
    </row>
    <row r="45" spans="2:7" x14ac:dyDescent="0.25">
      <c r="B45" s="22">
        <v>106</v>
      </c>
      <c r="C45" s="22" t="s">
        <v>50</v>
      </c>
      <c r="D45" s="22"/>
      <c r="E45" s="22">
        <v>1</v>
      </c>
      <c r="F45" s="22">
        <v>0.49490000000000001</v>
      </c>
      <c r="G45" s="24">
        <v>1.587</v>
      </c>
    </row>
    <row r="46" spans="2:7" x14ac:dyDescent="0.25">
      <c r="B46" s="22">
        <v>108</v>
      </c>
      <c r="C46" s="22" t="s">
        <v>50</v>
      </c>
      <c r="D46" s="22"/>
      <c r="E46" s="22">
        <v>1</v>
      </c>
      <c r="F46" s="22">
        <v>0.48080000000000001</v>
      </c>
      <c r="G46" s="24">
        <v>1.516</v>
      </c>
    </row>
    <row r="47" spans="2:7" x14ac:dyDescent="0.25">
      <c r="B47" s="22">
        <v>109</v>
      </c>
      <c r="C47" s="22" t="s">
        <v>50</v>
      </c>
      <c r="D47" s="22"/>
      <c r="E47" s="22">
        <v>1</v>
      </c>
      <c r="F47" s="22">
        <v>0.4743</v>
      </c>
      <c r="G47" s="24">
        <v>1.641</v>
      </c>
    </row>
    <row r="48" spans="2:7" x14ac:dyDescent="0.25">
      <c r="B48" s="22">
        <v>113</v>
      </c>
      <c r="C48" s="22" t="s">
        <v>50</v>
      </c>
      <c r="D48" s="22"/>
      <c r="E48" s="22">
        <v>1</v>
      </c>
      <c r="F48" s="22">
        <v>0.4788</v>
      </c>
      <c r="G48" s="24">
        <v>1.5189999999999999</v>
      </c>
    </row>
    <row r="49" spans="2:7" x14ac:dyDescent="0.25">
      <c r="B49" s="22">
        <v>115</v>
      </c>
      <c r="C49" s="22" t="s">
        <v>50</v>
      </c>
      <c r="D49" s="22"/>
      <c r="E49" s="22">
        <v>1</v>
      </c>
      <c r="F49" s="22">
        <v>0.44160000000000005</v>
      </c>
      <c r="G49" s="24">
        <v>1.696</v>
      </c>
    </row>
    <row r="50" spans="2:7" x14ac:dyDescent="0.25">
      <c r="B50" s="22">
        <v>116</v>
      </c>
      <c r="C50" s="22" t="s">
        <v>50</v>
      </c>
      <c r="D50" s="22"/>
      <c r="E50" s="22">
        <v>1</v>
      </c>
      <c r="F50" s="22">
        <v>9.7640000000000005E-2</v>
      </c>
      <c r="G50" s="24">
        <v>1.5740000000000001</v>
      </c>
    </row>
    <row r="51" spans="2:7" x14ac:dyDescent="0.25">
      <c r="B51" s="22">
        <v>119</v>
      </c>
      <c r="C51" s="22" t="s">
        <v>50</v>
      </c>
      <c r="D51" s="22"/>
      <c r="E51" s="22">
        <v>1</v>
      </c>
      <c r="F51" s="22">
        <v>0.46380000000000005</v>
      </c>
      <c r="G51" s="24">
        <v>1.6120000000000001</v>
      </c>
    </row>
    <row r="52" spans="2:7" x14ac:dyDescent="0.25">
      <c r="B52" s="22">
        <v>121</v>
      </c>
      <c r="C52" s="22" t="s">
        <v>50</v>
      </c>
      <c r="D52" s="22"/>
      <c r="E52" s="22">
        <v>1</v>
      </c>
      <c r="F52" s="22">
        <v>0.46550000000000002</v>
      </c>
      <c r="G52" s="24">
        <v>1.5169999999999999</v>
      </c>
    </row>
    <row r="53" spans="2:7" x14ac:dyDescent="0.25">
      <c r="B53" s="22">
        <v>123</v>
      </c>
      <c r="C53" s="22" t="s">
        <v>50</v>
      </c>
      <c r="D53" s="22"/>
      <c r="E53" s="22">
        <v>1</v>
      </c>
      <c r="F53" s="22">
        <v>9.8360000000000003E-2</v>
      </c>
      <c r="G53" s="24">
        <v>1.7310000000000001</v>
      </c>
    </row>
    <row r="54" spans="2:7" x14ac:dyDescent="0.25">
      <c r="B54" s="22">
        <v>124</v>
      </c>
      <c r="C54" s="22" t="s">
        <v>50</v>
      </c>
      <c r="D54" s="22"/>
      <c r="E54" s="22">
        <v>1</v>
      </c>
      <c r="F54" s="22">
        <v>0.4718</v>
      </c>
      <c r="G54" s="24">
        <v>1.5549999999999999</v>
      </c>
    </row>
    <row r="55" spans="2:7" x14ac:dyDescent="0.25">
      <c r="B55" s="22">
        <v>125</v>
      </c>
      <c r="C55" s="22" t="s">
        <v>50</v>
      </c>
      <c r="D55" s="22"/>
      <c r="E55" s="22">
        <v>1</v>
      </c>
      <c r="F55" s="22">
        <v>9.8120000000000013E-2</v>
      </c>
      <c r="G55" s="24">
        <v>1.579</v>
      </c>
    </row>
    <row r="56" spans="2:7" x14ac:dyDescent="0.25">
      <c r="B56" s="22">
        <v>128</v>
      </c>
      <c r="C56" s="22" t="s">
        <v>50</v>
      </c>
      <c r="D56" s="22"/>
      <c r="E56" s="22">
        <v>1</v>
      </c>
      <c r="F56" s="22">
        <v>0.46680000000000005</v>
      </c>
      <c r="G56" s="24">
        <v>1.508</v>
      </c>
    </row>
    <row r="57" spans="2:7" x14ac:dyDescent="0.25">
      <c r="B57" s="22">
        <v>130</v>
      </c>
      <c r="C57" s="22" t="s">
        <v>50</v>
      </c>
      <c r="D57" s="22"/>
      <c r="E57" s="22">
        <v>1</v>
      </c>
      <c r="F57" s="22">
        <v>0.47339999999999999</v>
      </c>
      <c r="G57" s="24">
        <v>1.5189999999999999</v>
      </c>
    </row>
    <row r="58" spans="2:7" x14ac:dyDescent="0.25">
      <c r="B58" s="22">
        <v>131</v>
      </c>
      <c r="C58" s="22" t="s">
        <v>50</v>
      </c>
      <c r="D58" s="22"/>
      <c r="E58" s="22">
        <v>1</v>
      </c>
      <c r="F58" s="22">
        <v>0.4582</v>
      </c>
      <c r="G58" s="24">
        <v>1.5489999999999999</v>
      </c>
    </row>
    <row r="59" spans="2:7" x14ac:dyDescent="0.25">
      <c r="B59" s="22">
        <v>132</v>
      </c>
      <c r="C59" s="22" t="s">
        <v>50</v>
      </c>
      <c r="D59" s="22"/>
      <c r="E59" s="22">
        <v>1</v>
      </c>
      <c r="F59" s="22">
        <v>0.47610000000000002</v>
      </c>
      <c r="G59" s="24">
        <v>1.583</v>
      </c>
    </row>
    <row r="60" spans="2:7" x14ac:dyDescent="0.25">
      <c r="B60" s="22">
        <v>136</v>
      </c>
      <c r="C60" s="22" t="s">
        <v>50</v>
      </c>
      <c r="D60" s="22"/>
      <c r="E60" s="22">
        <v>1</v>
      </c>
      <c r="F60" s="22">
        <v>0.50729999999999997</v>
      </c>
      <c r="G60" s="24">
        <v>1.5149999999999999</v>
      </c>
    </row>
    <row r="61" spans="2:7" x14ac:dyDescent="0.25">
      <c r="B61" s="22">
        <v>137</v>
      </c>
      <c r="C61" s="22" t="s">
        <v>50</v>
      </c>
      <c r="D61" s="22"/>
      <c r="E61" s="22">
        <v>1</v>
      </c>
      <c r="F61" s="22">
        <v>0.50109999999999999</v>
      </c>
      <c r="G61" s="24">
        <v>1.569</v>
      </c>
    </row>
    <row r="62" spans="2:7" x14ac:dyDescent="0.25">
      <c r="B62" s="22">
        <v>138</v>
      </c>
      <c r="C62" s="22" t="s">
        <v>50</v>
      </c>
      <c r="D62" s="22"/>
      <c r="E62" s="22">
        <v>1</v>
      </c>
      <c r="F62" s="22">
        <v>9.8030000000000006E-2</v>
      </c>
      <c r="G62" s="24">
        <v>1.8089999999999999</v>
      </c>
    </row>
    <row r="63" spans="2:7" x14ac:dyDescent="0.25">
      <c r="B63" s="22">
        <v>142</v>
      </c>
      <c r="C63" s="22" t="s">
        <v>50</v>
      </c>
      <c r="D63" s="22"/>
      <c r="E63" s="22">
        <v>1</v>
      </c>
      <c r="F63" s="22">
        <v>9.8799999999999999E-2</v>
      </c>
      <c r="G63" s="24">
        <v>1.516</v>
      </c>
    </row>
    <row r="64" spans="2:7" x14ac:dyDescent="0.25">
      <c r="B64" s="22">
        <v>145</v>
      </c>
      <c r="C64" s="22" t="s">
        <v>50</v>
      </c>
      <c r="D64" s="22"/>
      <c r="E64" s="22">
        <v>1</v>
      </c>
      <c r="F64" s="22">
        <v>9.7610000000000002E-2</v>
      </c>
      <c r="G64" s="24">
        <v>1.504</v>
      </c>
    </row>
    <row r="65" spans="2:7" x14ac:dyDescent="0.25">
      <c r="B65" s="22">
        <v>153</v>
      </c>
      <c r="C65" s="22" t="s">
        <v>50</v>
      </c>
      <c r="D65" s="22"/>
      <c r="E65" s="22">
        <v>1</v>
      </c>
      <c r="F65" s="22">
        <v>0.45439999999999997</v>
      </c>
      <c r="G65" s="24">
        <v>1.6</v>
      </c>
    </row>
    <row r="66" spans="2:7" x14ac:dyDescent="0.25">
      <c r="B66" s="22">
        <v>162</v>
      </c>
      <c r="C66" s="22" t="s">
        <v>50</v>
      </c>
      <c r="D66" s="22"/>
      <c r="E66" s="22">
        <v>1</v>
      </c>
      <c r="F66" s="22">
        <v>0.46089999999999998</v>
      </c>
      <c r="G66" s="24">
        <v>1.5329999999999999</v>
      </c>
    </row>
    <row r="67" spans="2:7" x14ac:dyDescent="0.25">
      <c r="B67" s="22">
        <v>168</v>
      </c>
      <c r="C67" s="22" t="s">
        <v>50</v>
      </c>
      <c r="D67" s="22"/>
      <c r="E67" s="22">
        <v>1</v>
      </c>
      <c r="F67" s="22">
        <v>9.9599999999999994E-2</v>
      </c>
      <c r="G67" s="24">
        <v>1.6020000000000001</v>
      </c>
    </row>
    <row r="68" spans="2:7" x14ac:dyDescent="0.25">
      <c r="B68" s="22">
        <v>169</v>
      </c>
      <c r="C68" s="22" t="s">
        <v>50</v>
      </c>
      <c r="D68" s="22"/>
      <c r="E68" s="22">
        <v>1</v>
      </c>
      <c r="F68" s="22">
        <v>9.9110000000000004E-2</v>
      </c>
      <c r="G68" s="24">
        <v>1.5169999999999999</v>
      </c>
    </row>
    <row r="69" spans="2:7" x14ac:dyDescent="0.25">
      <c r="B69" s="22">
        <v>170</v>
      </c>
      <c r="C69" s="22" t="s">
        <v>50</v>
      </c>
      <c r="D69" s="22"/>
      <c r="E69" s="22">
        <v>1</v>
      </c>
      <c r="F69" s="22">
        <v>9.7060000000000007E-2</v>
      </c>
      <c r="G69" s="24">
        <v>1.613</v>
      </c>
    </row>
    <row r="70" spans="2:7" x14ac:dyDescent="0.25">
      <c r="B70" s="22">
        <v>171</v>
      </c>
      <c r="C70" s="22" t="s">
        <v>50</v>
      </c>
      <c r="D70" s="22"/>
      <c r="E70" s="22">
        <v>1</v>
      </c>
      <c r="F70" s="22">
        <v>9.8230000000000012E-2</v>
      </c>
      <c r="G70" s="24">
        <v>1.6160000000000001</v>
      </c>
    </row>
    <row r="71" spans="2:7" x14ac:dyDescent="0.25">
      <c r="B71" s="22">
        <v>173</v>
      </c>
      <c r="C71" s="22" t="s">
        <v>50</v>
      </c>
      <c r="D71" s="22"/>
      <c r="E71" s="22">
        <v>1</v>
      </c>
      <c r="F71" s="22">
        <v>0.52379999999999993</v>
      </c>
      <c r="G71" s="24">
        <v>1.571</v>
      </c>
    </row>
    <row r="72" spans="2:7" x14ac:dyDescent="0.25">
      <c r="B72" s="22">
        <v>177</v>
      </c>
      <c r="C72" s="22" t="s">
        <v>50</v>
      </c>
      <c r="D72" s="22"/>
      <c r="E72" s="22">
        <v>1</v>
      </c>
      <c r="F72" s="22">
        <v>9.8430000000000004E-2</v>
      </c>
      <c r="G72" s="24">
        <v>1.6240000000000001</v>
      </c>
    </row>
    <row r="73" spans="2:7" x14ac:dyDescent="0.25">
      <c r="B73" s="22">
        <v>178</v>
      </c>
      <c r="C73" s="22" t="s">
        <v>50</v>
      </c>
      <c r="D73" s="22"/>
      <c r="E73" s="22">
        <v>1</v>
      </c>
      <c r="F73" s="22">
        <v>0.43810000000000004</v>
      </c>
      <c r="G73" s="24">
        <v>1.64</v>
      </c>
    </row>
    <row r="74" spans="2:7" x14ac:dyDescent="0.25">
      <c r="B74" s="22">
        <v>180</v>
      </c>
      <c r="C74" s="22" t="s">
        <v>50</v>
      </c>
      <c r="D74" s="22"/>
      <c r="E74" s="22">
        <v>1</v>
      </c>
      <c r="F74" s="22">
        <v>9.9590000000000012E-2</v>
      </c>
      <c r="G74" s="24">
        <v>1.5609999999999999</v>
      </c>
    </row>
    <row r="75" spans="2:7" x14ac:dyDescent="0.25">
      <c r="B75" s="22">
        <v>184</v>
      </c>
      <c r="C75" s="22" t="s">
        <v>50</v>
      </c>
      <c r="D75" s="22"/>
      <c r="E75" s="22">
        <v>1</v>
      </c>
      <c r="F75" s="22">
        <v>9.8349999999999993E-2</v>
      </c>
      <c r="G75" s="24">
        <v>1.6279999999999999</v>
      </c>
    </row>
    <row r="76" spans="2:7" x14ac:dyDescent="0.25">
      <c r="B76" s="22">
        <v>186</v>
      </c>
      <c r="C76" s="22" t="s">
        <v>50</v>
      </c>
      <c r="D76" s="22"/>
      <c r="E76" s="22">
        <v>1</v>
      </c>
      <c r="F76" s="22">
        <v>9.784000000000001E-2</v>
      </c>
      <c r="G76" s="24">
        <v>1.71</v>
      </c>
    </row>
    <row r="77" spans="2:7" x14ac:dyDescent="0.25">
      <c r="B77" s="22">
        <v>187</v>
      </c>
      <c r="C77" s="22" t="s">
        <v>50</v>
      </c>
      <c r="D77" s="22"/>
      <c r="E77" s="22">
        <v>1</v>
      </c>
      <c r="F77" s="22">
        <v>0.45550000000000002</v>
      </c>
      <c r="G77" s="24">
        <v>1.6020000000000001</v>
      </c>
    </row>
    <row r="78" spans="2:7" x14ac:dyDescent="0.25">
      <c r="B78" s="22">
        <v>188</v>
      </c>
      <c r="C78" s="22" t="s">
        <v>50</v>
      </c>
      <c r="D78" s="22"/>
      <c r="E78" s="22">
        <v>1</v>
      </c>
      <c r="F78" s="22">
        <v>9.8900000000000002E-2</v>
      </c>
      <c r="G78" s="24">
        <v>1.575</v>
      </c>
    </row>
    <row r="79" spans="2:7" x14ac:dyDescent="0.25">
      <c r="B79" s="22">
        <v>191</v>
      </c>
      <c r="C79" s="22" t="s">
        <v>50</v>
      </c>
      <c r="D79" s="22"/>
      <c r="E79" s="22">
        <v>1</v>
      </c>
      <c r="F79" s="22">
        <v>9.7170000000000006E-2</v>
      </c>
      <c r="G79" s="24">
        <v>1.504</v>
      </c>
    </row>
    <row r="80" spans="2:7" x14ac:dyDescent="0.25">
      <c r="B80" s="22">
        <v>195</v>
      </c>
      <c r="C80" s="22" t="s">
        <v>50</v>
      </c>
      <c r="D80" s="22"/>
      <c r="E80" s="22">
        <v>1</v>
      </c>
      <c r="F80" s="22">
        <v>0.4793</v>
      </c>
      <c r="G80" s="24">
        <v>1.641</v>
      </c>
    </row>
    <row r="81" spans="2:7" x14ac:dyDescent="0.25">
      <c r="B81" s="22">
        <v>198</v>
      </c>
      <c r="C81" s="22" t="s">
        <v>50</v>
      </c>
      <c r="D81" s="22"/>
      <c r="E81" s="22">
        <v>1</v>
      </c>
      <c r="F81" s="22">
        <v>0.5484</v>
      </c>
      <c r="G81" s="24">
        <v>1.5880000000000001</v>
      </c>
    </row>
    <row r="82" spans="2:7" x14ac:dyDescent="0.25">
      <c r="B82" s="22">
        <v>200</v>
      </c>
      <c r="C82" s="22" t="s">
        <v>50</v>
      </c>
      <c r="D82" s="22"/>
      <c r="E82" s="22">
        <v>1</v>
      </c>
      <c r="F82" s="22">
        <v>0.49460000000000004</v>
      </c>
      <c r="G82" s="24">
        <v>1.512</v>
      </c>
    </row>
    <row r="83" spans="2:7" x14ac:dyDescent="0.25">
      <c r="B83" s="22">
        <v>201</v>
      </c>
      <c r="C83" s="22" t="s">
        <v>50</v>
      </c>
      <c r="D83" s="22"/>
      <c r="E83" s="22">
        <v>1</v>
      </c>
      <c r="F83" s="22">
        <v>9.9640000000000006E-2</v>
      </c>
      <c r="G83" s="24">
        <v>1.53</v>
      </c>
    </row>
    <row r="84" spans="2:7" x14ac:dyDescent="0.25">
      <c r="B84" s="22">
        <v>203</v>
      </c>
      <c r="C84" s="22" t="s">
        <v>50</v>
      </c>
      <c r="D84" s="22"/>
      <c r="E84" s="22">
        <v>1</v>
      </c>
      <c r="F84" s="22">
        <v>9.8409999999999997E-2</v>
      </c>
      <c r="G84" s="24">
        <v>1.607</v>
      </c>
    </row>
    <row r="85" spans="2:7" x14ac:dyDescent="0.25">
      <c r="B85" s="22">
        <v>204</v>
      </c>
      <c r="C85" s="22" t="s">
        <v>50</v>
      </c>
      <c r="D85" s="22"/>
      <c r="E85" s="22">
        <v>1</v>
      </c>
      <c r="F85" s="22">
        <v>0.43669999999999998</v>
      </c>
      <c r="G85" s="24">
        <v>1.8520000000000001</v>
      </c>
    </row>
    <row r="86" spans="2:7" x14ac:dyDescent="0.25">
      <c r="B86" s="22">
        <v>206</v>
      </c>
      <c r="C86" s="22" t="s">
        <v>50</v>
      </c>
      <c r="D86" s="22"/>
      <c r="E86" s="22">
        <v>1</v>
      </c>
      <c r="F86" s="22">
        <v>9.7900000000000001E-2</v>
      </c>
      <c r="G86" s="24">
        <v>1.5580000000000001</v>
      </c>
    </row>
    <row r="87" spans="2:7" x14ac:dyDescent="0.25">
      <c r="B87" s="22">
        <v>208</v>
      </c>
      <c r="C87" s="22" t="s">
        <v>50</v>
      </c>
      <c r="D87" s="22"/>
      <c r="E87" s="22">
        <v>1</v>
      </c>
      <c r="F87" s="22">
        <v>0.4763</v>
      </c>
      <c r="G87" s="24">
        <v>1.51</v>
      </c>
    </row>
    <row r="88" spans="2:7" x14ac:dyDescent="0.25">
      <c r="B88" s="22">
        <v>209</v>
      </c>
      <c r="C88" s="22" t="s">
        <v>50</v>
      </c>
      <c r="D88" s="22"/>
      <c r="E88" s="22">
        <v>1</v>
      </c>
      <c r="F88" s="22">
        <v>9.7180000000000002E-2</v>
      </c>
      <c r="G88" s="24">
        <v>1.55</v>
      </c>
    </row>
    <row r="89" spans="2:7" x14ac:dyDescent="0.25">
      <c r="B89" s="22">
        <v>213</v>
      </c>
      <c r="C89" s="22" t="s">
        <v>50</v>
      </c>
      <c r="D89" s="22"/>
      <c r="E89" s="22">
        <v>1</v>
      </c>
      <c r="F89" s="22">
        <v>0.49230000000000002</v>
      </c>
      <c r="G89" s="24">
        <v>1.486</v>
      </c>
    </row>
    <row r="90" spans="2:7" x14ac:dyDescent="0.25">
      <c r="B90" s="22">
        <v>214</v>
      </c>
      <c r="C90" s="22" t="s">
        <v>50</v>
      </c>
      <c r="D90" s="22"/>
      <c r="E90" s="22">
        <v>1</v>
      </c>
      <c r="F90" s="22">
        <v>0.51300000000000001</v>
      </c>
      <c r="G90" s="24">
        <v>1.57</v>
      </c>
    </row>
    <row r="91" spans="2:7" x14ac:dyDescent="0.25">
      <c r="B91" s="22">
        <v>218</v>
      </c>
      <c r="C91" s="22" t="s">
        <v>50</v>
      </c>
      <c r="D91" s="22"/>
      <c r="E91" s="22">
        <v>1</v>
      </c>
      <c r="F91" s="22">
        <v>9.9760000000000001E-2</v>
      </c>
      <c r="G91" s="24">
        <v>1.5409999999999999</v>
      </c>
    </row>
    <row r="92" spans="2:7" x14ac:dyDescent="0.25">
      <c r="B92" s="22">
        <v>223</v>
      </c>
      <c r="C92" s="22" t="s">
        <v>50</v>
      </c>
      <c r="D92" s="22"/>
      <c r="E92" s="22">
        <v>1</v>
      </c>
      <c r="F92" s="22">
        <v>9.7760000000000014E-2</v>
      </c>
      <c r="G92" s="24">
        <v>1.6220000000000001</v>
      </c>
    </row>
    <row r="93" spans="2:7" x14ac:dyDescent="0.25">
      <c r="B93" s="22">
        <v>226</v>
      </c>
      <c r="C93" s="22" t="s">
        <v>50</v>
      </c>
      <c r="D93" s="22"/>
      <c r="E93" s="22">
        <v>1</v>
      </c>
      <c r="F93" s="22">
        <v>0.47860000000000003</v>
      </c>
      <c r="G93" s="24">
        <v>1.528</v>
      </c>
    </row>
    <row r="94" spans="2:7" x14ac:dyDescent="0.25">
      <c r="B94" s="22">
        <v>228</v>
      </c>
      <c r="C94" s="22" t="s">
        <v>50</v>
      </c>
      <c r="D94" s="22"/>
      <c r="E94" s="22">
        <v>1</v>
      </c>
      <c r="F94" s="22">
        <v>0.47900000000000004</v>
      </c>
      <c r="G94" s="24">
        <v>1.5740000000000001</v>
      </c>
    </row>
    <row r="95" spans="2:7" x14ac:dyDescent="0.25">
      <c r="B95" s="22">
        <v>233</v>
      </c>
      <c r="C95" s="22" t="s">
        <v>50</v>
      </c>
      <c r="D95" s="22"/>
      <c r="E95" s="22">
        <v>1</v>
      </c>
      <c r="F95" s="22">
        <v>9.7909999999999997E-2</v>
      </c>
      <c r="G95" s="24">
        <v>1.5009999999999999</v>
      </c>
    </row>
    <row r="96" spans="2:7" x14ac:dyDescent="0.25">
      <c r="B96" s="22">
        <v>235</v>
      </c>
      <c r="C96" s="22" t="s">
        <v>50</v>
      </c>
      <c r="D96" s="22"/>
      <c r="E96" s="22">
        <v>1</v>
      </c>
      <c r="F96" s="22">
        <v>9.8989999999999995E-2</v>
      </c>
      <c r="G96" s="24">
        <v>1.63</v>
      </c>
    </row>
    <row r="97" spans="2:7" x14ac:dyDescent="0.25">
      <c r="B97" s="22">
        <v>239</v>
      </c>
      <c r="C97" s="22" t="s">
        <v>50</v>
      </c>
      <c r="D97" s="22"/>
      <c r="E97" s="22">
        <v>1</v>
      </c>
      <c r="F97" s="22">
        <v>0.45530000000000004</v>
      </c>
      <c r="G97" s="24">
        <v>1.54</v>
      </c>
    </row>
    <row r="98" spans="2:7" x14ac:dyDescent="0.25">
      <c r="B98" s="22">
        <v>244</v>
      </c>
      <c r="C98" s="22" t="s">
        <v>50</v>
      </c>
      <c r="D98" s="22"/>
      <c r="E98" s="22">
        <v>1</v>
      </c>
      <c r="F98" s="22">
        <v>0.45580000000000004</v>
      </c>
      <c r="G98" s="24">
        <v>1.589</v>
      </c>
    </row>
    <row r="99" spans="2:7" x14ac:dyDescent="0.25">
      <c r="B99" s="22">
        <v>252</v>
      </c>
      <c r="C99" s="22" t="s">
        <v>50</v>
      </c>
      <c r="D99" s="22"/>
      <c r="E99" s="22">
        <v>1</v>
      </c>
      <c r="F99" s="22">
        <v>0.45889999999999997</v>
      </c>
      <c r="G99" s="24">
        <v>1.845</v>
      </c>
    </row>
    <row r="100" spans="2:7" x14ac:dyDescent="0.25">
      <c r="B100" s="22">
        <v>263</v>
      </c>
      <c r="C100" s="22" t="s">
        <v>50</v>
      </c>
      <c r="D100" s="22"/>
      <c r="E100" s="22">
        <v>1</v>
      </c>
      <c r="F100" s="22">
        <v>9.895000000000001E-2</v>
      </c>
      <c r="G100" s="24">
        <v>1.4770000000000001</v>
      </c>
    </row>
    <row r="101" spans="2:7" x14ac:dyDescent="0.25">
      <c r="B101" s="22">
        <v>265</v>
      </c>
      <c r="C101" s="22" t="s">
        <v>50</v>
      </c>
      <c r="D101" s="22"/>
      <c r="E101" s="22">
        <v>1</v>
      </c>
      <c r="F101" s="22">
        <v>0.47189999999999999</v>
      </c>
      <c r="G101" s="24">
        <v>1.5069999999999999</v>
      </c>
    </row>
    <row r="102" spans="2:7" x14ac:dyDescent="0.25">
      <c r="B102" s="22">
        <v>267</v>
      </c>
      <c r="C102" s="22" t="s">
        <v>50</v>
      </c>
      <c r="D102" s="22"/>
      <c r="E102" s="22">
        <v>1</v>
      </c>
      <c r="F102" s="22">
        <v>0.46150000000000002</v>
      </c>
      <c r="G102" s="24">
        <v>1.597</v>
      </c>
    </row>
    <row r="103" spans="2:7" x14ac:dyDescent="0.25">
      <c r="B103" s="22">
        <v>268</v>
      </c>
      <c r="C103" s="22" t="s">
        <v>50</v>
      </c>
      <c r="D103" s="22"/>
      <c r="E103" s="22">
        <v>1</v>
      </c>
      <c r="F103" s="22">
        <v>9.8560000000000009E-2</v>
      </c>
      <c r="G103" s="24">
        <v>1.569</v>
      </c>
    </row>
    <row r="104" spans="2:7" x14ac:dyDescent="0.25">
      <c r="B104" s="22">
        <v>270</v>
      </c>
      <c r="C104" s="22" t="s">
        <v>50</v>
      </c>
      <c r="D104" s="22"/>
      <c r="E104" s="22">
        <v>1</v>
      </c>
      <c r="F104" s="22">
        <v>9.9489999999999995E-2</v>
      </c>
      <c r="G104" s="24">
        <v>1.6719999999999999</v>
      </c>
    </row>
    <row r="105" spans="2:7" x14ac:dyDescent="0.25">
      <c r="B105" s="22">
        <v>272</v>
      </c>
      <c r="C105" s="22" t="s">
        <v>50</v>
      </c>
      <c r="D105" s="22"/>
      <c r="E105" s="22">
        <v>1</v>
      </c>
      <c r="F105" s="22">
        <v>0.46239999999999998</v>
      </c>
      <c r="G105" s="24">
        <v>1.504</v>
      </c>
    </row>
    <row r="106" spans="2:7" x14ac:dyDescent="0.25">
      <c r="B106" s="22">
        <v>274</v>
      </c>
      <c r="C106" s="22" t="s">
        <v>50</v>
      </c>
      <c r="D106" s="22"/>
      <c r="E106" s="22">
        <v>1</v>
      </c>
      <c r="F106" s="22">
        <v>0.49840000000000001</v>
      </c>
      <c r="G106" s="24">
        <v>1.554</v>
      </c>
    </row>
    <row r="107" spans="2:7" x14ac:dyDescent="0.25">
      <c r="B107" s="22">
        <v>279</v>
      </c>
      <c r="C107" s="22" t="s">
        <v>50</v>
      </c>
      <c r="D107" s="22"/>
      <c r="E107" s="22">
        <v>1</v>
      </c>
      <c r="F107" s="22">
        <v>0.4945</v>
      </c>
      <c r="G107" s="24">
        <v>1.488</v>
      </c>
    </row>
    <row r="108" spans="2:7" x14ac:dyDescent="0.25">
      <c r="B108" s="22">
        <v>280</v>
      </c>
      <c r="C108" s="22" t="s">
        <v>50</v>
      </c>
      <c r="D108" s="22"/>
      <c r="E108" s="22">
        <v>1</v>
      </c>
      <c r="F108" s="22">
        <v>9.7629999999999995E-2</v>
      </c>
      <c r="G108" s="24">
        <v>1.635</v>
      </c>
    </row>
    <row r="109" spans="2:7" x14ac:dyDescent="0.25">
      <c r="B109" s="22">
        <v>283</v>
      </c>
      <c r="C109" s="22" t="s">
        <v>50</v>
      </c>
      <c r="D109" s="22"/>
      <c r="E109" s="22">
        <v>1</v>
      </c>
      <c r="F109" s="22">
        <v>9.784000000000001E-2</v>
      </c>
      <c r="G109" s="24">
        <v>1.665</v>
      </c>
    </row>
    <row r="110" spans="2:7" x14ac:dyDescent="0.25">
      <c r="B110" s="22">
        <v>286</v>
      </c>
      <c r="C110" s="22" t="s">
        <v>50</v>
      </c>
      <c r="D110" s="22"/>
      <c r="E110" s="22">
        <v>1</v>
      </c>
      <c r="F110" s="22">
        <v>9.9159999999999998E-2</v>
      </c>
      <c r="G110" s="24">
        <v>1.7</v>
      </c>
    </row>
    <row r="111" spans="2:7" x14ac:dyDescent="0.25">
      <c r="B111" s="22">
        <v>287</v>
      </c>
      <c r="C111" s="22" t="s">
        <v>50</v>
      </c>
      <c r="D111" s="22"/>
      <c r="E111" s="22">
        <v>1</v>
      </c>
      <c r="F111" s="22">
        <v>9.8650000000000002E-2</v>
      </c>
      <c r="G111" s="24">
        <v>1.5349999999999999</v>
      </c>
    </row>
    <row r="112" spans="2:7" x14ac:dyDescent="0.25">
      <c r="B112" s="22">
        <v>292</v>
      </c>
      <c r="C112" s="22" t="s">
        <v>50</v>
      </c>
      <c r="D112" s="22"/>
      <c r="E112" s="22">
        <v>1</v>
      </c>
      <c r="F112" s="22">
        <v>9.7629999999999995E-2</v>
      </c>
      <c r="G112" s="24">
        <v>1.706</v>
      </c>
    </row>
    <row r="113" spans="2:7" x14ac:dyDescent="0.25">
      <c r="B113" s="22">
        <v>293</v>
      </c>
      <c r="C113" s="22" t="s">
        <v>50</v>
      </c>
      <c r="D113" s="22"/>
      <c r="E113" s="22">
        <v>1</v>
      </c>
      <c r="F113" s="22">
        <v>0.47550000000000003</v>
      </c>
      <c r="G113" s="24">
        <v>1.5880000000000001</v>
      </c>
    </row>
    <row r="114" spans="2:7" x14ac:dyDescent="0.25">
      <c r="B114" s="22">
        <v>296</v>
      </c>
      <c r="C114" s="22" t="s">
        <v>50</v>
      </c>
      <c r="D114" s="22"/>
      <c r="E114" s="22">
        <v>1</v>
      </c>
      <c r="F114" s="22">
        <v>9.8239999999999994E-2</v>
      </c>
      <c r="G114" s="24">
        <v>1.6419999999999999</v>
      </c>
    </row>
    <row r="115" spans="2:7" x14ac:dyDescent="0.25">
      <c r="B115" s="22">
        <v>299</v>
      </c>
      <c r="C115" s="22" t="s">
        <v>50</v>
      </c>
      <c r="D115" s="22"/>
      <c r="E115" s="22">
        <v>1</v>
      </c>
      <c r="F115" s="22">
        <v>0.48220000000000002</v>
      </c>
      <c r="G115" s="24">
        <v>1.659</v>
      </c>
    </row>
    <row r="116" spans="2:7" x14ac:dyDescent="0.25">
      <c r="B116" s="22">
        <v>309</v>
      </c>
      <c r="C116" s="22" t="s">
        <v>50</v>
      </c>
      <c r="D116" s="22"/>
      <c r="E116" s="22">
        <v>1</v>
      </c>
      <c r="F116" s="22">
        <v>0.48270000000000002</v>
      </c>
      <c r="G116" s="24">
        <v>1.5329999999999999</v>
      </c>
    </row>
    <row r="117" spans="2:7" x14ac:dyDescent="0.25">
      <c r="B117" s="22">
        <v>310</v>
      </c>
      <c r="C117" s="22" t="s">
        <v>50</v>
      </c>
      <c r="D117" s="22"/>
      <c r="E117" s="22">
        <v>1</v>
      </c>
      <c r="F117" s="22">
        <v>9.8230000000000012E-2</v>
      </c>
      <c r="G117" s="24">
        <v>1.53</v>
      </c>
    </row>
    <row r="118" spans="2:7" x14ac:dyDescent="0.25">
      <c r="B118" s="22">
        <v>315</v>
      </c>
      <c r="C118" s="22" t="s">
        <v>50</v>
      </c>
      <c r="D118" s="22"/>
      <c r="E118" s="22">
        <v>1</v>
      </c>
      <c r="F118" s="22">
        <v>0.49369999999999997</v>
      </c>
      <c r="G118" s="24">
        <v>1.514</v>
      </c>
    </row>
    <row r="119" spans="2:7" x14ac:dyDescent="0.25">
      <c r="B119" s="22">
        <v>319</v>
      </c>
      <c r="C119" s="22" t="s">
        <v>50</v>
      </c>
      <c r="D119" s="22"/>
      <c r="E119" s="22">
        <v>1</v>
      </c>
      <c r="F119" s="22">
        <v>0.45830000000000004</v>
      </c>
      <c r="G119" s="24">
        <v>1.59</v>
      </c>
    </row>
    <row r="120" spans="2:7" x14ac:dyDescent="0.25">
      <c r="B120" s="22">
        <v>320</v>
      </c>
      <c r="C120" s="22" t="s">
        <v>50</v>
      </c>
      <c r="D120" s="22"/>
      <c r="E120" s="22">
        <v>1</v>
      </c>
      <c r="F120" s="22">
        <v>9.895000000000001E-2</v>
      </c>
      <c r="G120" s="24">
        <v>1.802</v>
      </c>
    </row>
    <row r="121" spans="2:7" x14ac:dyDescent="0.25">
      <c r="B121" s="22">
        <v>321</v>
      </c>
      <c r="C121" s="22" t="s">
        <v>50</v>
      </c>
      <c r="D121" s="22"/>
      <c r="E121" s="22">
        <v>1</v>
      </c>
      <c r="F121" s="22">
        <v>0.48260000000000003</v>
      </c>
      <c r="G121" s="24">
        <v>1.595</v>
      </c>
    </row>
    <row r="122" spans="2:7" x14ac:dyDescent="0.25">
      <c r="B122" s="22">
        <v>322</v>
      </c>
      <c r="C122" s="22" t="s">
        <v>50</v>
      </c>
      <c r="D122" s="22"/>
      <c r="E122" s="22">
        <v>1</v>
      </c>
      <c r="F122" s="22">
        <v>9.756999999999999E-2</v>
      </c>
      <c r="G122" s="24">
        <v>1.5609999999999999</v>
      </c>
    </row>
    <row r="123" spans="2:7" x14ac:dyDescent="0.25">
      <c r="B123" s="22">
        <v>323</v>
      </c>
      <c r="C123" s="22" t="s">
        <v>50</v>
      </c>
      <c r="D123" s="22"/>
      <c r="E123" s="22">
        <v>1</v>
      </c>
      <c r="F123" s="22">
        <v>9.6909999999999996E-2</v>
      </c>
      <c r="G123" s="24">
        <v>1.627</v>
      </c>
    </row>
    <row r="124" spans="2:7" x14ac:dyDescent="0.25">
      <c r="B124" s="22">
        <v>325</v>
      </c>
      <c r="C124" s="22" t="s">
        <v>50</v>
      </c>
      <c r="D124" s="22"/>
      <c r="E124" s="22">
        <v>1</v>
      </c>
      <c r="F124" s="22">
        <v>0.48410000000000003</v>
      </c>
      <c r="G124" s="24">
        <v>1.5269999999999999</v>
      </c>
    </row>
    <row r="125" spans="2:7" x14ac:dyDescent="0.25">
      <c r="B125" s="22">
        <v>326</v>
      </c>
      <c r="C125" s="22" t="s">
        <v>50</v>
      </c>
      <c r="D125" s="22"/>
      <c r="E125" s="22">
        <v>1</v>
      </c>
      <c r="F125" s="22">
        <v>9.9319999999999992E-2</v>
      </c>
      <c r="G125" s="24">
        <v>1.556</v>
      </c>
    </row>
    <row r="126" spans="2:7" x14ac:dyDescent="0.25">
      <c r="B126" s="22">
        <v>329</v>
      </c>
      <c r="C126" s="22" t="s">
        <v>50</v>
      </c>
      <c r="D126" s="22"/>
      <c r="E126" s="22">
        <v>1</v>
      </c>
      <c r="F126" s="22">
        <v>0.50409999999999999</v>
      </c>
      <c r="G126" s="24">
        <v>1.58</v>
      </c>
    </row>
    <row r="127" spans="2:7" x14ac:dyDescent="0.25">
      <c r="B127" s="22">
        <v>330</v>
      </c>
      <c r="C127" s="22" t="s">
        <v>50</v>
      </c>
      <c r="D127" s="22"/>
      <c r="E127" s="22">
        <v>1</v>
      </c>
      <c r="F127" s="22">
        <v>0.46870000000000001</v>
      </c>
      <c r="G127" s="24">
        <v>1.5129999999999999</v>
      </c>
    </row>
    <row r="128" spans="2:7" x14ac:dyDescent="0.25">
      <c r="B128" s="22">
        <v>336</v>
      </c>
      <c r="C128" s="22" t="s">
        <v>50</v>
      </c>
      <c r="D128" s="22"/>
      <c r="E128" s="22">
        <v>1</v>
      </c>
      <c r="F128" s="22">
        <v>9.7769999999999996E-2</v>
      </c>
      <c r="G128" s="24">
        <v>1.51</v>
      </c>
    </row>
    <row r="129" spans="2:7" x14ac:dyDescent="0.25">
      <c r="B129" s="22">
        <v>340</v>
      </c>
      <c r="C129" s="22" t="s">
        <v>50</v>
      </c>
      <c r="D129" s="22"/>
      <c r="E129" s="22">
        <v>1</v>
      </c>
      <c r="F129" s="22">
        <v>9.819E-2</v>
      </c>
      <c r="G129" s="24">
        <v>1.5049999999999999</v>
      </c>
    </row>
  </sheetData>
  <sheetProtection algorithmName="SHA-512" hashValue="D4+gZDDUW/+fTl58Pl5zVHJeKJ1sIuVuIOTPWcxJlqbkb9mGEeyq50Q06Ou+cCl7jQF+jkAqxjZquvulUGRVmQ==" saltValue="Pwfjw7DAUg0mylJKZBu4LA==" spinCount="100000" sheet="1" objects="1" scenarios="1" sort="0" autoFilter="0"/>
  <autoFilter ref="A13:G129" xr:uid="{87E578F7-86A9-440F-B60C-5988821EF5FE}"/>
  <mergeCells count="12">
    <mergeCell ref="A4:G4"/>
    <mergeCell ref="A5:G5"/>
    <mergeCell ref="A6:G6"/>
    <mergeCell ref="A7:G7"/>
    <mergeCell ref="A1:C1"/>
    <mergeCell ref="D1:G1"/>
    <mergeCell ref="A2:B2"/>
    <mergeCell ref="C2:D2"/>
    <mergeCell ref="E2:F2"/>
    <mergeCell ref="A3:B3"/>
    <mergeCell ref="C3:D3"/>
    <mergeCell ref="E3:F3"/>
  </mergeCells>
  <conditionalFormatting sqref="A14:A63">
    <cfRule type="duplicateValues" dxfId="22" priority="10"/>
  </conditionalFormatting>
  <conditionalFormatting sqref="A3:G3">
    <cfRule type="cellIs" dxfId="21" priority="1" operator="equal">
      <formula>0</formula>
    </cfRule>
  </conditionalFormatting>
  <conditionalFormatting sqref="B13">
    <cfRule type="cellIs" dxfId="20" priority="9" operator="equal">
      <formula>"All Pass"</formula>
    </cfRule>
  </conditionalFormatting>
  <conditionalFormatting sqref="B14:B63">
    <cfRule type="duplicateValues" dxfId="19" priority="11"/>
  </conditionalFormatting>
  <conditionalFormatting sqref="C14:C1538">
    <cfRule type="containsBlanks" dxfId="18" priority="5">
      <formula>LEN(TRIM(C14))=0</formula>
    </cfRule>
    <cfRule type="cellIs" dxfId="17" priority="6" operator="equal">
      <formula>"ALL PASS"</formula>
    </cfRule>
    <cfRule type="cellIs" dxfId="16" priority="7" stopIfTrue="1" operator="equal">
      <formula>"ND"</formula>
    </cfRule>
    <cfRule type="cellIs" dxfId="15" priority="8" operator="notEqual">
      <formula>"ALL PASS"</formula>
    </cfRule>
  </conditionalFormatting>
  <conditionalFormatting sqref="E14:E4538">
    <cfRule type="cellIs" dxfId="14" priority="2" stopIfTrue="1" operator="equal">
      <formula>99</formula>
    </cfRule>
    <cfRule type="cellIs" dxfId="13" priority="3" operator="between">
      <formula>2</formula>
      <formula>98</formula>
    </cfRule>
    <cfRule type="cellIs" dxfId="12" priority="4" operator="equal">
      <formula>1</formula>
    </cfRule>
  </conditionalFormatting>
  <hyperlinks>
    <hyperlink ref="D1" location="INDEX!A1" display="RETURN TO INDEX" xr:uid="{B1F1A6AD-03E7-4004-AA77-285231E0A6EF}"/>
    <hyperlink ref="D1:E1" location="INDEX!A1" display="RETURN TO INDEX" xr:uid="{F57A02DF-74C2-42D8-AFA6-966CF9A809C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97CC-8206-436D-A68C-44688E5B951C}">
  <sheetPr>
    <tabColor theme="4" tint="-0.249977111117893"/>
    <pageSetUpPr fitToPage="1"/>
  </sheetPr>
  <dimension ref="A1:E123"/>
  <sheetViews>
    <sheetView zoomScaleNormal="100" workbookViewId="0">
      <pane xSplit="1" ySplit="9" topLeftCell="B10" activePane="bottomRight" state="frozen"/>
      <selection activeCell="D250" sqref="D250"/>
      <selection pane="topRight" activeCell="D250" sqref="D250"/>
      <selection pane="bottomLeft" activeCell="D250" sqref="D250"/>
      <selection pane="bottomRight" activeCell="B10" sqref="B10"/>
    </sheetView>
  </sheetViews>
  <sheetFormatPr defaultColWidth="0" defaultRowHeight="15" customHeight="1" zeroHeight="1" x14ac:dyDescent="0.25"/>
  <cols>
    <col min="1" max="1" width="30.140625" customWidth="1"/>
    <col min="2" max="2" width="21" bestFit="1" customWidth="1"/>
    <col min="3" max="3" width="13.5703125" style="21" bestFit="1" customWidth="1"/>
    <col min="4" max="4" width="12" style="21" bestFit="1" customWidth="1"/>
    <col min="5" max="5" width="20" style="21" bestFit="1" customWidth="1"/>
    <col min="6" max="16384" width="9.140625" hidden="1"/>
  </cols>
  <sheetData>
    <row r="1" spans="1:5" ht="26.25" customHeight="1" x14ac:dyDescent="0.25">
      <c r="A1" s="1" t="s">
        <v>73</v>
      </c>
      <c r="B1" s="75" t="s">
        <v>1</v>
      </c>
      <c r="C1" s="75"/>
      <c r="D1" s="75" t="s">
        <v>2</v>
      </c>
      <c r="E1" s="75"/>
    </row>
    <row r="2" spans="1:5" ht="15.75" x14ac:dyDescent="0.25">
      <c r="A2" s="39" t="s">
        <v>100</v>
      </c>
      <c r="B2" s="40" t="s">
        <v>101</v>
      </c>
      <c r="C2" s="40" t="s">
        <v>102</v>
      </c>
      <c r="D2" s="40" t="s">
        <v>103</v>
      </c>
      <c r="E2" s="41"/>
    </row>
    <row r="3" spans="1:5" ht="18.75" x14ac:dyDescent="0.25">
      <c r="A3" s="42" t="s">
        <v>104</v>
      </c>
      <c r="B3" s="43" t="s">
        <v>104</v>
      </c>
      <c r="C3" s="43"/>
      <c r="D3" s="43">
        <v>2347</v>
      </c>
      <c r="E3" s="41"/>
    </row>
    <row r="4" spans="1:5" ht="27.6" customHeight="1" x14ac:dyDescent="0.35">
      <c r="A4" s="44" t="str">
        <f>"N= " &amp; COUNT($A$10:$A$123)</f>
        <v>N= 45</v>
      </c>
      <c r="B4" s="45"/>
      <c r="C4" s="46" t="s">
        <v>74</v>
      </c>
      <c r="D4" s="47"/>
      <c r="E4" s="47"/>
    </row>
    <row r="5" spans="1:5" ht="27.6" customHeight="1" x14ac:dyDescent="0.4">
      <c r="A5" s="48" t="str">
        <f>IF(COUNTIF($E$11:$E$123,"FAIL")=0,"PASS","FAIL")</f>
        <v>PASS</v>
      </c>
      <c r="B5" s="45"/>
      <c r="C5" s="49">
        <v>45330.57916666667</v>
      </c>
      <c r="D5" s="47"/>
      <c r="E5" s="47"/>
    </row>
    <row r="6" spans="1:5" ht="27.6" customHeight="1" x14ac:dyDescent="0.25">
      <c r="A6" s="50" t="s">
        <v>75</v>
      </c>
      <c r="B6" s="50" t="s">
        <v>76</v>
      </c>
      <c r="C6" s="50" t="s">
        <v>77</v>
      </c>
      <c r="D6" s="51"/>
      <c r="E6" s="52"/>
    </row>
    <row r="7" spans="1:5" ht="27.6" customHeight="1" x14ac:dyDescent="0.25">
      <c r="A7" s="50"/>
      <c r="B7" s="53" t="s">
        <v>78</v>
      </c>
      <c r="C7" s="53">
        <v>50</v>
      </c>
      <c r="D7" s="54" t="s">
        <v>79</v>
      </c>
      <c r="E7" s="52"/>
    </row>
    <row r="8" spans="1:5" ht="27.6" customHeight="1" x14ac:dyDescent="0.25">
      <c r="A8" s="55" t="s">
        <v>80</v>
      </c>
      <c r="B8" s="56">
        <v>2.3300000000000002E-10</v>
      </c>
      <c r="C8" s="56">
        <v>1.7000000000000001E-10</v>
      </c>
      <c r="D8" s="56">
        <v>2.3000000000000001E-11</v>
      </c>
      <c r="E8" s="52"/>
    </row>
    <row r="9" spans="1:5" ht="27.6" customHeight="1" x14ac:dyDescent="0.25">
      <c r="A9" s="55" t="s">
        <v>81</v>
      </c>
      <c r="B9" s="57" t="s">
        <v>82</v>
      </c>
      <c r="C9" s="57" t="s">
        <v>83</v>
      </c>
      <c r="D9" s="57" t="s">
        <v>84</v>
      </c>
      <c r="E9" s="58" t="s">
        <v>85</v>
      </c>
    </row>
    <row r="10" spans="1:5" ht="27.6" customHeight="1" x14ac:dyDescent="0.25">
      <c r="A10" s="59">
        <v>4</v>
      </c>
      <c r="B10" s="60">
        <v>1.8899999999999999E-10</v>
      </c>
      <c r="C10" s="60">
        <v>1.08E-10</v>
      </c>
      <c r="D10" s="60">
        <v>1.3399999999999999E-12</v>
      </c>
      <c r="E10" s="61" t="str">
        <f>IF(AND(B10&lt;&gt;"",B10&lt;=B$8,C10&lt;&gt;"",C10&lt;=C$8,D10&lt;&gt;"",D10&lt;=D$8),"PASS","FAIL")</f>
        <v>PASS</v>
      </c>
    </row>
    <row r="11" spans="1:5" s="63" customFormat="1" ht="27.6" customHeight="1" x14ac:dyDescent="0.25">
      <c r="A11" s="62">
        <v>8</v>
      </c>
      <c r="B11" s="60">
        <v>2.0800000000000001E-10</v>
      </c>
      <c r="C11" s="60">
        <v>1.08E-10</v>
      </c>
      <c r="D11" s="60">
        <v>1.3100000000000001E-12</v>
      </c>
      <c r="E11" s="61" t="str">
        <f t="shared" ref="E11:E54" si="0">IF(AND(B11&lt;&gt;"",B11&lt;=B$8,C11&lt;&gt;"",C11&lt;=C$8,D11&lt;&gt;"",D11&lt;=D$8),"PASS","FAIL")</f>
        <v>PASS</v>
      </c>
    </row>
    <row r="12" spans="1:5" s="63" customFormat="1" ht="27.6" customHeight="1" x14ac:dyDescent="0.25">
      <c r="A12" s="62">
        <v>9</v>
      </c>
      <c r="B12" s="60">
        <v>1.88E-10</v>
      </c>
      <c r="C12" s="60">
        <v>1.08E-10</v>
      </c>
      <c r="D12" s="60">
        <v>1.33E-12</v>
      </c>
      <c r="E12" s="61" t="str">
        <f t="shared" si="0"/>
        <v>PASS</v>
      </c>
    </row>
    <row r="13" spans="1:5" s="63" customFormat="1" ht="27.6" customHeight="1" x14ac:dyDescent="0.25">
      <c r="A13" s="62">
        <v>14</v>
      </c>
      <c r="B13" s="60">
        <v>2.32E-10</v>
      </c>
      <c r="C13" s="60">
        <v>1.08E-10</v>
      </c>
      <c r="D13" s="60">
        <v>1.4100000000000001E-12</v>
      </c>
      <c r="E13" s="61" t="str">
        <f t="shared" si="0"/>
        <v>PASS</v>
      </c>
    </row>
    <row r="14" spans="1:5" s="63" customFormat="1" ht="27.6" customHeight="1" x14ac:dyDescent="0.25">
      <c r="A14" s="62">
        <v>22</v>
      </c>
      <c r="B14" s="60">
        <v>2.11E-10</v>
      </c>
      <c r="C14" s="60">
        <v>1.09E-10</v>
      </c>
      <c r="D14" s="60">
        <v>1.43E-12</v>
      </c>
      <c r="E14" s="61" t="str">
        <f t="shared" si="0"/>
        <v>PASS</v>
      </c>
    </row>
    <row r="15" spans="1:5" s="63" customFormat="1" ht="27.6" customHeight="1" x14ac:dyDescent="0.25">
      <c r="A15" s="62">
        <v>25</v>
      </c>
      <c r="B15" s="60">
        <v>1.94E-10</v>
      </c>
      <c r="C15" s="60">
        <v>1.0700000000000001E-10</v>
      </c>
      <c r="D15" s="60">
        <v>1.29E-12</v>
      </c>
      <c r="E15" s="61" t="str">
        <f t="shared" si="0"/>
        <v>PASS</v>
      </c>
    </row>
    <row r="16" spans="1:5" s="63" customFormat="1" ht="27.6" customHeight="1" x14ac:dyDescent="0.25">
      <c r="A16" s="62">
        <v>27</v>
      </c>
      <c r="B16" s="60">
        <v>1.8400000000000001E-10</v>
      </c>
      <c r="C16" s="60">
        <v>1.06E-10</v>
      </c>
      <c r="D16" s="60">
        <v>1.28E-12</v>
      </c>
      <c r="E16" s="61" t="str">
        <f t="shared" si="0"/>
        <v>PASS</v>
      </c>
    </row>
    <row r="17" spans="1:5" s="63" customFormat="1" ht="27.6" customHeight="1" x14ac:dyDescent="0.25">
      <c r="A17" s="62">
        <v>29</v>
      </c>
      <c r="B17" s="60">
        <v>1.9100000000000001E-10</v>
      </c>
      <c r="C17" s="60">
        <v>1.0700000000000001E-10</v>
      </c>
      <c r="D17" s="60">
        <v>1.32E-12</v>
      </c>
      <c r="E17" s="61" t="str">
        <f t="shared" si="0"/>
        <v>PASS</v>
      </c>
    </row>
    <row r="18" spans="1:5" s="63" customFormat="1" ht="27.6" customHeight="1" x14ac:dyDescent="0.25">
      <c r="A18" s="62">
        <v>31</v>
      </c>
      <c r="B18" s="60">
        <v>1.9300000000000001E-10</v>
      </c>
      <c r="C18" s="60">
        <v>1.06E-10</v>
      </c>
      <c r="D18" s="60">
        <v>1.3399999999999999E-12</v>
      </c>
      <c r="E18" s="61" t="str">
        <f t="shared" si="0"/>
        <v>PASS</v>
      </c>
    </row>
    <row r="19" spans="1:5" s="63" customFormat="1" ht="27.6" customHeight="1" x14ac:dyDescent="0.25">
      <c r="A19" s="62">
        <v>40</v>
      </c>
      <c r="B19" s="60">
        <v>1.8500000000000001E-10</v>
      </c>
      <c r="C19" s="60">
        <v>1.0700000000000001E-10</v>
      </c>
      <c r="D19" s="60">
        <v>1.3100000000000001E-12</v>
      </c>
      <c r="E19" s="61" t="str">
        <f t="shared" si="0"/>
        <v>PASS</v>
      </c>
    </row>
    <row r="20" spans="1:5" s="63" customFormat="1" ht="27.6" customHeight="1" x14ac:dyDescent="0.25">
      <c r="A20" s="62">
        <v>41</v>
      </c>
      <c r="B20" s="60">
        <v>1.9300000000000001E-10</v>
      </c>
      <c r="C20" s="60">
        <v>1.0700000000000001E-10</v>
      </c>
      <c r="D20" s="60">
        <v>1.3399999999999999E-12</v>
      </c>
      <c r="E20" s="61" t="str">
        <f t="shared" si="0"/>
        <v>PASS</v>
      </c>
    </row>
    <row r="21" spans="1:5" s="63" customFormat="1" ht="27.6" customHeight="1" x14ac:dyDescent="0.25">
      <c r="A21" s="59">
        <v>42</v>
      </c>
      <c r="B21" s="60">
        <v>1.94E-10</v>
      </c>
      <c r="C21" s="60">
        <v>1.08E-10</v>
      </c>
      <c r="D21" s="60">
        <v>1.3399999999999999E-12</v>
      </c>
      <c r="E21" s="61" t="str">
        <f t="shared" si="0"/>
        <v>PASS</v>
      </c>
    </row>
    <row r="22" spans="1:5" s="63" customFormat="1" ht="27.6" customHeight="1" x14ac:dyDescent="0.25">
      <c r="A22" s="62">
        <v>43</v>
      </c>
      <c r="B22" s="64">
        <v>1.86E-10</v>
      </c>
      <c r="C22" s="64">
        <v>1.06E-10</v>
      </c>
      <c r="D22" s="64">
        <v>1.3399999999999999E-12</v>
      </c>
      <c r="E22" s="61" t="str">
        <f t="shared" si="0"/>
        <v>PASS</v>
      </c>
    </row>
    <row r="23" spans="1:5" s="63" customFormat="1" ht="27.6" customHeight="1" x14ac:dyDescent="0.25">
      <c r="A23" s="62">
        <v>52</v>
      </c>
      <c r="B23" s="64">
        <v>1.9100000000000001E-10</v>
      </c>
      <c r="C23" s="64">
        <v>1.05E-10</v>
      </c>
      <c r="D23" s="64">
        <v>1.29E-12</v>
      </c>
      <c r="E23" s="61" t="str">
        <f t="shared" si="0"/>
        <v>PASS</v>
      </c>
    </row>
    <row r="24" spans="1:5" s="63" customFormat="1" ht="27.6" customHeight="1" x14ac:dyDescent="0.25">
      <c r="A24" s="62">
        <v>55</v>
      </c>
      <c r="B24" s="64">
        <v>1.9200000000000001E-10</v>
      </c>
      <c r="C24" s="64">
        <v>1.06E-10</v>
      </c>
      <c r="D24" s="64">
        <v>1.28E-12</v>
      </c>
      <c r="E24" s="61" t="str">
        <f t="shared" si="0"/>
        <v>PASS</v>
      </c>
    </row>
    <row r="25" spans="1:5" s="63" customFormat="1" ht="27.6" customHeight="1" x14ac:dyDescent="0.25">
      <c r="A25" s="62">
        <v>58</v>
      </c>
      <c r="B25" s="64">
        <v>1.8500000000000001E-10</v>
      </c>
      <c r="C25" s="64">
        <v>1.0700000000000001E-10</v>
      </c>
      <c r="D25" s="64">
        <v>1.2999999999999999E-12</v>
      </c>
      <c r="E25" s="61" t="str">
        <f t="shared" si="0"/>
        <v>PASS</v>
      </c>
    </row>
    <row r="26" spans="1:5" s="63" customFormat="1" ht="27.6" customHeight="1" x14ac:dyDescent="0.25">
      <c r="A26" s="62">
        <v>60</v>
      </c>
      <c r="B26" s="64">
        <v>1.94E-10</v>
      </c>
      <c r="C26" s="64">
        <v>1.0700000000000001E-10</v>
      </c>
      <c r="D26" s="64">
        <v>1.32E-12</v>
      </c>
      <c r="E26" s="61" t="str">
        <f t="shared" si="0"/>
        <v>PASS</v>
      </c>
    </row>
    <row r="27" spans="1:5" s="63" customFormat="1" ht="27.6" customHeight="1" x14ac:dyDescent="0.25">
      <c r="A27" s="62">
        <v>61</v>
      </c>
      <c r="B27" s="64">
        <v>1.9300000000000001E-10</v>
      </c>
      <c r="C27" s="64">
        <v>1.0700000000000001E-10</v>
      </c>
      <c r="D27" s="64">
        <v>1.33E-12</v>
      </c>
      <c r="E27" s="61" t="str">
        <f t="shared" si="0"/>
        <v>PASS</v>
      </c>
    </row>
    <row r="28" spans="1:5" s="63" customFormat="1" ht="27.6" customHeight="1" x14ac:dyDescent="0.25">
      <c r="A28" s="62">
        <v>63</v>
      </c>
      <c r="B28" s="64">
        <v>1.8899999999999999E-10</v>
      </c>
      <c r="C28" s="64">
        <v>1.08E-10</v>
      </c>
      <c r="D28" s="64">
        <v>1.3600000000000001E-12</v>
      </c>
      <c r="E28" s="61" t="str">
        <f t="shared" si="0"/>
        <v>PASS</v>
      </c>
    </row>
    <row r="29" spans="1:5" s="63" customFormat="1" ht="27.6" customHeight="1" x14ac:dyDescent="0.25">
      <c r="A29" s="62">
        <v>66</v>
      </c>
      <c r="B29" s="64">
        <v>1.8299999999999999E-10</v>
      </c>
      <c r="C29" s="64">
        <v>1.0700000000000001E-10</v>
      </c>
      <c r="D29" s="64">
        <v>1.3600000000000001E-12</v>
      </c>
      <c r="E29" s="61" t="str">
        <f t="shared" si="0"/>
        <v>PASS</v>
      </c>
    </row>
    <row r="30" spans="1:5" s="63" customFormat="1" ht="27.6" customHeight="1" x14ac:dyDescent="0.25">
      <c r="A30" s="62">
        <v>67</v>
      </c>
      <c r="B30" s="64">
        <v>1.95E-10</v>
      </c>
      <c r="C30" s="64">
        <v>1.06E-10</v>
      </c>
      <c r="D30" s="64">
        <v>1.3100000000000001E-12</v>
      </c>
      <c r="E30" s="61" t="str">
        <f t="shared" si="0"/>
        <v>PASS</v>
      </c>
    </row>
    <row r="31" spans="1:5" s="63" customFormat="1" ht="27.6" customHeight="1" x14ac:dyDescent="0.25">
      <c r="A31" s="62">
        <v>68</v>
      </c>
      <c r="B31" s="64">
        <v>1.88E-10</v>
      </c>
      <c r="C31" s="64">
        <v>1.08E-10</v>
      </c>
      <c r="D31" s="64">
        <v>1.37E-12</v>
      </c>
      <c r="E31" s="61" t="str">
        <f t="shared" si="0"/>
        <v>PASS</v>
      </c>
    </row>
    <row r="32" spans="1:5" s="63" customFormat="1" ht="27.6" customHeight="1" x14ac:dyDescent="0.25">
      <c r="A32" s="62">
        <v>69</v>
      </c>
      <c r="B32" s="64">
        <v>1.8400000000000001E-10</v>
      </c>
      <c r="C32" s="64">
        <v>1.06E-10</v>
      </c>
      <c r="D32" s="64">
        <v>1.28E-12</v>
      </c>
      <c r="E32" s="61" t="str">
        <f t="shared" si="0"/>
        <v>PASS</v>
      </c>
    </row>
    <row r="33" spans="1:5" s="63" customFormat="1" ht="27.6" customHeight="1" x14ac:dyDescent="0.25">
      <c r="A33" s="62">
        <v>70</v>
      </c>
      <c r="B33" s="64">
        <v>1.95E-10</v>
      </c>
      <c r="C33" s="64">
        <v>1.06E-10</v>
      </c>
      <c r="D33" s="64">
        <v>1.29E-12</v>
      </c>
      <c r="E33" s="61" t="str">
        <f t="shared" si="0"/>
        <v>PASS</v>
      </c>
    </row>
    <row r="34" spans="1:5" s="63" customFormat="1" ht="27.6" customHeight="1" x14ac:dyDescent="0.25">
      <c r="A34" s="62">
        <v>74</v>
      </c>
      <c r="B34" s="64">
        <v>1.95E-10</v>
      </c>
      <c r="C34" s="64">
        <v>1.08E-10</v>
      </c>
      <c r="D34" s="64">
        <v>1.37E-12</v>
      </c>
      <c r="E34" s="61" t="str">
        <f t="shared" si="0"/>
        <v>PASS</v>
      </c>
    </row>
    <row r="35" spans="1:5" s="63" customFormat="1" ht="27.6" customHeight="1" x14ac:dyDescent="0.25">
      <c r="A35" s="62">
        <v>78</v>
      </c>
      <c r="B35" s="64">
        <v>1.8500000000000001E-10</v>
      </c>
      <c r="C35" s="64">
        <v>1.0700000000000001E-10</v>
      </c>
      <c r="D35" s="64">
        <v>1.3600000000000001E-12</v>
      </c>
      <c r="E35" s="61" t="str">
        <f t="shared" si="0"/>
        <v>PASS</v>
      </c>
    </row>
    <row r="36" spans="1:5" s="63" customFormat="1" ht="27.6" customHeight="1" x14ac:dyDescent="0.25">
      <c r="A36" s="62">
        <v>79</v>
      </c>
      <c r="B36" s="64">
        <v>1.8299999999999999E-10</v>
      </c>
      <c r="C36" s="64">
        <v>1.04E-10</v>
      </c>
      <c r="D36" s="64">
        <v>1.2499999999999999E-12</v>
      </c>
      <c r="E36" s="61" t="str">
        <f t="shared" si="0"/>
        <v>PASS</v>
      </c>
    </row>
    <row r="37" spans="1:5" s="63" customFormat="1" ht="27.6" customHeight="1" x14ac:dyDescent="0.25">
      <c r="A37" s="62">
        <v>80</v>
      </c>
      <c r="B37" s="64">
        <v>1.87E-10</v>
      </c>
      <c r="C37" s="64">
        <v>1.06E-10</v>
      </c>
      <c r="D37" s="64">
        <v>1.27E-12</v>
      </c>
      <c r="E37" s="61" t="str">
        <f t="shared" si="0"/>
        <v>PASS</v>
      </c>
    </row>
    <row r="38" spans="1:5" s="63" customFormat="1" ht="27.6" customHeight="1" x14ac:dyDescent="0.25">
      <c r="A38" s="62">
        <v>82</v>
      </c>
      <c r="B38" s="64">
        <v>2.11E-10</v>
      </c>
      <c r="C38" s="64">
        <v>1.08E-10</v>
      </c>
      <c r="D38" s="64">
        <v>1.3600000000000001E-12</v>
      </c>
      <c r="E38" s="61" t="str">
        <f t="shared" si="0"/>
        <v>PASS</v>
      </c>
    </row>
    <row r="39" spans="1:5" s="63" customFormat="1" ht="27.6" customHeight="1" x14ac:dyDescent="0.25">
      <c r="A39" s="62">
        <v>84</v>
      </c>
      <c r="B39" s="64">
        <v>1.9300000000000001E-10</v>
      </c>
      <c r="C39" s="64">
        <v>1.09E-10</v>
      </c>
      <c r="D39" s="64">
        <v>1.38E-12</v>
      </c>
      <c r="E39" s="61" t="str">
        <f t="shared" si="0"/>
        <v>PASS</v>
      </c>
    </row>
    <row r="40" spans="1:5" s="63" customFormat="1" ht="27.6" customHeight="1" x14ac:dyDescent="0.25">
      <c r="A40" s="62">
        <v>86</v>
      </c>
      <c r="B40" s="64">
        <v>1.8400000000000001E-10</v>
      </c>
      <c r="C40" s="64">
        <v>1.0700000000000001E-10</v>
      </c>
      <c r="D40" s="64">
        <v>1.3399999999999999E-12</v>
      </c>
      <c r="E40" s="61" t="str">
        <f t="shared" si="0"/>
        <v>PASS</v>
      </c>
    </row>
    <row r="41" spans="1:5" s="63" customFormat="1" ht="27.6" customHeight="1" x14ac:dyDescent="0.25">
      <c r="A41" s="62">
        <v>89</v>
      </c>
      <c r="B41" s="64">
        <v>1.8999999999999999E-10</v>
      </c>
      <c r="C41" s="64">
        <v>1.06E-10</v>
      </c>
      <c r="D41" s="64">
        <v>1.27E-12</v>
      </c>
      <c r="E41" s="61" t="str">
        <f t="shared" si="0"/>
        <v>PASS</v>
      </c>
    </row>
    <row r="42" spans="1:5" s="63" customFormat="1" ht="27.6" customHeight="1" x14ac:dyDescent="0.25">
      <c r="A42" s="62">
        <v>90</v>
      </c>
      <c r="B42" s="64">
        <v>1.9100000000000001E-10</v>
      </c>
      <c r="C42" s="64">
        <v>1.06E-10</v>
      </c>
      <c r="D42" s="64">
        <v>1.4000000000000001E-12</v>
      </c>
      <c r="E42" s="61" t="str">
        <f t="shared" si="0"/>
        <v>PASS</v>
      </c>
    </row>
    <row r="43" spans="1:5" s="63" customFormat="1" ht="27.6" customHeight="1" x14ac:dyDescent="0.25">
      <c r="A43" s="62">
        <v>91</v>
      </c>
      <c r="B43" s="64">
        <v>1.8400000000000001E-10</v>
      </c>
      <c r="C43" s="64">
        <v>1.06E-10</v>
      </c>
      <c r="D43" s="64">
        <v>1.33E-12</v>
      </c>
      <c r="E43" s="61" t="str">
        <f t="shared" si="0"/>
        <v>PASS</v>
      </c>
    </row>
    <row r="44" spans="1:5" s="63" customFormat="1" ht="27.6" customHeight="1" x14ac:dyDescent="0.25">
      <c r="A44" s="62">
        <v>92</v>
      </c>
      <c r="B44" s="64">
        <v>1.9100000000000001E-10</v>
      </c>
      <c r="C44" s="64">
        <v>1.0700000000000001E-10</v>
      </c>
      <c r="D44" s="64">
        <v>1.4100000000000001E-12</v>
      </c>
      <c r="E44" s="61" t="str">
        <f t="shared" si="0"/>
        <v>PASS</v>
      </c>
    </row>
    <row r="45" spans="1:5" s="63" customFormat="1" ht="27.6" customHeight="1" x14ac:dyDescent="0.25">
      <c r="A45" s="62">
        <v>94</v>
      </c>
      <c r="B45" s="64">
        <v>1.86E-10</v>
      </c>
      <c r="C45" s="64">
        <v>1.0700000000000001E-10</v>
      </c>
      <c r="D45" s="64">
        <v>1.38E-12</v>
      </c>
      <c r="E45" s="61" t="str">
        <f t="shared" si="0"/>
        <v>PASS</v>
      </c>
    </row>
    <row r="46" spans="1:5" s="63" customFormat="1" ht="27.6" customHeight="1" x14ac:dyDescent="0.25">
      <c r="A46" s="62">
        <v>95</v>
      </c>
      <c r="B46" s="64">
        <v>1.9300000000000001E-10</v>
      </c>
      <c r="C46" s="64">
        <v>1.06E-10</v>
      </c>
      <c r="D46" s="64">
        <v>1.4100000000000001E-12</v>
      </c>
      <c r="E46" s="61" t="str">
        <f t="shared" si="0"/>
        <v>PASS</v>
      </c>
    </row>
    <row r="47" spans="1:5" s="63" customFormat="1" ht="27.6" customHeight="1" x14ac:dyDescent="0.25">
      <c r="A47" s="62">
        <v>97</v>
      </c>
      <c r="B47" s="64">
        <v>1.8899999999999999E-10</v>
      </c>
      <c r="C47" s="64">
        <v>1.05E-10</v>
      </c>
      <c r="D47" s="64">
        <v>1.38E-12</v>
      </c>
      <c r="E47" s="61" t="str">
        <f t="shared" si="0"/>
        <v>PASS</v>
      </c>
    </row>
    <row r="48" spans="1:5" s="63" customFormat="1" ht="27.6" customHeight="1" x14ac:dyDescent="0.25">
      <c r="A48" s="62">
        <v>98</v>
      </c>
      <c r="B48" s="64">
        <v>1.8199999999999999E-10</v>
      </c>
      <c r="C48" s="64">
        <v>1.0700000000000001E-10</v>
      </c>
      <c r="D48" s="64">
        <v>1.2999999999999999E-12</v>
      </c>
      <c r="E48" s="61" t="str">
        <f t="shared" si="0"/>
        <v>PASS</v>
      </c>
    </row>
    <row r="49" spans="1:5" s="63" customFormat="1" ht="27.6" customHeight="1" x14ac:dyDescent="0.25">
      <c r="A49" s="62">
        <v>99</v>
      </c>
      <c r="B49" s="64">
        <v>1.9699999999999999E-10</v>
      </c>
      <c r="C49" s="64">
        <v>1.0700000000000001E-10</v>
      </c>
      <c r="D49" s="64">
        <v>1.4000000000000001E-12</v>
      </c>
      <c r="E49" s="61" t="str">
        <f t="shared" si="0"/>
        <v>PASS</v>
      </c>
    </row>
    <row r="50" spans="1:5" s="63" customFormat="1" ht="27.6" customHeight="1" x14ac:dyDescent="0.25">
      <c r="A50" s="62">
        <v>102</v>
      </c>
      <c r="B50" s="64">
        <v>1.9100000000000001E-10</v>
      </c>
      <c r="C50" s="64">
        <v>1.06E-10</v>
      </c>
      <c r="D50" s="64">
        <v>1.43E-12</v>
      </c>
      <c r="E50" s="61" t="str">
        <f t="shared" si="0"/>
        <v>PASS</v>
      </c>
    </row>
    <row r="51" spans="1:5" s="63" customFormat="1" ht="27.6" customHeight="1" x14ac:dyDescent="0.25">
      <c r="A51" s="62">
        <v>103</v>
      </c>
      <c r="B51" s="64">
        <v>1.8999999999999999E-10</v>
      </c>
      <c r="C51" s="64">
        <v>1.0700000000000001E-10</v>
      </c>
      <c r="D51" s="64">
        <v>1.3399999999999999E-12</v>
      </c>
      <c r="E51" s="61" t="str">
        <f t="shared" si="0"/>
        <v>PASS</v>
      </c>
    </row>
    <row r="52" spans="1:5" s="63" customFormat="1" ht="27.6" customHeight="1" x14ac:dyDescent="0.25">
      <c r="A52" s="62">
        <v>104</v>
      </c>
      <c r="B52" s="64">
        <v>1.86E-10</v>
      </c>
      <c r="C52" s="64">
        <v>1.0700000000000001E-10</v>
      </c>
      <c r="D52" s="64">
        <v>1.3499999999999999E-12</v>
      </c>
      <c r="E52" s="61" t="str">
        <f t="shared" si="0"/>
        <v>PASS</v>
      </c>
    </row>
    <row r="53" spans="1:5" s="63" customFormat="1" ht="27.6" customHeight="1" x14ac:dyDescent="0.25">
      <c r="A53" s="62">
        <v>105</v>
      </c>
      <c r="B53" s="64">
        <v>1.86E-10</v>
      </c>
      <c r="C53" s="64">
        <v>1.08E-10</v>
      </c>
      <c r="D53" s="64">
        <v>1.43E-12</v>
      </c>
      <c r="E53" s="61" t="str">
        <f t="shared" si="0"/>
        <v>PASS</v>
      </c>
    </row>
    <row r="54" spans="1:5" s="63" customFormat="1" ht="27.6" customHeight="1" x14ac:dyDescent="0.25">
      <c r="A54" s="62">
        <v>106</v>
      </c>
      <c r="B54" s="64">
        <v>1.86E-10</v>
      </c>
      <c r="C54" s="64">
        <v>1.06E-10</v>
      </c>
      <c r="D54" s="64">
        <v>1.2600000000000001E-12</v>
      </c>
      <c r="E54" s="61" t="str">
        <f t="shared" si="0"/>
        <v>PASS</v>
      </c>
    </row>
    <row r="55" spans="1:5" s="63" customFormat="1" ht="27.6" hidden="1" customHeight="1" x14ac:dyDescent="0.25">
      <c r="A55" s="65"/>
      <c r="B55" s="66"/>
      <c r="C55" s="66"/>
      <c r="D55" s="66"/>
      <c r="E55" s="61"/>
    </row>
    <row r="56" spans="1:5" s="67" customFormat="1" ht="27.6" hidden="1" customHeight="1" x14ac:dyDescent="0.25">
      <c r="A56" s="65"/>
      <c r="B56" s="66"/>
      <c r="C56" s="66"/>
      <c r="D56" s="66"/>
      <c r="E56" s="61"/>
    </row>
    <row r="57" spans="1:5" s="67" customFormat="1" ht="27.6" hidden="1" customHeight="1" x14ac:dyDescent="0.25">
      <c r="A57" s="65"/>
      <c r="B57" s="66"/>
      <c r="C57" s="66"/>
      <c r="D57" s="66"/>
      <c r="E57" s="61"/>
    </row>
    <row r="58" spans="1:5" s="67" customFormat="1" ht="27.6" hidden="1" customHeight="1" x14ac:dyDescent="0.25">
      <c r="A58" s="65"/>
      <c r="B58" s="66"/>
      <c r="C58" s="66"/>
      <c r="D58" s="66"/>
      <c r="E58" s="61"/>
    </row>
    <row r="59" spans="1:5" s="67" customFormat="1" ht="27.6" hidden="1" customHeight="1" x14ac:dyDescent="0.25">
      <c r="A59" s="65"/>
      <c r="B59" s="66"/>
      <c r="C59" s="66"/>
      <c r="D59" s="66"/>
      <c r="E59" s="61"/>
    </row>
    <row r="60" spans="1:5" s="67" customFormat="1" ht="27.6" hidden="1" customHeight="1" x14ac:dyDescent="0.25">
      <c r="A60" s="65"/>
      <c r="B60" s="66"/>
      <c r="C60" s="66"/>
      <c r="D60" s="66"/>
      <c r="E60" s="61"/>
    </row>
    <row r="61" spans="1:5" s="67" customFormat="1" ht="27.6" hidden="1" customHeight="1" x14ac:dyDescent="0.25">
      <c r="A61" s="65"/>
      <c r="B61" s="66"/>
      <c r="C61" s="66"/>
      <c r="D61" s="66"/>
      <c r="E61" s="61"/>
    </row>
    <row r="62" spans="1:5" s="67" customFormat="1" ht="27.6" hidden="1" customHeight="1" x14ac:dyDescent="0.25">
      <c r="A62" s="65"/>
      <c r="B62" s="66"/>
      <c r="C62" s="66"/>
      <c r="D62" s="66"/>
      <c r="E62" s="61"/>
    </row>
    <row r="63" spans="1:5" s="67" customFormat="1" ht="27.6" hidden="1" customHeight="1" x14ac:dyDescent="0.25">
      <c r="A63" s="65"/>
      <c r="B63" s="66"/>
      <c r="C63" s="66"/>
      <c r="D63" s="66"/>
      <c r="E63" s="61"/>
    </row>
    <row r="64" spans="1:5" s="67" customFormat="1" ht="27.6" hidden="1" customHeight="1" x14ac:dyDescent="0.25">
      <c r="A64" s="65"/>
      <c r="B64" s="66"/>
      <c r="C64" s="66"/>
      <c r="D64" s="66"/>
      <c r="E64" s="61"/>
    </row>
    <row r="65" spans="1:5" s="67" customFormat="1" ht="27.6" hidden="1" customHeight="1" x14ac:dyDescent="0.25">
      <c r="A65" s="65"/>
      <c r="B65" s="66"/>
      <c r="C65" s="66"/>
      <c r="D65" s="66"/>
      <c r="E65" s="61"/>
    </row>
    <row r="66" spans="1:5" s="67" customFormat="1" ht="27.6" hidden="1" customHeight="1" x14ac:dyDescent="0.25">
      <c r="A66" s="65"/>
      <c r="B66" s="66"/>
      <c r="C66" s="66"/>
      <c r="D66" s="66"/>
      <c r="E66" s="61"/>
    </row>
    <row r="67" spans="1:5" s="67" customFormat="1" ht="27.6" hidden="1" customHeight="1" x14ac:dyDescent="0.25">
      <c r="A67" s="65"/>
      <c r="B67" s="66"/>
      <c r="C67" s="66"/>
      <c r="D67" s="66"/>
      <c r="E67" s="61"/>
    </row>
    <row r="68" spans="1:5" s="67" customFormat="1" ht="27.6" hidden="1" customHeight="1" x14ac:dyDescent="0.25">
      <c r="A68" s="65"/>
      <c r="B68" s="66"/>
      <c r="C68" s="66"/>
      <c r="D68" s="66"/>
      <c r="E68" s="61"/>
    </row>
    <row r="69" spans="1:5" s="67" customFormat="1" ht="27.6" hidden="1" customHeight="1" x14ac:dyDescent="0.25">
      <c r="A69" s="65"/>
      <c r="B69" s="66"/>
      <c r="C69" s="66"/>
      <c r="D69" s="66"/>
      <c r="E69" s="61"/>
    </row>
    <row r="70" spans="1:5" s="67" customFormat="1" ht="27.6" hidden="1" customHeight="1" x14ac:dyDescent="0.25">
      <c r="A70" s="65"/>
      <c r="B70" s="66"/>
      <c r="C70" s="66"/>
      <c r="D70" s="66"/>
      <c r="E70" s="61"/>
    </row>
    <row r="71" spans="1:5" s="67" customFormat="1" ht="27.6" hidden="1" customHeight="1" x14ac:dyDescent="0.25">
      <c r="A71" s="65"/>
      <c r="B71" s="66"/>
      <c r="C71" s="66"/>
      <c r="D71" s="66"/>
      <c r="E71" s="61"/>
    </row>
    <row r="72" spans="1:5" s="67" customFormat="1" ht="27.6" hidden="1" customHeight="1" x14ac:dyDescent="0.25">
      <c r="A72" s="65"/>
      <c r="B72" s="66"/>
      <c r="C72" s="66"/>
      <c r="D72" s="66"/>
      <c r="E72" s="61"/>
    </row>
    <row r="73" spans="1:5" s="67" customFormat="1" ht="27.6" hidden="1" customHeight="1" x14ac:dyDescent="0.25">
      <c r="A73" s="65"/>
      <c r="B73" s="66"/>
      <c r="C73" s="66"/>
      <c r="D73" s="66"/>
      <c r="E73" s="61"/>
    </row>
    <row r="74" spans="1:5" s="67" customFormat="1" ht="27.6" hidden="1" customHeight="1" x14ac:dyDescent="0.25">
      <c r="A74" s="65"/>
      <c r="B74" s="66"/>
      <c r="C74" s="66"/>
      <c r="D74" s="66"/>
      <c r="E74" s="61"/>
    </row>
    <row r="75" spans="1:5" s="67" customFormat="1" ht="27.6" hidden="1" customHeight="1" x14ac:dyDescent="0.25">
      <c r="A75" s="65"/>
      <c r="B75" s="66"/>
      <c r="C75" s="66"/>
      <c r="D75" s="66"/>
      <c r="E75" s="61"/>
    </row>
    <row r="76" spans="1:5" s="67" customFormat="1" ht="27.6" hidden="1" customHeight="1" x14ac:dyDescent="0.25">
      <c r="A76" s="65"/>
      <c r="B76" s="66"/>
      <c r="C76" s="66"/>
      <c r="D76" s="66"/>
      <c r="E76" s="61"/>
    </row>
    <row r="77" spans="1:5" s="67" customFormat="1" ht="27.6" hidden="1" customHeight="1" x14ac:dyDescent="0.25">
      <c r="A77" s="65"/>
      <c r="B77" s="66"/>
      <c r="C77" s="66"/>
      <c r="D77" s="66"/>
      <c r="E77" s="61"/>
    </row>
    <row r="78" spans="1:5" s="67" customFormat="1" ht="27.6" hidden="1" customHeight="1" x14ac:dyDescent="0.25">
      <c r="A78" s="65"/>
      <c r="B78" s="66"/>
      <c r="C78" s="66"/>
      <c r="D78" s="66"/>
      <c r="E78" s="61"/>
    </row>
    <row r="79" spans="1:5" s="67" customFormat="1" ht="27.6" hidden="1" customHeight="1" x14ac:dyDescent="0.25">
      <c r="A79" s="65"/>
      <c r="B79" s="66"/>
      <c r="C79" s="66"/>
      <c r="D79" s="66"/>
      <c r="E79" s="61"/>
    </row>
    <row r="80" spans="1:5" s="67" customFormat="1" ht="27.6" hidden="1" customHeight="1" x14ac:dyDescent="0.25">
      <c r="A80" s="65"/>
      <c r="B80" s="66"/>
      <c r="C80" s="66"/>
      <c r="D80" s="66"/>
      <c r="E80" s="61"/>
    </row>
    <row r="81" spans="1:5" s="67" customFormat="1" ht="27.6" hidden="1" customHeight="1" x14ac:dyDescent="0.25">
      <c r="A81" s="65"/>
      <c r="B81" s="66"/>
      <c r="C81" s="66"/>
      <c r="D81" s="66"/>
      <c r="E81" s="61"/>
    </row>
    <row r="82" spans="1:5" s="67" customFormat="1" ht="27.6" hidden="1" customHeight="1" x14ac:dyDescent="0.25">
      <c r="A82" s="65"/>
      <c r="B82" s="66"/>
      <c r="C82" s="66"/>
      <c r="D82" s="66"/>
      <c r="E82" s="61"/>
    </row>
    <row r="83" spans="1:5" s="67" customFormat="1" ht="27.6" hidden="1" customHeight="1" x14ac:dyDescent="0.25">
      <c r="A83" s="65"/>
      <c r="B83" s="66"/>
      <c r="C83" s="66"/>
      <c r="D83" s="66"/>
      <c r="E83" s="61"/>
    </row>
    <row r="84" spans="1:5" s="67" customFormat="1" ht="27.6" hidden="1" customHeight="1" x14ac:dyDescent="0.25">
      <c r="A84" s="65"/>
      <c r="B84" s="66"/>
      <c r="C84" s="66"/>
      <c r="D84" s="66"/>
      <c r="E84" s="61"/>
    </row>
    <row r="85" spans="1:5" s="67" customFormat="1" ht="27.6" hidden="1" customHeight="1" x14ac:dyDescent="0.25">
      <c r="A85" s="65"/>
      <c r="B85" s="66"/>
      <c r="C85" s="66"/>
      <c r="D85" s="66"/>
      <c r="E85" s="61"/>
    </row>
    <row r="86" spans="1:5" s="67" customFormat="1" ht="27.6" hidden="1" customHeight="1" x14ac:dyDescent="0.25">
      <c r="A86" s="65"/>
      <c r="B86" s="66"/>
      <c r="C86" s="66"/>
      <c r="D86" s="66"/>
      <c r="E86" s="61"/>
    </row>
    <row r="87" spans="1:5" s="67" customFormat="1" ht="27.6" hidden="1" customHeight="1" x14ac:dyDescent="0.25">
      <c r="A87" s="65"/>
      <c r="B87" s="66"/>
      <c r="C87" s="66"/>
      <c r="D87" s="66"/>
      <c r="E87" s="61"/>
    </row>
    <row r="88" spans="1:5" s="67" customFormat="1" ht="27.6" hidden="1" customHeight="1" x14ac:dyDescent="0.25">
      <c r="A88" s="65"/>
      <c r="B88" s="66"/>
      <c r="C88" s="66"/>
      <c r="D88" s="66"/>
      <c r="E88" s="61"/>
    </row>
    <row r="89" spans="1:5" s="67" customFormat="1" ht="27.6" hidden="1" customHeight="1" x14ac:dyDescent="0.25">
      <c r="A89" s="65"/>
      <c r="B89" s="66"/>
      <c r="C89" s="66"/>
      <c r="D89" s="66"/>
      <c r="E89" s="61"/>
    </row>
    <row r="90" spans="1:5" s="67" customFormat="1" ht="27.6" hidden="1" customHeight="1" x14ac:dyDescent="0.25">
      <c r="A90" s="65"/>
      <c r="B90" s="66"/>
      <c r="C90" s="66"/>
      <c r="D90" s="66"/>
      <c r="E90" s="61"/>
    </row>
    <row r="91" spans="1:5" s="67" customFormat="1" ht="27.6" hidden="1" customHeight="1" x14ac:dyDescent="0.25">
      <c r="A91" s="65"/>
      <c r="B91" s="66"/>
      <c r="C91" s="66"/>
      <c r="D91" s="66"/>
      <c r="E91" s="61"/>
    </row>
    <row r="92" spans="1:5" s="67" customFormat="1" ht="27.6" hidden="1" customHeight="1" x14ac:dyDescent="0.25">
      <c r="A92" s="65"/>
      <c r="B92" s="66"/>
      <c r="C92" s="66"/>
      <c r="D92" s="66"/>
      <c r="E92" s="61"/>
    </row>
    <row r="93" spans="1:5" s="67" customFormat="1" ht="27.6" hidden="1" customHeight="1" x14ac:dyDescent="0.25">
      <c r="A93" s="65"/>
      <c r="B93" s="66"/>
      <c r="C93" s="66"/>
      <c r="D93" s="66"/>
      <c r="E93" s="61"/>
    </row>
    <row r="94" spans="1:5" s="67" customFormat="1" ht="27.6" hidden="1" customHeight="1" x14ac:dyDescent="0.25">
      <c r="A94" s="65"/>
      <c r="B94" s="66"/>
      <c r="C94" s="66"/>
      <c r="D94" s="66"/>
      <c r="E94" s="61"/>
    </row>
    <row r="95" spans="1:5" s="67" customFormat="1" ht="27.6" hidden="1" customHeight="1" x14ac:dyDescent="0.25">
      <c r="A95" s="65"/>
      <c r="B95" s="66"/>
      <c r="C95" s="66"/>
      <c r="D95" s="66"/>
      <c r="E95" s="61"/>
    </row>
    <row r="96" spans="1:5" s="67" customFormat="1" ht="27.6" hidden="1" customHeight="1" x14ac:dyDescent="0.25">
      <c r="A96" s="65"/>
      <c r="B96" s="66"/>
      <c r="C96" s="66"/>
      <c r="D96" s="66"/>
      <c r="E96" s="61"/>
    </row>
    <row r="97" spans="1:5" s="67" customFormat="1" ht="27.6" hidden="1" customHeight="1" x14ac:dyDescent="0.25">
      <c r="A97" s="65"/>
      <c r="B97" s="66"/>
      <c r="C97" s="66"/>
      <c r="D97" s="66"/>
      <c r="E97" s="61"/>
    </row>
    <row r="98" spans="1:5" s="67" customFormat="1" ht="27.6" hidden="1" customHeight="1" x14ac:dyDescent="0.25">
      <c r="A98" s="65"/>
      <c r="B98" s="66"/>
      <c r="C98" s="66"/>
      <c r="D98" s="66"/>
      <c r="E98" s="61"/>
    </row>
    <row r="99" spans="1:5" s="67" customFormat="1" ht="27.6" hidden="1" customHeight="1" x14ac:dyDescent="0.25">
      <c r="A99" s="65"/>
      <c r="B99" s="66"/>
      <c r="C99" s="66"/>
      <c r="D99" s="66"/>
      <c r="E99" s="61"/>
    </row>
    <row r="100" spans="1:5" s="67" customFormat="1" ht="27.6" hidden="1" customHeight="1" x14ac:dyDescent="0.25">
      <c r="A100" s="65"/>
      <c r="B100" s="66"/>
      <c r="C100" s="66"/>
      <c r="D100" s="66"/>
      <c r="E100" s="61"/>
    </row>
    <row r="101" spans="1:5" s="67" customFormat="1" ht="27.6" hidden="1" customHeight="1" x14ac:dyDescent="0.25">
      <c r="A101" s="65"/>
      <c r="B101" s="66"/>
      <c r="C101" s="66"/>
      <c r="D101" s="66"/>
      <c r="E101" s="61"/>
    </row>
    <row r="102" spans="1:5" s="67" customFormat="1" ht="27.6" hidden="1" customHeight="1" x14ac:dyDescent="0.25">
      <c r="A102" s="65"/>
      <c r="B102" s="66"/>
      <c r="C102" s="66"/>
      <c r="D102" s="66"/>
      <c r="E102" s="61"/>
    </row>
    <row r="103" spans="1:5" s="67" customFormat="1" ht="27.6" hidden="1" customHeight="1" x14ac:dyDescent="0.25">
      <c r="A103" s="65"/>
      <c r="B103" s="66"/>
      <c r="C103" s="66"/>
      <c r="D103" s="66"/>
      <c r="E103" s="61"/>
    </row>
    <row r="104" spans="1:5" s="67" customFormat="1" ht="27.6" hidden="1" customHeight="1" x14ac:dyDescent="0.25">
      <c r="A104" s="65"/>
      <c r="B104" s="66"/>
      <c r="C104" s="66"/>
      <c r="D104" s="66"/>
      <c r="E104" s="61"/>
    </row>
    <row r="105" spans="1:5" s="67" customFormat="1" ht="27.6" hidden="1" customHeight="1" x14ac:dyDescent="0.25">
      <c r="A105" s="65"/>
      <c r="B105" s="66"/>
      <c r="C105" s="66"/>
      <c r="D105" s="66"/>
      <c r="E105" s="61"/>
    </row>
    <row r="106" spans="1:5" s="67" customFormat="1" ht="27.6" hidden="1" customHeight="1" x14ac:dyDescent="0.25">
      <c r="A106" s="65"/>
      <c r="B106" s="66"/>
      <c r="C106" s="66"/>
      <c r="D106" s="66"/>
      <c r="E106" s="61"/>
    </row>
    <row r="107" spans="1:5" s="67" customFormat="1" ht="27.6" hidden="1" customHeight="1" x14ac:dyDescent="0.25">
      <c r="A107" s="65"/>
      <c r="B107" s="66"/>
      <c r="C107" s="66"/>
      <c r="D107" s="66"/>
      <c r="E107" s="61"/>
    </row>
    <row r="108" spans="1:5" s="67" customFormat="1" ht="27.6" hidden="1" customHeight="1" x14ac:dyDescent="0.25">
      <c r="A108" s="65"/>
      <c r="B108" s="66"/>
      <c r="C108" s="66"/>
      <c r="D108" s="66"/>
      <c r="E108" s="61"/>
    </row>
    <row r="109" spans="1:5" s="67" customFormat="1" ht="27.6" hidden="1" customHeight="1" x14ac:dyDescent="0.25">
      <c r="A109" s="65"/>
      <c r="B109" s="66"/>
      <c r="C109" s="66"/>
      <c r="D109" s="66"/>
      <c r="E109" s="61"/>
    </row>
    <row r="110" spans="1:5" s="67" customFormat="1" ht="27.6" hidden="1" customHeight="1" x14ac:dyDescent="0.25">
      <c r="A110" s="65"/>
      <c r="B110" s="66"/>
      <c r="C110" s="66"/>
      <c r="D110" s="66"/>
      <c r="E110" s="61"/>
    </row>
    <row r="111" spans="1:5" s="67" customFormat="1" ht="27.6" hidden="1" customHeight="1" x14ac:dyDescent="0.25">
      <c r="A111" s="65"/>
      <c r="B111" s="66"/>
      <c r="C111" s="66"/>
      <c r="D111" s="66"/>
      <c r="E111" s="61"/>
    </row>
    <row r="112" spans="1:5" s="67" customFormat="1" ht="27.6" hidden="1" customHeight="1" x14ac:dyDescent="0.25">
      <c r="A112" s="65"/>
      <c r="B112" s="66"/>
      <c r="C112" s="66"/>
      <c r="D112" s="66"/>
      <c r="E112" s="61"/>
    </row>
    <row r="113" spans="1:5" s="67" customFormat="1" ht="27.6" hidden="1" customHeight="1" x14ac:dyDescent="0.25">
      <c r="A113" s="65"/>
      <c r="B113" s="66"/>
      <c r="C113" s="66"/>
      <c r="D113" s="66"/>
      <c r="E113" s="61"/>
    </row>
    <row r="114" spans="1:5" s="67" customFormat="1" ht="27.6" hidden="1" customHeight="1" x14ac:dyDescent="0.25">
      <c r="A114" s="65"/>
      <c r="B114" s="66"/>
      <c r="C114" s="66"/>
      <c r="D114" s="66"/>
      <c r="E114" s="61"/>
    </row>
    <row r="115" spans="1:5" s="67" customFormat="1" ht="27.6" hidden="1" customHeight="1" x14ac:dyDescent="0.25">
      <c r="A115" s="65"/>
      <c r="B115" s="66"/>
      <c r="C115" s="66"/>
      <c r="D115" s="66"/>
      <c r="E115" s="61"/>
    </row>
    <row r="116" spans="1:5" s="67" customFormat="1" ht="27.6" hidden="1" customHeight="1" x14ac:dyDescent="0.25">
      <c r="A116" s="65"/>
      <c r="B116" s="66"/>
      <c r="C116" s="66"/>
      <c r="D116" s="66"/>
      <c r="E116" s="61"/>
    </row>
    <row r="117" spans="1:5" s="67" customFormat="1" ht="27.6" hidden="1" customHeight="1" x14ac:dyDescent="0.25">
      <c r="A117" s="65"/>
      <c r="B117" s="66"/>
      <c r="C117" s="66"/>
      <c r="D117" s="66"/>
      <c r="E117" s="61"/>
    </row>
    <row r="118" spans="1:5" s="67" customFormat="1" ht="27.6" hidden="1" customHeight="1" x14ac:dyDescent="0.25">
      <c r="A118" s="65"/>
      <c r="B118" s="66"/>
      <c r="C118" s="66"/>
      <c r="D118" s="66"/>
      <c r="E118" s="61"/>
    </row>
    <row r="119" spans="1:5" s="67" customFormat="1" ht="27.6" hidden="1" customHeight="1" x14ac:dyDescent="0.25">
      <c r="A119" s="65"/>
      <c r="B119" s="66"/>
      <c r="C119" s="66"/>
      <c r="D119" s="66"/>
      <c r="E119" s="61"/>
    </row>
    <row r="120" spans="1:5" s="67" customFormat="1" ht="27.6" hidden="1" customHeight="1" x14ac:dyDescent="0.25">
      <c r="A120" s="65"/>
      <c r="B120" s="66"/>
      <c r="C120" s="66"/>
      <c r="D120" s="66"/>
      <c r="E120" s="61"/>
    </row>
    <row r="121" spans="1:5" s="67" customFormat="1" ht="27.6" hidden="1" customHeight="1" x14ac:dyDescent="0.25">
      <c r="A121" s="65"/>
      <c r="B121" s="66"/>
      <c r="C121" s="66"/>
      <c r="D121" s="66"/>
      <c r="E121" s="61"/>
    </row>
    <row r="122" spans="1:5" s="67" customFormat="1" ht="27.6" hidden="1" customHeight="1" x14ac:dyDescent="0.25">
      <c r="A122" s="65"/>
      <c r="B122" s="66"/>
      <c r="C122" s="66"/>
      <c r="D122" s="66"/>
      <c r="E122" s="61"/>
    </row>
    <row r="123" spans="1:5" s="67" customFormat="1" ht="27.6" hidden="1" customHeight="1" x14ac:dyDescent="0.25">
      <c r="A123" s="65"/>
      <c r="B123" s="66"/>
      <c r="C123" s="66"/>
      <c r="D123" s="66"/>
      <c r="E123" s="61"/>
    </row>
  </sheetData>
  <sheetProtection algorithmName="SHA-512" hashValue="L0RcOBb+7A9oUPkByfRkwWOJY50W5Wo/SRRRr0tLa5GKPmroktcZvvi6C/0N9ZXnFeKRi2GgGJdsnDJrwU0MhQ==" saltValue="wfvG8NMJk9ZUaiWQK8lfnw==" spinCount="100000" sheet="1" objects="1" scenarios="1" sort="0" autoFilter="0"/>
  <mergeCells count="2">
    <mergeCell ref="B1:C1"/>
    <mergeCell ref="D1:E1"/>
  </mergeCells>
  <conditionalFormatting sqref="A10:A123">
    <cfRule type="duplicateValues" dxfId="11" priority="2"/>
  </conditionalFormatting>
  <conditionalFormatting sqref="A3:D3">
    <cfRule type="cellIs" dxfId="10" priority="1" operator="equal">
      <formula>0</formula>
    </cfRule>
  </conditionalFormatting>
  <conditionalFormatting sqref="E10:E123">
    <cfRule type="cellIs" dxfId="9" priority="3" operator="equal">
      <formula>"F"</formula>
    </cfRule>
    <cfRule type="cellIs" dxfId="8" priority="4" operator="equal">
      <formula>"FAIL"</formula>
    </cfRule>
    <cfRule type="cellIs" dxfId="7" priority="5" operator="equal">
      <formula>"P"</formula>
    </cfRule>
    <cfRule type="cellIs" dxfId="6" priority="6" operator="equal">
      <formula>"PASS"</formula>
    </cfRule>
  </conditionalFormatting>
  <hyperlinks>
    <hyperlink ref="B1" location="INDEX!A1" display="RETURN TO INDEX" xr:uid="{A94DAFE0-9020-4377-BD06-5BBBB97164E4}"/>
    <hyperlink ref="D1:E1" location="'QCI Sample Selection'!A1" display="QCI SAMPLE SELECTION" xr:uid="{065CE927-5FBA-4692-BAD9-710AF1D9C21A}"/>
  </hyperlinks>
  <printOptions horizontalCentered="1" verticalCentered="1"/>
  <pageMargins left="0.25" right="0.25" top="0.75" bottom="0.75" header="0.3" footer="0.3"/>
  <pageSetup scale="27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1716-BE35-4BE4-BDAB-D1BBE98C816C}">
  <sheetPr>
    <tabColor theme="4" tint="-0.249977111117893"/>
  </sheetPr>
  <dimension ref="A1:K54"/>
  <sheetViews>
    <sheetView workbookViewId="0">
      <pane ySplit="9" topLeftCell="A10" activePane="bottomLeft" state="frozen"/>
      <selection activeCell="D250" sqref="D250"/>
      <selection pane="bottomLeft" activeCell="B4" sqref="B4"/>
    </sheetView>
  </sheetViews>
  <sheetFormatPr defaultColWidth="0" defaultRowHeight="15" customHeight="1" zeroHeight="1" x14ac:dyDescent="0.25"/>
  <cols>
    <col min="1" max="1" width="27.5703125" customWidth="1"/>
    <col min="2" max="2" width="21.5703125" customWidth="1"/>
    <col min="3" max="3" width="17.7109375" customWidth="1"/>
    <col min="4" max="4" width="14.7109375" bestFit="1" customWidth="1"/>
    <col min="5" max="5" width="15" customWidth="1"/>
    <col min="6" max="6" width="9.140625" hidden="1" customWidth="1"/>
    <col min="7" max="11" width="0" hidden="1" customWidth="1"/>
    <col min="12" max="16384" width="9.140625" hidden="1"/>
  </cols>
  <sheetData>
    <row r="1" spans="1:5" s="69" customFormat="1" ht="27.75" customHeight="1" x14ac:dyDescent="0.25">
      <c r="A1" s="68" t="s">
        <v>86</v>
      </c>
      <c r="B1" s="75" t="s">
        <v>1</v>
      </c>
      <c r="C1" s="75"/>
      <c r="D1" s="75" t="s">
        <v>2</v>
      </c>
      <c r="E1" s="75"/>
    </row>
    <row r="2" spans="1:5" ht="15.75" x14ac:dyDescent="0.25">
      <c r="A2" s="39" t="s">
        <v>100</v>
      </c>
      <c r="B2" s="40" t="s">
        <v>101</v>
      </c>
      <c r="C2" s="40" t="s">
        <v>102</v>
      </c>
      <c r="D2" s="40" t="s">
        <v>103</v>
      </c>
      <c r="E2" s="6"/>
    </row>
    <row r="3" spans="1:5" ht="18.75" x14ac:dyDescent="0.25">
      <c r="A3" s="42" t="s">
        <v>104</v>
      </c>
      <c r="B3" s="43" t="s">
        <v>104</v>
      </c>
      <c r="C3" s="43"/>
      <c r="D3" s="43">
        <v>2347</v>
      </c>
      <c r="E3" s="43"/>
    </row>
    <row r="4" spans="1:5" ht="27.6" customHeight="1" x14ac:dyDescent="0.35">
      <c r="A4" s="44" t="str">
        <f>"N= " &amp; COUNT($A$10:$A$54)</f>
        <v>N= 45</v>
      </c>
      <c r="B4" s="45" t="s">
        <v>87</v>
      </c>
      <c r="C4" s="46"/>
      <c r="D4" s="70"/>
      <c r="E4" s="71"/>
    </row>
    <row r="5" spans="1:5" ht="27.6" customHeight="1" x14ac:dyDescent="0.4">
      <c r="A5" s="48" t="str">
        <f>IF(COUNT($A$11:$A$54)=COUNTIF($E$11:$E$54,"PASS"),"PASS","FAIL")</f>
        <v>PASS</v>
      </c>
      <c r="B5" s="45" t="s">
        <v>88</v>
      </c>
      <c r="C5" s="49">
        <v>45330.5625</v>
      </c>
      <c r="D5" s="70"/>
      <c r="E5" s="70"/>
    </row>
    <row r="6" spans="1:5" ht="27.6" customHeight="1" x14ac:dyDescent="0.25">
      <c r="A6" s="55"/>
      <c r="B6" s="55" t="s">
        <v>89</v>
      </c>
      <c r="C6" s="55" t="s">
        <v>90</v>
      </c>
      <c r="D6" s="55" t="s">
        <v>91</v>
      </c>
      <c r="E6" s="55" t="s">
        <v>92</v>
      </c>
    </row>
    <row r="7" spans="1:5" ht="27.6" customHeight="1" x14ac:dyDescent="0.25">
      <c r="A7" s="55"/>
      <c r="B7" s="55" t="s">
        <v>93</v>
      </c>
      <c r="C7" s="55" t="s">
        <v>94</v>
      </c>
      <c r="D7" s="55" t="s">
        <v>95</v>
      </c>
      <c r="E7" s="55" t="s">
        <v>85</v>
      </c>
    </row>
    <row r="8" spans="1:5" ht="27.6" customHeight="1" x14ac:dyDescent="0.25">
      <c r="A8" s="55" t="s">
        <v>96</v>
      </c>
      <c r="B8" s="55" t="s">
        <v>97</v>
      </c>
      <c r="C8" s="55" t="s">
        <v>97</v>
      </c>
      <c r="D8" s="55" t="s">
        <v>98</v>
      </c>
      <c r="E8" s="55"/>
    </row>
    <row r="9" spans="1:5" ht="27.6" customHeight="1" x14ac:dyDescent="0.25">
      <c r="A9" s="55" t="s">
        <v>99</v>
      </c>
      <c r="B9" s="72">
        <v>999.99997199999996</v>
      </c>
      <c r="C9" s="72">
        <v>599.99999400000002</v>
      </c>
      <c r="D9" s="72">
        <v>2.2000000000000002</v>
      </c>
      <c r="E9" s="55"/>
    </row>
    <row r="10" spans="1:5" ht="27.6" customHeight="1" x14ac:dyDescent="0.25">
      <c r="A10" s="59">
        <v>4</v>
      </c>
      <c r="B10" s="73">
        <v>947.19998499999997</v>
      </c>
      <c r="C10" s="73">
        <v>12.8</v>
      </c>
      <c r="D10" s="73">
        <v>1.4976</v>
      </c>
      <c r="E10" s="60" t="str">
        <f>IF(AND(B10&lt;&gt;"",B10&lt;=B$9,C10&lt;&gt;"",C10&lt;=C$9,D10&lt;&gt;"",D10&lt;=D$9),"PASS","FAIL")</f>
        <v>PASS</v>
      </c>
    </row>
    <row r="11" spans="1:5" ht="27.6" customHeight="1" x14ac:dyDescent="0.25">
      <c r="A11" s="59">
        <v>8</v>
      </c>
      <c r="B11" s="73">
        <v>723.2</v>
      </c>
      <c r="C11" s="73">
        <v>166.40000499999999</v>
      </c>
      <c r="D11" s="73">
        <v>1.5232000000000001</v>
      </c>
      <c r="E11" s="60" t="str">
        <f t="shared" ref="E11:E54" si="0">IF(AND(B11&lt;&gt;"",B11&lt;=B$9,C11&lt;&gt;"",C11&lt;=C$9,D11&lt;&gt;"",D11&lt;=D$9),"PASS","FAIL")</f>
        <v>PASS</v>
      </c>
    </row>
    <row r="12" spans="1:5" ht="27.6" customHeight="1" x14ac:dyDescent="0.25">
      <c r="A12" s="59">
        <v>9</v>
      </c>
      <c r="B12" s="73">
        <v>928.00000999999997</v>
      </c>
      <c r="C12" s="73">
        <v>108.799997</v>
      </c>
      <c r="D12" s="73">
        <v>1.536</v>
      </c>
      <c r="E12" s="60" t="str">
        <f t="shared" si="0"/>
        <v>PASS</v>
      </c>
    </row>
    <row r="13" spans="1:5" ht="27.6" customHeight="1" x14ac:dyDescent="0.25">
      <c r="A13" s="59">
        <v>14</v>
      </c>
      <c r="B13" s="73">
        <v>735.99998300000004</v>
      </c>
      <c r="C13" s="73">
        <v>127.999999</v>
      </c>
      <c r="D13" s="73">
        <v>1.5424</v>
      </c>
      <c r="E13" s="60" t="str">
        <f t="shared" si="0"/>
        <v>PASS</v>
      </c>
    </row>
    <row r="14" spans="1:5" ht="27.6" customHeight="1" x14ac:dyDescent="0.25">
      <c r="A14" s="59">
        <v>22</v>
      </c>
      <c r="B14" s="73">
        <v>915.20002699999998</v>
      </c>
      <c r="C14" s="73">
        <v>64</v>
      </c>
      <c r="D14" s="73">
        <v>1.5871999999999999</v>
      </c>
      <c r="E14" s="60" t="str">
        <f t="shared" si="0"/>
        <v>PASS</v>
      </c>
    </row>
    <row r="15" spans="1:5" ht="27.6" customHeight="1" x14ac:dyDescent="0.25">
      <c r="A15" s="59">
        <v>25</v>
      </c>
      <c r="B15" s="73">
        <v>793.60001899999997</v>
      </c>
      <c r="C15" s="73">
        <v>121.599994</v>
      </c>
      <c r="D15" s="73">
        <v>1.5424</v>
      </c>
      <c r="E15" s="60" t="str">
        <f t="shared" si="0"/>
        <v>PASS</v>
      </c>
    </row>
    <row r="16" spans="1:5" ht="27.6" customHeight="1" x14ac:dyDescent="0.25">
      <c r="A16" s="59">
        <v>27</v>
      </c>
      <c r="B16" s="73">
        <v>895.99999600000001</v>
      </c>
      <c r="C16" s="73">
        <v>70.399997999999997</v>
      </c>
      <c r="D16" s="73">
        <v>1.5232000000000001</v>
      </c>
      <c r="E16" s="60" t="str">
        <f t="shared" si="0"/>
        <v>PASS</v>
      </c>
    </row>
    <row r="17" spans="1:5" ht="27.6" customHeight="1" x14ac:dyDescent="0.25">
      <c r="A17" s="59">
        <v>29</v>
      </c>
      <c r="B17" s="73">
        <v>716.80000800000005</v>
      </c>
      <c r="C17" s="73">
        <v>223.999999</v>
      </c>
      <c r="D17" s="73">
        <v>1.536</v>
      </c>
      <c r="E17" s="60" t="str">
        <f t="shared" si="0"/>
        <v>PASS</v>
      </c>
    </row>
    <row r="18" spans="1:5" ht="27.6" customHeight="1" x14ac:dyDescent="0.25">
      <c r="A18" s="59">
        <v>31</v>
      </c>
      <c r="B18" s="73">
        <v>812.79999399999997</v>
      </c>
      <c r="C18" s="73">
        <v>12.8</v>
      </c>
      <c r="D18" s="73">
        <v>1.5616000000000001</v>
      </c>
      <c r="E18" s="60" t="str">
        <f t="shared" si="0"/>
        <v>PASS</v>
      </c>
    </row>
    <row r="19" spans="1:5" ht="27.6" customHeight="1" x14ac:dyDescent="0.25">
      <c r="A19" s="59">
        <v>40</v>
      </c>
      <c r="B19" s="73">
        <v>908.79998000000001</v>
      </c>
      <c r="C19" s="73">
        <v>25.6</v>
      </c>
      <c r="D19" s="73">
        <v>1.5232000000000001</v>
      </c>
      <c r="E19" s="60" t="str">
        <f t="shared" si="0"/>
        <v>PASS</v>
      </c>
    </row>
    <row r="20" spans="1:5" ht="27.6" customHeight="1" x14ac:dyDescent="0.25">
      <c r="A20" s="59">
        <v>41</v>
      </c>
      <c r="B20" s="73">
        <v>883.20001300000001</v>
      </c>
      <c r="C20" s="73">
        <v>102.399998</v>
      </c>
      <c r="D20" s="73">
        <v>1.5871999999999999</v>
      </c>
      <c r="E20" s="60" t="str">
        <f t="shared" si="0"/>
        <v>PASS</v>
      </c>
    </row>
    <row r="21" spans="1:5" ht="27.6" customHeight="1" x14ac:dyDescent="0.25">
      <c r="A21" s="59">
        <v>42</v>
      </c>
      <c r="B21" s="73">
        <v>915.20002699999998</v>
      </c>
      <c r="C21" s="73">
        <v>44.800001000000002</v>
      </c>
      <c r="D21" s="73">
        <v>1.4976</v>
      </c>
      <c r="E21" s="60" t="str">
        <f t="shared" si="0"/>
        <v>PASS</v>
      </c>
    </row>
    <row r="22" spans="1:5" ht="27.6" customHeight="1" x14ac:dyDescent="0.25">
      <c r="A22" s="59">
        <v>43</v>
      </c>
      <c r="B22" s="73">
        <v>844.80000800000005</v>
      </c>
      <c r="C22" s="73">
        <v>25.6</v>
      </c>
      <c r="D22" s="73">
        <v>1.4976</v>
      </c>
      <c r="E22" s="60" t="str">
        <f t="shared" si="0"/>
        <v>PASS</v>
      </c>
    </row>
    <row r="23" spans="1:5" ht="27.6" customHeight="1" x14ac:dyDescent="0.25">
      <c r="A23" s="59">
        <v>52</v>
      </c>
      <c r="B23" s="73">
        <v>863.99998300000004</v>
      </c>
      <c r="C23" s="73">
        <v>12.8</v>
      </c>
      <c r="D23" s="73">
        <v>1.5680000000000001</v>
      </c>
      <c r="E23" s="60" t="str">
        <f t="shared" si="0"/>
        <v>PASS</v>
      </c>
    </row>
    <row r="24" spans="1:5" ht="27.6" customHeight="1" x14ac:dyDescent="0.25">
      <c r="A24" s="59">
        <v>55</v>
      </c>
      <c r="B24" s="73">
        <v>844.80000800000005</v>
      </c>
      <c r="C24" s="73">
        <v>96</v>
      </c>
      <c r="D24" s="73">
        <v>1.5551999999999999</v>
      </c>
      <c r="E24" s="60" t="str">
        <f t="shared" si="0"/>
        <v>PASS</v>
      </c>
    </row>
    <row r="25" spans="1:5" ht="27.6" customHeight="1" x14ac:dyDescent="0.25">
      <c r="A25" s="59">
        <v>58</v>
      </c>
      <c r="B25" s="73">
        <v>838.40001600000005</v>
      </c>
      <c r="C25" s="73">
        <v>64</v>
      </c>
      <c r="D25" s="73">
        <v>1.4976</v>
      </c>
      <c r="E25" s="60" t="str">
        <f t="shared" si="0"/>
        <v>PASS</v>
      </c>
    </row>
    <row r="26" spans="1:5" ht="27.6" customHeight="1" x14ac:dyDescent="0.25">
      <c r="A26" s="59">
        <v>60</v>
      </c>
      <c r="B26" s="73">
        <v>895.99999600000001</v>
      </c>
      <c r="C26" s="73">
        <v>25.6</v>
      </c>
      <c r="D26" s="73">
        <v>1.4912000000000001</v>
      </c>
      <c r="E26" s="60" t="str">
        <f t="shared" si="0"/>
        <v>PASS</v>
      </c>
    </row>
    <row r="27" spans="1:5" ht="27.6" customHeight="1" x14ac:dyDescent="0.25">
      <c r="A27" s="59">
        <v>61</v>
      </c>
      <c r="B27" s="73">
        <v>838.40001600000005</v>
      </c>
      <c r="C27" s="73">
        <v>32</v>
      </c>
      <c r="D27" s="73">
        <v>1.5424</v>
      </c>
      <c r="E27" s="60" t="str">
        <f t="shared" si="0"/>
        <v>PASS</v>
      </c>
    </row>
    <row r="28" spans="1:5" ht="27.6" customHeight="1" x14ac:dyDescent="0.25">
      <c r="A28" s="59">
        <v>63</v>
      </c>
      <c r="B28" s="73">
        <v>953.59997699999997</v>
      </c>
      <c r="C28" s="73">
        <v>64</v>
      </c>
      <c r="D28" s="73">
        <v>1.5424</v>
      </c>
      <c r="E28" s="60" t="str">
        <f t="shared" si="0"/>
        <v>PASS</v>
      </c>
    </row>
    <row r="29" spans="1:5" ht="27.6" customHeight="1" x14ac:dyDescent="0.25">
      <c r="A29" s="59">
        <v>66</v>
      </c>
      <c r="B29" s="73">
        <v>966.39995999999996</v>
      </c>
      <c r="C29" s="73">
        <v>64</v>
      </c>
      <c r="D29" s="73">
        <v>1.5104</v>
      </c>
      <c r="E29" s="60" t="str">
        <f t="shared" si="0"/>
        <v>PASS</v>
      </c>
    </row>
    <row r="30" spans="1:5" ht="27.6" customHeight="1" x14ac:dyDescent="0.25">
      <c r="A30" s="59">
        <v>67</v>
      </c>
      <c r="B30" s="73">
        <v>793.60001899999997</v>
      </c>
      <c r="C30" s="73">
        <v>147.20000200000001</v>
      </c>
      <c r="D30" s="73">
        <v>1.5488</v>
      </c>
      <c r="E30" s="60" t="str">
        <f t="shared" si="0"/>
        <v>PASS</v>
      </c>
    </row>
    <row r="31" spans="1:5" ht="27.6" customHeight="1" x14ac:dyDescent="0.25">
      <c r="A31" s="59">
        <v>68</v>
      </c>
      <c r="B31" s="73">
        <v>735.99998300000004</v>
      </c>
      <c r="C31" s="73">
        <v>249.60000700000001</v>
      </c>
      <c r="D31" s="73">
        <v>1.5424</v>
      </c>
      <c r="E31" s="60" t="str">
        <f t="shared" si="0"/>
        <v>PASS</v>
      </c>
    </row>
    <row r="32" spans="1:5" ht="27.6" customHeight="1" x14ac:dyDescent="0.25">
      <c r="A32" s="59">
        <v>69</v>
      </c>
      <c r="B32" s="73">
        <v>812.79999399999997</v>
      </c>
      <c r="C32" s="73">
        <v>83.200001999999998</v>
      </c>
      <c r="D32" s="73">
        <v>1.5167999999999999</v>
      </c>
      <c r="E32" s="60" t="str">
        <f t="shared" si="0"/>
        <v>PASS</v>
      </c>
    </row>
    <row r="33" spans="1:5" ht="27.6" customHeight="1" x14ac:dyDescent="0.25">
      <c r="A33" s="59">
        <v>70</v>
      </c>
      <c r="B33" s="73">
        <v>889.60000500000001</v>
      </c>
      <c r="C33" s="73">
        <v>38.399997999999997</v>
      </c>
      <c r="D33" s="73">
        <v>1.6</v>
      </c>
      <c r="E33" s="60" t="str">
        <f t="shared" si="0"/>
        <v>PASS</v>
      </c>
    </row>
    <row r="34" spans="1:5" ht="27.6" customHeight="1" x14ac:dyDescent="0.25">
      <c r="A34" s="59">
        <v>74</v>
      </c>
      <c r="B34" s="73">
        <v>704.00002500000005</v>
      </c>
      <c r="C34" s="73">
        <v>223.999999</v>
      </c>
      <c r="D34" s="73">
        <v>1.536</v>
      </c>
      <c r="E34" s="60" t="str">
        <f t="shared" si="0"/>
        <v>PASS</v>
      </c>
    </row>
    <row r="35" spans="1:5" ht="27.6" customHeight="1" x14ac:dyDescent="0.25">
      <c r="A35" s="59">
        <v>78</v>
      </c>
      <c r="B35" s="73">
        <v>908.79998000000001</v>
      </c>
      <c r="C35" s="73">
        <v>38.399997999999997</v>
      </c>
      <c r="D35" s="73">
        <v>1.5104</v>
      </c>
      <c r="E35" s="60" t="str">
        <f t="shared" si="0"/>
        <v>PASS</v>
      </c>
    </row>
    <row r="36" spans="1:5" ht="27.6" customHeight="1" x14ac:dyDescent="0.25">
      <c r="A36" s="59">
        <v>79</v>
      </c>
      <c r="B36" s="73">
        <v>870.39997400000004</v>
      </c>
      <c r="C36" s="73">
        <v>115.200002</v>
      </c>
      <c r="D36" s="73">
        <v>1.536</v>
      </c>
      <c r="E36" s="60" t="str">
        <f t="shared" si="0"/>
        <v>PASS</v>
      </c>
    </row>
    <row r="37" spans="1:5" ht="27.6" customHeight="1" x14ac:dyDescent="0.25">
      <c r="A37" s="59">
        <v>80</v>
      </c>
      <c r="B37" s="73">
        <v>819.19998599999997</v>
      </c>
      <c r="C37" s="73">
        <v>32</v>
      </c>
      <c r="D37" s="73">
        <v>1.536</v>
      </c>
      <c r="E37" s="60" t="str">
        <f t="shared" si="0"/>
        <v>PASS</v>
      </c>
    </row>
    <row r="38" spans="1:5" ht="27.6" customHeight="1" x14ac:dyDescent="0.25">
      <c r="A38" s="59">
        <v>82</v>
      </c>
      <c r="B38" s="73">
        <v>895.99999600000001</v>
      </c>
      <c r="C38" s="73">
        <v>64</v>
      </c>
      <c r="D38" s="73">
        <v>1.5167999999999999</v>
      </c>
      <c r="E38" s="60" t="str">
        <f t="shared" si="0"/>
        <v>PASS</v>
      </c>
    </row>
    <row r="39" spans="1:5" ht="27.6" customHeight="1" x14ac:dyDescent="0.25">
      <c r="A39" s="59">
        <v>84</v>
      </c>
      <c r="B39" s="73">
        <v>908.79998000000001</v>
      </c>
      <c r="C39" s="73">
        <v>102.399998</v>
      </c>
      <c r="D39" s="73">
        <v>1.504</v>
      </c>
      <c r="E39" s="60" t="str">
        <f t="shared" si="0"/>
        <v>PASS</v>
      </c>
    </row>
    <row r="40" spans="1:5" ht="27.6" customHeight="1" x14ac:dyDescent="0.25">
      <c r="A40" s="59">
        <v>86</v>
      </c>
      <c r="B40" s="73">
        <v>851.19999900000005</v>
      </c>
      <c r="C40" s="73">
        <v>44.800001000000002</v>
      </c>
      <c r="D40" s="73">
        <v>1.504</v>
      </c>
      <c r="E40" s="60" t="str">
        <f t="shared" si="0"/>
        <v>PASS</v>
      </c>
    </row>
    <row r="41" spans="1:5" ht="27.6" customHeight="1" x14ac:dyDescent="0.25">
      <c r="A41" s="59">
        <v>89</v>
      </c>
      <c r="B41" s="73">
        <v>755.20001400000001</v>
      </c>
      <c r="C41" s="73">
        <v>236.79999599999999</v>
      </c>
      <c r="D41" s="73">
        <v>1.5296000000000001</v>
      </c>
      <c r="E41" s="60" t="str">
        <f t="shared" si="0"/>
        <v>PASS</v>
      </c>
    </row>
    <row r="42" spans="1:5" ht="27.6" customHeight="1" x14ac:dyDescent="0.25">
      <c r="A42" s="59">
        <v>90</v>
      </c>
      <c r="B42" s="73">
        <v>895.99999600000001</v>
      </c>
      <c r="C42" s="73">
        <v>96</v>
      </c>
      <c r="D42" s="73">
        <v>1.5744</v>
      </c>
      <c r="E42" s="60" t="str">
        <f t="shared" si="0"/>
        <v>PASS</v>
      </c>
    </row>
    <row r="43" spans="1:5" ht="27.6" customHeight="1" x14ac:dyDescent="0.25">
      <c r="A43" s="59">
        <v>91</v>
      </c>
      <c r="B43" s="73">
        <v>819.19998599999997</v>
      </c>
      <c r="C43" s="73">
        <v>83.200001999999998</v>
      </c>
      <c r="D43" s="73">
        <v>1.5167999999999999</v>
      </c>
      <c r="E43" s="60" t="str">
        <f t="shared" si="0"/>
        <v>PASS</v>
      </c>
    </row>
    <row r="44" spans="1:5" ht="27.6" customHeight="1" x14ac:dyDescent="0.25">
      <c r="A44" s="59">
        <v>92</v>
      </c>
      <c r="B44" s="73">
        <v>851.19999900000005</v>
      </c>
      <c r="C44" s="73">
        <v>102.399998</v>
      </c>
      <c r="D44" s="73">
        <v>1.5616000000000001</v>
      </c>
      <c r="E44" s="60" t="str">
        <f t="shared" si="0"/>
        <v>PASS</v>
      </c>
    </row>
    <row r="45" spans="1:5" ht="27.6" customHeight="1" x14ac:dyDescent="0.25">
      <c r="A45" s="59">
        <v>94</v>
      </c>
      <c r="B45" s="73">
        <v>947.19998499999997</v>
      </c>
      <c r="C45" s="73">
        <v>108.799997</v>
      </c>
      <c r="D45" s="73">
        <v>1.5488</v>
      </c>
      <c r="E45" s="60" t="str">
        <f t="shared" si="0"/>
        <v>PASS</v>
      </c>
    </row>
    <row r="46" spans="1:5" ht="27.6" customHeight="1" x14ac:dyDescent="0.25">
      <c r="A46" s="59">
        <v>95</v>
      </c>
      <c r="B46" s="73">
        <v>704.00002500000005</v>
      </c>
      <c r="C46" s="73">
        <v>204.79999599999999</v>
      </c>
      <c r="D46" s="73">
        <v>1.5744</v>
      </c>
      <c r="E46" s="60" t="str">
        <f t="shared" si="0"/>
        <v>PASS</v>
      </c>
    </row>
    <row r="47" spans="1:5" ht="27.6" customHeight="1" x14ac:dyDescent="0.25">
      <c r="A47" s="59">
        <v>97</v>
      </c>
      <c r="B47" s="73">
        <v>851.19999900000005</v>
      </c>
      <c r="C47" s="73">
        <v>121.599994</v>
      </c>
      <c r="D47" s="73">
        <v>1.5488</v>
      </c>
      <c r="E47" s="60" t="str">
        <f t="shared" si="0"/>
        <v>PASS</v>
      </c>
    </row>
    <row r="48" spans="1:5" ht="27.6" customHeight="1" x14ac:dyDescent="0.25">
      <c r="A48" s="59">
        <v>98</v>
      </c>
      <c r="B48" s="73">
        <v>838.40001600000005</v>
      </c>
      <c r="C48" s="73">
        <v>19.199998999999998</v>
      </c>
      <c r="D48" s="73">
        <v>1.472</v>
      </c>
      <c r="E48" s="60" t="str">
        <f t="shared" si="0"/>
        <v>PASS</v>
      </c>
    </row>
    <row r="49" spans="1:5" ht="27.6" customHeight="1" x14ac:dyDescent="0.25">
      <c r="A49" s="59">
        <v>99</v>
      </c>
      <c r="B49" s="73">
        <v>697.59997799999996</v>
      </c>
      <c r="C49" s="73">
        <v>511.99999800000001</v>
      </c>
      <c r="D49" s="73">
        <v>1.5488</v>
      </c>
      <c r="E49" s="60" t="str">
        <f t="shared" si="0"/>
        <v>PASS</v>
      </c>
    </row>
    <row r="50" spans="1:5" ht="27.6" customHeight="1" x14ac:dyDescent="0.25">
      <c r="A50" s="59">
        <v>102</v>
      </c>
      <c r="B50" s="73">
        <v>902.39998800000001</v>
      </c>
      <c r="C50" s="73">
        <v>19.199998999999998</v>
      </c>
      <c r="D50" s="73">
        <v>1.5871999999999999</v>
      </c>
      <c r="E50" s="60" t="str">
        <f t="shared" si="0"/>
        <v>PASS</v>
      </c>
    </row>
    <row r="51" spans="1:5" ht="27.6" customHeight="1" x14ac:dyDescent="0.25">
      <c r="A51" s="59">
        <v>103</v>
      </c>
      <c r="B51" s="73">
        <v>767.99999700000001</v>
      </c>
      <c r="C51" s="73">
        <v>108.799997</v>
      </c>
      <c r="D51" s="73">
        <v>1.5424</v>
      </c>
      <c r="E51" s="60" t="str">
        <f t="shared" si="0"/>
        <v>PASS</v>
      </c>
    </row>
    <row r="52" spans="1:5" ht="27.6" customHeight="1" x14ac:dyDescent="0.25">
      <c r="A52" s="59">
        <v>104</v>
      </c>
      <c r="B52" s="73">
        <v>953.59997699999997</v>
      </c>
      <c r="C52" s="73">
        <v>89.600001000000006</v>
      </c>
      <c r="D52" s="73">
        <v>1.5296000000000001</v>
      </c>
      <c r="E52" s="60" t="str">
        <f t="shared" si="0"/>
        <v>PASS</v>
      </c>
    </row>
    <row r="53" spans="1:5" ht="27.6" customHeight="1" x14ac:dyDescent="0.25">
      <c r="A53" s="59">
        <v>105</v>
      </c>
      <c r="B53" s="73">
        <v>972.79995199999996</v>
      </c>
      <c r="C53" s="73">
        <v>19.199998999999998</v>
      </c>
      <c r="D53" s="73">
        <v>1.5551999999999999</v>
      </c>
      <c r="E53" s="60" t="str">
        <f t="shared" si="0"/>
        <v>PASS</v>
      </c>
    </row>
    <row r="54" spans="1:5" ht="27.6" customHeight="1" x14ac:dyDescent="0.25">
      <c r="A54" s="59">
        <v>106</v>
      </c>
      <c r="B54" s="73">
        <v>806.40000199999997</v>
      </c>
      <c r="C54" s="73">
        <v>38.399997999999997</v>
      </c>
      <c r="D54" s="73">
        <v>1.5104</v>
      </c>
      <c r="E54" s="60" t="str">
        <f t="shared" si="0"/>
        <v>PASS</v>
      </c>
    </row>
  </sheetData>
  <sheetProtection algorithmName="SHA-512" hashValue="VLb/cMaAwFpNws3kp+ZVaSJcs88k36TSPb4Z68hbKEIdz2FHnO08N8vP6IPaQVYZVEzPbsZszznih0fgfdhgwA==" saltValue="ttoIRcTg6Zowf1kq7qspnA==" spinCount="100000" sheet="1" objects="1" scenarios="1" sort="0" autoFilter="0"/>
  <mergeCells count="2">
    <mergeCell ref="B1:C1"/>
    <mergeCell ref="D1:E1"/>
  </mergeCells>
  <conditionalFormatting sqref="A10:A54">
    <cfRule type="duplicateValues" dxfId="5" priority="6"/>
  </conditionalFormatting>
  <conditionalFormatting sqref="A3:D3">
    <cfRule type="cellIs" dxfId="4" priority="1" operator="equal">
      <formula>0</formula>
    </cfRule>
  </conditionalFormatting>
  <conditionalFormatting sqref="E10:E54">
    <cfRule type="cellIs" dxfId="3" priority="2" operator="equal">
      <formula>"F"</formula>
    </cfRule>
    <cfRule type="cellIs" dxfId="2" priority="3" operator="equal">
      <formula>"FAIL"</formula>
    </cfRule>
    <cfRule type="cellIs" dxfId="1" priority="4" operator="equal">
      <formula>"P"</formula>
    </cfRule>
    <cfRule type="cellIs" dxfId="0" priority="5" operator="equal">
      <formula>"PASS"</formula>
    </cfRule>
  </conditionalFormatting>
  <hyperlinks>
    <hyperlink ref="B1" location="INDEX!A1" display="RETURN TO INDEX" xr:uid="{225ACD21-C848-4B17-B2F2-50D0E1BA9388}"/>
    <hyperlink ref="D1:E1" location="'QCI Sample Selection'!A1" display="QCI SAMPLE SELECTION" xr:uid="{04E020A1-E938-4BF7-9703-A30FA2D0AC99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A Traveler</vt:lpstr>
      <vt:lpstr>GROUP A1</vt:lpstr>
      <vt:lpstr>GROUP A2 25C</vt:lpstr>
      <vt:lpstr>GROUP A3 125C</vt:lpstr>
      <vt:lpstr>GROUP A3 -55C</vt:lpstr>
      <vt:lpstr>GROUP A7 CAPACITANCE</vt:lpstr>
      <vt:lpstr>GROUP A7 GATE 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2024-09-19T17:30:44Z</dcterms:created>
  <dcterms:modified xsi:type="dcterms:W3CDTF">2024-10-09T18:19:02Z</dcterms:modified>
</cp:coreProperties>
</file>