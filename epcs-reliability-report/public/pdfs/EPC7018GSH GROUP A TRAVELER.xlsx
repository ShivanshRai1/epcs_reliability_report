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S:\Shared With Me\Reliability\COMPREHENSIVE RELIABILITY\GROUP A\"/>
    </mc:Choice>
  </mc:AlternateContent>
  <xr:revisionPtr revIDLastSave="0" documentId="13_ncr:1_{66144180-A90B-4F7E-8768-2563AD8953F6}" xr6:coauthVersionLast="47" xr6:coauthVersionMax="47" xr10:uidLastSave="{00000000-0000-0000-0000-000000000000}"/>
  <workbookProtection workbookAlgorithmName="SHA-512" workbookHashValue="8pnB4pxr+NpsJoxXCcub7uzPg7FUYOWb6+vKAOzzokl074ivVpQ9pBHNQkDGSREMZ5t/PPJ/wuyFNo6RgWeSMQ==" workbookSaltValue="+KB430E3NBd2yrdrkm2itQ==" workbookSpinCount="100000" lockStructure="1"/>
  <bookViews>
    <workbookView xWindow="28680" yWindow="-105" windowWidth="29040" windowHeight="16440" xr2:uid="{5D439E46-0E32-491D-803E-36151A0CBA1E}"/>
  </bookViews>
  <sheets>
    <sheet name="Group A Traveler" sheetId="1" r:id="rId1"/>
    <sheet name="GROUP A1" sheetId="2" r:id="rId2"/>
    <sheet name="GROUP A2 25C" sheetId="3" r:id="rId3"/>
    <sheet name="GROUP A3 125C" sheetId="4" r:id="rId4"/>
    <sheet name="GROUP A3 -55C" sheetId="5" r:id="rId5"/>
    <sheet name="GROUP A7 CAPACITANCE" sheetId="6" r:id="rId6"/>
    <sheet name="GROUP A7 GATE CHARGE" sheetId="7" r:id="rId7"/>
  </sheets>
  <definedNames>
    <definedName name="_xlnm._FilterDatabase" localSheetId="2" hidden="1">'GROUP A2 25C'!$A$10:$S$126</definedName>
    <definedName name="_xlnm._FilterDatabase" localSheetId="3" hidden="1">'GROUP A3 125C'!$A$10:$R$126</definedName>
    <definedName name="_xlnm._FilterDatabase" localSheetId="4" hidden="1">'GROUP A3 -55C'!$A$13:$H$129</definedName>
    <definedName name="_xlnm._FilterDatabase" localSheetId="5" hidden="1">'GROUP A7 CAPACITANCE'!$A$10:$E$10</definedName>
    <definedName name="DELTA_HTGB">#REF!</definedName>
    <definedName name="DELTA_HTGB_IDSS">#REF!</definedName>
    <definedName name="DELTA_HTGB_IGSSF">#REF!</definedName>
    <definedName name="DELTA_HTGB_IGSSR">#REF!</definedName>
    <definedName name="DELTA_HTGB_NAME">#REF!</definedName>
    <definedName name="DELTA_HTGB_RDSON">#REF!</definedName>
    <definedName name="DELTA_HTGB_VTH">#REF!</definedName>
    <definedName name="DELTA_HTRB">#REF!</definedName>
    <definedName name="DELTA_HTRB_IDSS">#REF!</definedName>
    <definedName name="DELTA_HTRB_IGSSF">#REF!</definedName>
    <definedName name="DELTA_HTRB_IGSSR">#REF!</definedName>
    <definedName name="DELTA_HTRB_NAME">#REF!</definedName>
    <definedName name="DELTA_HTRB_RDSON">#REF!</definedName>
    <definedName name="DELTA_HTRB_VTH">#REF!</definedName>
    <definedName name="DRDON_OOF_FINAL_POS">#REF!</definedName>
    <definedName name="DRDON_OOF_FINAL_REQ">#REF!</definedName>
    <definedName name="HTGB_PDA">#REF!</definedName>
    <definedName name="HTRB_PDA">#REF!</definedName>
    <definedName name="IDSS_125">#REF!</definedName>
    <definedName name="IDSS_25">#REF!</definedName>
    <definedName name="IDSS_COLD_OOF_POS">#REF!</definedName>
    <definedName name="IDSS_COLD_OOF_REQ">#REF!</definedName>
    <definedName name="IDSS_DELTA_LIMIT_HTGB">#REF!</definedName>
    <definedName name="IDSS_DELTA_LIMIT_HTRB">#REF!</definedName>
    <definedName name="IDSS_FINAL_OOF_POS">#REF!</definedName>
    <definedName name="IDSS_FINAL_OOF_REQ">#REF!</definedName>
    <definedName name="IDSS_HOT_OOF_POS">#REF!</definedName>
    <definedName name="IDSS_HOT_OOF_REQ">#REF!</definedName>
    <definedName name="IDSS_HTGB_REQ">#REF!</definedName>
    <definedName name="IDSS_HTRB_OOF_POS">#REF!</definedName>
    <definedName name="IDSS_HTRB_OOF_REQ">#REF!</definedName>
    <definedName name="IDSS_HTRB_REQ">#REF!</definedName>
    <definedName name="IDSS_PERCENTAGE_HTGB">#REF!</definedName>
    <definedName name="IDSS_PERCENTAGE_HTRB">#REF!</definedName>
    <definedName name="IDSS_POST_HTGB_OOF_POS">#REF!</definedName>
    <definedName name="IDSS_POST_HTGB_OOF_REQ">#REF!</definedName>
    <definedName name="IDSS_PRE_HTGB_OOF_POS">#REF!</definedName>
    <definedName name="IDSS_PRE_HTGB_OOF_REQ">#REF!</definedName>
    <definedName name="IGSSF1_125">#REF!</definedName>
    <definedName name="IGSSF1_25">#REF!</definedName>
    <definedName name="IGSSF1_COLD_OOF_POS">#REF!</definedName>
    <definedName name="IGSSF1_COLD_OOF_REQ">#REF!</definedName>
    <definedName name="IGSSF1_DELTA_LIMIT_HTGB">#REF!</definedName>
    <definedName name="IGSSF1_DELTA_LIMIT_HTRB">#REF!</definedName>
    <definedName name="IGSSF1_FINAL_OOF_POS">#REF!</definedName>
    <definedName name="IGSSF1_FINAL_OOF_REQ">#REF!</definedName>
    <definedName name="IGSSF1_HOT_FINAL_OOF_LIMIT">#REF!</definedName>
    <definedName name="IGSSF1_HOT_FINAL_OOF_POS">#REF!</definedName>
    <definedName name="IGSSF1_HOT_FINAL_OOF_REQ">#REF!</definedName>
    <definedName name="IGSSF1_HOT_OOF_POS">#REF!</definedName>
    <definedName name="IGSSF1_HOT_OOF_REQ">#REF!</definedName>
    <definedName name="IGSSF1_HTGB_REQ">#REF!</definedName>
    <definedName name="IGSSF1_HTRB_OOF_POS">#REF!</definedName>
    <definedName name="IGSSF1_HTRB_OOF_REQ">#REF!</definedName>
    <definedName name="IGSSF1_HTRB_REQ">#REF!</definedName>
    <definedName name="IGSSF1_PERCENTAGE_HTGB">#REF!</definedName>
    <definedName name="IGSSF1_PERCENTAGE_HTRB">#REF!</definedName>
    <definedName name="IGSSF1_POST_HTGB_OOF_POS">#REF!</definedName>
    <definedName name="IGSSF1_POST_HTGB_OOF_REQ">#REF!</definedName>
    <definedName name="IGSSF1_PRE_HTGB_OOF_POS">#REF!</definedName>
    <definedName name="IGSSF1_PRE_HTGB_OOF_REQ">#REF!</definedName>
    <definedName name="IGSSF2_125">#REF!</definedName>
    <definedName name="IGSSF2_25">#REF!</definedName>
    <definedName name="IGSSF2_COLD_OOF_POS">#REF!</definedName>
    <definedName name="IGSSF2_COLD_OOF_REQ">#REF!</definedName>
    <definedName name="IGSSF2_FINAL_OOF_POS">#REF!</definedName>
    <definedName name="IGSSF2_FINAL_OOF_REQ">#REF!</definedName>
    <definedName name="IGSSF2_HOT_OOF_POS">#REF!</definedName>
    <definedName name="IGSSF2_HOT_OOF_REQ">#REF!</definedName>
    <definedName name="IGSSF2_HTRB_OOF_POS">#REF!</definedName>
    <definedName name="IGSSF2_HTRB_OOF_REQ">#REF!</definedName>
    <definedName name="IGSSF2_POST_HTGB_OOF_POS">#REF!</definedName>
    <definedName name="IGSSF2_POST_HTGB_OOF_REQ">#REF!</definedName>
    <definedName name="IGSSF2_PRE_HTGB_OOF_POS">#REF!</definedName>
    <definedName name="IGSSF2_PRE_HTGB_OOF_REQ">#REF!</definedName>
    <definedName name="IGSSR_125">#REF!</definedName>
    <definedName name="IGSSR_25">#REF!</definedName>
    <definedName name="IGSSR_COLD_OOF_POS">#REF!</definedName>
    <definedName name="IGSSR_COLD_OOF_REQ">#REF!</definedName>
    <definedName name="IGSSR_DELTA_LIMIT_HTGB">#REF!</definedName>
    <definedName name="IGSSR_DELTA_LIMIT_HTRB">#REF!</definedName>
    <definedName name="IGSSR_FINAL_OOF_POS">#REF!</definedName>
    <definedName name="IGSSR_FINAL_OOF_REQ">#REF!</definedName>
    <definedName name="IGSSR_HOT_OOF_POS">#REF!</definedName>
    <definedName name="IGSSR_HOT_OOF_REQ">#REF!</definedName>
    <definedName name="IGSSR_HTGB_REQ">#REF!</definedName>
    <definedName name="IGSSR_HTRB_OOF_POS">#REF!</definedName>
    <definedName name="IGSSR_HTRB_OOF_REQ">#REF!</definedName>
    <definedName name="IGSSR_HTRB_REQ">#REF!</definedName>
    <definedName name="IGSSR_PERCENTAGE_HTGB">#REF!</definedName>
    <definedName name="IGSSR_PERCENTAGE_HTRB">#REF!</definedName>
    <definedName name="IGSSR_POST_HTGB_OOF_POS">#REF!</definedName>
    <definedName name="IGSSR_POST_HTGB_OOF_REQ">#REF!</definedName>
    <definedName name="IGSSR_PRE_HTGB_OOF_POS">#REF!</definedName>
    <definedName name="IGSSR_PRE_HTGB_OOF_REQ">#REF!</definedName>
    <definedName name="PDA_MAX">#REF!</definedName>
    <definedName name="POST_HTGB_HTGB">#REF!</definedName>
    <definedName name="POST_HTRB_HTRB">#REF!</definedName>
    <definedName name="PRE_HTGB_HTGB">#REF!</definedName>
    <definedName name="PRE_HTGB_HTRB">#REF!</definedName>
    <definedName name="RDSON_125">#REF!</definedName>
    <definedName name="RDSON_25">#REF!</definedName>
    <definedName name="RDSON_COLD_OOF_POS">#REF!</definedName>
    <definedName name="RDSON_COLD_OOF_REQ">#REF!</definedName>
    <definedName name="RDSON_DELTA_LIMIT_HTGB">#REF!</definedName>
    <definedName name="RDSON_DELTA_LIMIY_HTRB">#REF!</definedName>
    <definedName name="RDSON_FINAL_OOF_POS">#REF!</definedName>
    <definedName name="RDSON_FINAL_OOF_REQ">#REF!</definedName>
    <definedName name="RDSON_HOT_OOF_POS">#REF!</definedName>
    <definedName name="RDSON_HOT_OOF_REQ">#REF!</definedName>
    <definedName name="RDSON_HTGB_REQ">#REF!</definedName>
    <definedName name="RDSON_HTRB_OOF_POS">#REF!</definedName>
    <definedName name="RDSON_HTRB_OOF_REQ">#REF!</definedName>
    <definedName name="RDSON_HTRB_REQ">#REF!</definedName>
    <definedName name="RDSON_PERCENTAGE_HTGB">#REF!</definedName>
    <definedName name="RDSON_PERCENTAGE_HTRB">#REF!</definedName>
    <definedName name="RDSON_POST_HTGB_OOF_POS">#REF!</definedName>
    <definedName name="RDSON_POST_HTGB_OOF_REQ">#REF!</definedName>
    <definedName name="RDSON_PRE_HTGB_OOF_POS">#REF!</definedName>
    <definedName name="RDSON_PRE_HTGB_OOF_REQ">#REF!</definedName>
    <definedName name="VTH_125">#REF!</definedName>
    <definedName name="VTH_25">#REF!</definedName>
    <definedName name="VTH_55">#REF!</definedName>
    <definedName name="VTH_COLD_OOF_POS">#REF!</definedName>
    <definedName name="VTH_COLD_OOF_REQ">#REF!</definedName>
    <definedName name="VTH_DELTA_LIMIT_HTGB">#REF!</definedName>
    <definedName name="VTH_DELTA_LIMIT_HTRB">#REF!</definedName>
    <definedName name="VTH_FINAL_OOF_POS">#REF!</definedName>
    <definedName name="VTH_FINAL_OOF_REQ">#REF!</definedName>
    <definedName name="VTH_HOT_OOF_POS">#REF!</definedName>
    <definedName name="VTH_HOT_OOF_REQ">#REF!</definedName>
    <definedName name="VTH_HTGB_REQ">#REF!</definedName>
    <definedName name="VTH_HTRB_OOF_POS">#REF!</definedName>
    <definedName name="VTH_HTRB_OOF_REQ">#REF!</definedName>
    <definedName name="VTH_HTRB_REQ">#REF!</definedName>
    <definedName name="VTH_PERCENTAGE_HTGB">#REF!</definedName>
    <definedName name="VTH_PERCENTAGE_HTRB">#REF!</definedName>
    <definedName name="VTH_POST_HTGB_OOF_POS">#REF!</definedName>
    <definedName name="VTH_POST_HTGB_OOF_REQ">#REF!</definedName>
    <definedName name="VTH_PRE_HTGB_OOF_POS">#REF!</definedName>
    <definedName name="VTH_PRE_HTGB_OOF_REQ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7" l="1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A5" i="7" s="1"/>
  <c r="E13" i="7"/>
  <c r="E12" i="7"/>
  <c r="E11" i="7"/>
  <c r="E10" i="7"/>
  <c r="A4" i="7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A5" i="6" s="1"/>
  <c r="E10" i="6"/>
  <c r="A4" i="6"/>
  <c r="B10" i="5"/>
  <c r="B9" i="5"/>
  <c r="B8" i="5"/>
  <c r="B11" i="5" s="1"/>
  <c r="A7" i="5"/>
  <c r="B7" i="4"/>
  <c r="B6" i="4"/>
  <c r="B5" i="4"/>
  <c r="B8" i="4" s="1"/>
  <c r="A4" i="4"/>
  <c r="B8" i="3"/>
  <c r="B7" i="3"/>
  <c r="B6" i="3"/>
  <c r="B5" i="3"/>
  <c r="A4" i="3" s="1"/>
</calcChain>
</file>

<file path=xl/sharedStrings.xml><?xml version="1.0" encoding="utf-8"?>
<sst xmlns="http://schemas.openxmlformats.org/spreadsheetml/2006/main" count="784" uniqueCount="107">
  <si>
    <t>GROUP A TRAVELER</t>
  </si>
  <si>
    <t>INDEX</t>
  </si>
  <si>
    <t>QCI SAMPLE SELECTION</t>
  </si>
  <si>
    <t>.</t>
  </si>
  <si>
    <t>GROUP A1 PHYSICAL</t>
  </si>
  <si>
    <t>GROUP A2 25C ELECTRICALS</t>
  </si>
  <si>
    <t>SUMMARY</t>
  </si>
  <si>
    <t>SCREENING STATUS</t>
  </si>
  <si>
    <t>N=116 C=0</t>
  </si>
  <si>
    <t>TOTAL SUBMITTED</t>
  </si>
  <si>
    <t>TOTAL PASS</t>
  </si>
  <si>
    <t xml:space="preserve">  1) IDON      [&gt; 10.01MA]</t>
  </si>
  <si>
    <t xml:space="preserve">  2) IGSSF     [&lt; 500.1UA]</t>
  </si>
  <si>
    <t xml:space="preserve">  3) IDSS      [&lt; 400.0UA]</t>
  </si>
  <si>
    <t xml:space="preserve">  4) IGSSF     [&lt; 500.1UA]</t>
  </si>
  <si>
    <t xml:space="preserve">  5) IGSSR     [&lt; 500.1UA]</t>
  </si>
  <si>
    <t xml:space="preserve">  6) VGSTH     [&gt;   800MV]</t>
  </si>
  <si>
    <t xml:space="preserve">  7) VGSTH     [&lt; 2.500]</t>
  </si>
  <si>
    <t xml:space="preserve">  9) RDSON     [&lt;  6.00M]</t>
  </si>
  <si>
    <t xml:space="preserve"> 11) IDSS      [&lt; 400.0UA]</t>
  </si>
  <si>
    <t>TOTAL EMPTY</t>
  </si>
  <si>
    <t xml:space="preserve">   IDON &gt; 10.01MA</t>
  </si>
  <si>
    <t xml:space="preserve">  IGSSF &lt; 500.1UA</t>
  </si>
  <si>
    <t xml:space="preserve">   IDSS &lt; 400.0UA</t>
  </si>
  <si>
    <t xml:space="preserve">  IGSSR &lt; 500.1UA</t>
  </si>
  <si>
    <t xml:space="preserve">  VGSTH &gt; 801.0MV</t>
  </si>
  <si>
    <t xml:space="preserve">VGSTH &lt; 2.500 </t>
  </si>
  <si>
    <t xml:space="preserve">  RDSON &lt; 6.006M </t>
  </si>
  <si>
    <t>TOTAL REJECTS</t>
  </si>
  <si>
    <t xml:space="preserve">    VDS = 19.54MV</t>
  </si>
  <si>
    <t xml:space="preserve">   VGSF = 5.001 V</t>
  </si>
  <si>
    <t xml:space="preserve">    VDS = 10.01 V</t>
  </si>
  <si>
    <t xml:space="preserve">   VGSF = 6.000 V</t>
  </si>
  <si>
    <t xml:space="preserve">   VGSR = 4.000 V</t>
  </si>
  <si>
    <t xml:space="preserve">     ID = 11.99MA</t>
  </si>
  <si>
    <t>VGSTH = S6</t>
  </si>
  <si>
    <t xml:space="preserve">    VGS = 5.001 V</t>
  </si>
  <si>
    <t xml:space="preserve">    VDS = 100.1 V</t>
  </si>
  <si>
    <t>Card-Position</t>
  </si>
  <si>
    <t>Serial No</t>
  </si>
  <si>
    <t>Label</t>
  </si>
  <si>
    <t>Sort</t>
  </si>
  <si>
    <t>Bin</t>
  </si>
  <si>
    <t xml:space="preserve">    VGS = 3.001 V</t>
  </si>
  <si>
    <t xml:space="preserve">     ID = 50.01 A</t>
  </si>
  <si>
    <t>All Pass</t>
  </si>
  <si>
    <t/>
  </si>
  <si>
    <t>GROUP A3 125C ELECTRICALS</t>
  </si>
  <si>
    <t xml:space="preserve">  2) IGSSF     [&lt; 1.001MA]</t>
  </si>
  <si>
    <t xml:space="preserve">  3) IDSS      [&lt; 800.0UA]</t>
  </si>
  <si>
    <t xml:space="preserve">  4) IGSSF     [&lt; 1.001MA]</t>
  </si>
  <si>
    <t xml:space="preserve">  5) IGSSR     [&lt; 1.001MA]</t>
  </si>
  <si>
    <t xml:space="preserve">  8) RDSON     [&lt; 10.82M]</t>
  </si>
  <si>
    <t xml:space="preserve">  9) RDSON     [&lt; 10.79M]</t>
  </si>
  <si>
    <t xml:space="preserve"> 10) RDSON     [&lt; 10.81M]</t>
  </si>
  <si>
    <t xml:space="preserve"> 11) IDSS      [&lt; 800.0UA]</t>
  </si>
  <si>
    <t xml:space="preserve"> 12) IGSSF     [&lt; 1.001MA]</t>
  </si>
  <si>
    <t xml:space="preserve"> 13) VSD       [&lt; 2.500 V]</t>
  </si>
  <si>
    <t xml:space="preserve">  IGSSF &lt; 1.001MA</t>
  </si>
  <si>
    <t xml:space="preserve">   IDSS &lt; 800.0UA</t>
  </si>
  <si>
    <t xml:space="preserve">  IGSSR &lt; 1.001MA</t>
  </si>
  <si>
    <t xml:space="preserve">  RDSON &lt; 10.82M </t>
  </si>
  <si>
    <t xml:space="preserve">  RDSON &lt; 10.79M </t>
  </si>
  <si>
    <t xml:space="preserve">  RDSON &lt; 10.81M </t>
  </si>
  <si>
    <t xml:space="preserve">    VSD &lt; 2.501 V</t>
  </si>
  <si>
    <t xml:space="preserve">     IS = 500.1MA</t>
  </si>
  <si>
    <t xml:space="preserve">     ID = 30.01 A</t>
  </si>
  <si>
    <t xml:space="preserve">     ID = 74.99 A</t>
  </si>
  <si>
    <t>GROUP A SUBGROUP 3</t>
  </si>
  <si>
    <t>DC ELECTRICALS 125C</t>
  </si>
  <si>
    <t xml:space="preserve">  2) VGSTH     [&gt;   800MV]</t>
  </si>
  <si>
    <t xml:space="preserve">  3) VGSTH     [&lt; 2.500]</t>
  </si>
  <si>
    <t>VGSTH = S2</t>
  </si>
  <si>
    <t xml:space="preserve">    VGS = 3.299 V</t>
  </si>
  <si>
    <t>A7 CAPACITANCE</t>
  </si>
  <si>
    <t>Conditions:</t>
  </si>
  <si>
    <t>Frequency</t>
  </si>
  <si>
    <t>VDS</t>
  </si>
  <si>
    <t>1 MHz</t>
  </si>
  <si>
    <t>Volts</t>
  </si>
  <si>
    <t>Max Limit</t>
  </si>
  <si>
    <t>Serial #</t>
  </si>
  <si>
    <t>Ciss</t>
  </si>
  <si>
    <t>Coss</t>
  </si>
  <si>
    <t>Crss</t>
  </si>
  <si>
    <t>P/F</t>
  </si>
  <si>
    <t>A7 GATE CHARGE</t>
  </si>
  <si>
    <t>OPERATOR</t>
  </si>
  <si>
    <t>LMR</t>
  </si>
  <si>
    <t>DATE</t>
  </si>
  <si>
    <t>GateCharge-3.0</t>
  </si>
  <si>
    <t>GateCharge-3.1</t>
  </si>
  <si>
    <t>GateCharge-3.2</t>
  </si>
  <si>
    <t>Description</t>
  </si>
  <si>
    <t>Qgs</t>
  </si>
  <si>
    <t>Qgd</t>
  </si>
  <si>
    <t>Qg_ 5.00V</t>
  </si>
  <si>
    <t>UNIT</t>
  </si>
  <si>
    <t>nC</t>
  </si>
  <si>
    <t>MAX LIMIT</t>
  </si>
  <si>
    <t>SCD PART NUMBER</t>
  </si>
  <si>
    <t>EPCS PART NUMBER</t>
  </si>
  <si>
    <t>LOT</t>
  </si>
  <si>
    <t>DATE CODE</t>
  </si>
  <si>
    <t>EPC7018GSH</t>
  </si>
  <si>
    <t>E3760.5</t>
  </si>
  <si>
    <t>EPC7018GSH   E3760.5   2406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</si>
</sst>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.0E+00"/>
    <numFmt numFmtId="165" formatCode="###.00E+00"/>
    <numFmt numFmtId="166" formatCode="0.000"/>
    <numFmt numFmtId="167" formatCode="###.000E+00"/>
  </numFmts>
  <fonts count="17" x14ac:knownFonts="1">
    <font>
      <sz val="11"/>
      <color theme="1"/>
      <name val="Aptos Narrow"/>
      <family val="2"/>
      <scheme val="minor"/>
    </font>
    <font>
      <sz val="18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u/>
      <sz val="14"/>
      <color theme="0"/>
      <name val="Aptos Narrow"/>
      <family val="2"/>
      <scheme val="minor"/>
    </font>
    <font>
      <b/>
      <sz val="12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8"/>
      <color rgb="FF00B05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6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3" borderId="1" xfId="1" applyFont="1" applyFill="1" applyBorder="1" applyAlignment="1">
      <alignment vertical="center"/>
    </xf>
    <xf numFmtId="0" fontId="3" fillId="3" borderId="0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0" fontId="3" fillId="3" borderId="0" xfId="1" applyFont="1" applyFill="1" applyBorder="1" applyAlignment="1">
      <alignment horizontal="left" vertical="center"/>
    </xf>
    <xf numFmtId="0" fontId="0" fillId="0" borderId="0" xfId="0" applyAlignment="1">
      <alignment horizontal="center"/>
    </xf>
    <xf numFmtId="0" fontId="4" fillId="4" borderId="2" xfId="1" applyFont="1" applyFill="1" applyBorder="1" applyAlignment="1">
      <alignment horizontal="center" vertical="top"/>
    </xf>
    <xf numFmtId="0" fontId="7" fillId="6" borderId="6" xfId="0" applyFont="1" applyFill="1" applyBorder="1"/>
    <xf numFmtId="0" fontId="7" fillId="6" borderId="6" xfId="0" applyFont="1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0" xfId="0" applyFill="1"/>
    <xf numFmtId="0" fontId="0" fillId="7" borderId="0" xfId="0" applyFill="1" applyAlignment="1">
      <alignment horizontal="right"/>
    </xf>
    <xf numFmtId="0" fontId="7" fillId="6" borderId="2" xfId="0" applyFont="1" applyFill="1" applyBorder="1"/>
    <xf numFmtId="0" fontId="7" fillId="6" borderId="2" xfId="0" applyFont="1" applyFill="1" applyBorder="1" applyAlignment="1">
      <alignment horizontal="center"/>
    </xf>
    <xf numFmtId="0" fontId="0" fillId="8" borderId="2" xfId="0" applyFill="1" applyBorder="1" applyAlignment="1">
      <alignment horizontal="center"/>
    </xf>
    <xf numFmtId="0" fontId="0" fillId="8" borderId="2" xfId="0" applyFill="1" applyBorder="1"/>
    <xf numFmtId="0" fontId="0" fillId="8" borderId="2" xfId="0" applyFill="1" applyBorder="1" applyAlignment="1">
      <alignment horizontal="left"/>
    </xf>
    <xf numFmtId="0" fontId="0" fillId="8" borderId="2" xfId="0" applyFill="1" applyBorder="1" applyAlignment="1">
      <alignment horizontal="right"/>
    </xf>
    <xf numFmtId="0" fontId="0" fillId="9" borderId="9" xfId="0" applyFill="1" applyBorder="1" applyAlignment="1">
      <alignment horizontal="center"/>
    </xf>
    <xf numFmtId="0" fontId="8" fillId="0" borderId="0" xfId="0" applyFont="1"/>
    <xf numFmtId="0" fontId="0" fillId="0" borderId="2" xfId="0" applyBorder="1" applyAlignment="1">
      <alignment horizontal="center"/>
    </xf>
    <xf numFmtId="11" fontId="0" fillId="0" borderId="2" xfId="0" applyNumberFormat="1" applyBorder="1"/>
    <xf numFmtId="11" fontId="8" fillId="0" borderId="2" xfId="0" applyNumberFormat="1" applyFont="1" applyBorder="1"/>
    <xf numFmtId="0" fontId="8" fillId="0" borderId="2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1" fontId="9" fillId="3" borderId="0" xfId="0" applyNumberFormat="1" applyFont="1" applyFill="1" applyAlignment="1">
      <alignment vertical="center"/>
    </xf>
    <xf numFmtId="0" fontId="0" fillId="10" borderId="2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164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 applyAlignment="1">
      <alignment horizontal="center"/>
    </xf>
    <xf numFmtId="165" fontId="0" fillId="10" borderId="9" xfId="0" applyNumberFormat="1" applyFill="1" applyBorder="1"/>
    <xf numFmtId="164" fontId="0" fillId="10" borderId="9" xfId="0" applyNumberFormat="1" applyFill="1" applyBorder="1"/>
    <xf numFmtId="166" fontId="0" fillId="10" borderId="9" xfId="0" applyNumberFormat="1" applyFill="1" applyBorder="1"/>
    <xf numFmtId="167" fontId="0" fillId="10" borderId="9" xfId="0" applyNumberFormat="1" applyFill="1" applyBorder="1"/>
    <xf numFmtId="0" fontId="8" fillId="10" borderId="9" xfId="0" applyFont="1" applyFill="1" applyBorder="1"/>
    <xf numFmtId="0" fontId="4" fillId="4" borderId="2" xfId="1" applyFont="1" applyFill="1" applyBorder="1" applyAlignment="1">
      <alignment horizontal="center" vertical="center"/>
    </xf>
    <xf numFmtId="0" fontId="4" fillId="4" borderId="10" xfId="1" applyFont="1" applyFill="1" applyBorder="1" applyAlignment="1">
      <alignment vertical="top"/>
    </xf>
    <xf numFmtId="0" fontId="4" fillId="4" borderId="6" xfId="1" applyFont="1" applyFill="1" applyBorder="1" applyAlignment="1">
      <alignment horizontal="center" vertical="top"/>
    </xf>
    <xf numFmtId="0" fontId="2" fillId="11" borderId="0" xfId="1" quotePrefix="1" applyFill="1" applyBorder="1" applyAlignment="1">
      <alignment horizontal="left" vertical="top"/>
    </xf>
    <xf numFmtId="0" fontId="10" fillId="6" borderId="7" xfId="0" applyFont="1" applyFill="1" applyBorder="1" applyAlignment="1">
      <alignment horizontal="center" vertical="top"/>
    </xf>
    <xf numFmtId="0" fontId="10" fillId="6" borderId="11" xfId="0" applyFont="1" applyFill="1" applyBorder="1" applyAlignment="1">
      <alignment horizontal="center" vertical="top"/>
    </xf>
    <xf numFmtId="0" fontId="11" fillId="12" borderId="2" xfId="0" applyFont="1" applyFill="1" applyBorder="1" applyAlignment="1">
      <alignment horizontal="center"/>
    </xf>
    <xf numFmtId="0" fontId="12" fillId="13" borderId="2" xfId="0" applyFont="1" applyFill="1" applyBorder="1" applyAlignment="1">
      <alignment horizontal="left"/>
    </xf>
    <xf numFmtId="0" fontId="12" fillId="13" borderId="2" xfId="0" applyFont="1" applyFill="1" applyBorder="1" applyAlignment="1">
      <alignment horizontal="center"/>
    </xf>
    <xf numFmtId="0" fontId="12" fillId="11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14" fontId="12" fillId="13" borderId="2" xfId="0" applyNumberFormat="1" applyFont="1" applyFill="1" applyBorder="1"/>
    <xf numFmtId="0" fontId="13" fillId="14" borderId="2" xfId="0" applyFont="1" applyFill="1" applyBorder="1" applyAlignment="1">
      <alignment horizontal="center" vertical="center"/>
    </xf>
    <xf numFmtId="0" fontId="13" fillId="14" borderId="2" xfId="0" applyFont="1" applyFill="1" applyBorder="1" applyAlignment="1">
      <alignment vertical="center"/>
    </xf>
    <xf numFmtId="0" fontId="12" fillId="11" borderId="0" xfId="0" applyFont="1" applyFill="1" applyAlignment="1">
      <alignment horizontal="center" vertical="center"/>
    </xf>
    <xf numFmtId="0" fontId="13" fillId="14" borderId="9" xfId="0" applyFont="1" applyFill="1" applyBorder="1" applyAlignment="1">
      <alignment horizontal="center" vertical="center"/>
    </xf>
    <xf numFmtId="0" fontId="13" fillId="14" borderId="9" xfId="0" applyFont="1" applyFill="1" applyBorder="1" applyAlignment="1">
      <alignment vertical="center"/>
    </xf>
    <xf numFmtId="0" fontId="14" fillId="14" borderId="2" xfId="0" applyFont="1" applyFill="1" applyBorder="1" applyAlignment="1">
      <alignment horizontal="center" vertical="center"/>
    </xf>
    <xf numFmtId="11" fontId="14" fillId="14" borderId="9" xfId="0" applyNumberFormat="1" applyFont="1" applyFill="1" applyBorder="1" applyAlignment="1">
      <alignment horizontal="center" vertical="center"/>
    </xf>
    <xf numFmtId="0" fontId="15" fillId="14" borderId="2" xfId="0" applyFont="1" applyFill="1" applyBorder="1" applyAlignment="1">
      <alignment horizontal="center" vertical="center"/>
    </xf>
    <xf numFmtId="0" fontId="15" fillId="14" borderId="7" xfId="0" applyFont="1" applyFill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6" fillId="15" borderId="10" xfId="0" applyFont="1" applyFill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15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0" fillId="0" borderId="5" xfId="0" applyBorder="1"/>
    <xf numFmtId="0" fontId="0" fillId="16" borderId="0" xfId="0" applyFill="1"/>
    <xf numFmtId="0" fontId="0" fillId="16" borderId="12" xfId="0" applyFill="1" applyBorder="1"/>
    <xf numFmtId="2" fontId="14" fillId="14" borderId="2" xfId="0" applyNumberFormat="1" applyFont="1" applyFill="1" applyBorder="1" applyAlignment="1">
      <alignment horizontal="center" vertical="center"/>
    </xf>
    <xf numFmtId="2" fontId="16" fillId="15" borderId="6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top"/>
    </xf>
    <xf numFmtId="0" fontId="5" fillId="5" borderId="3" xfId="1" applyFont="1" applyFill="1" applyBorder="1" applyAlignment="1">
      <alignment horizontal="center" vertical="top"/>
    </xf>
    <xf numFmtId="0" fontId="5" fillId="5" borderId="0" xfId="1" applyFont="1" applyFill="1" applyBorder="1" applyAlignment="1">
      <alignment horizontal="center" vertical="top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5" borderId="4" xfId="1" applyFont="1" applyFill="1" applyBorder="1" applyAlignment="1">
      <alignment horizontal="center" vertical="top"/>
    </xf>
    <xf numFmtId="0" fontId="5" fillId="5" borderId="5" xfId="1" applyFont="1" applyFill="1" applyBorder="1" applyAlignment="1">
      <alignment horizontal="center" vertical="top"/>
    </xf>
    <xf numFmtId="0" fontId="6" fillId="0" borderId="3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3" borderId="1" xfId="1" applyFont="1" applyFill="1" applyBorder="1" applyAlignment="1">
      <alignment horizontal="center" vertical="center"/>
    </xf>
    <xf numFmtId="0" fontId="4" fillId="4" borderId="2" xfId="1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45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ill>
        <patternFill>
          <bgColor rgb="FF92D050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7" tint="0.59996337778862885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theme="7" tint="0.59996337778862885"/>
        </patternFill>
      </fill>
    </dxf>
    <dxf>
      <fill>
        <patternFill patternType="none">
          <bgColor auto="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52</xdr:row>
      <xdr:rowOff>117729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5FDC94-EF54-4532-B381-0F08D7AA25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12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0</xdr:rowOff>
    </xdr:from>
    <xdr:to>
      <xdr:col>11</xdr:col>
      <xdr:colOff>0</xdr:colOff>
      <xdr:row>102</xdr:row>
      <xdr:rowOff>117729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33377EA-CB33-44E5-9EAC-5189E84C9A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837420"/>
          <a:ext cx="6705600" cy="983703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103</xdr:row>
      <xdr:rowOff>9525</xdr:rowOff>
    </xdr:from>
    <xdr:to>
      <xdr:col>11</xdr:col>
      <xdr:colOff>0</xdr:colOff>
      <xdr:row>154</xdr:row>
      <xdr:rowOff>127254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C577E08-CC2D-4655-8754-2D5091DC1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9754850"/>
          <a:ext cx="6705600" cy="9833229"/>
        </a:xfrm>
        <a:prstGeom prst="rect">
          <a:avLst/>
        </a:prstGeom>
      </xdr:spPr>
    </xdr:pic>
    <xdr:clientData/>
  </xdr:twoCellAnchor>
  <xdr:twoCellAnchor>
    <xdr:from>
      <xdr:col>6</xdr:col>
      <xdr:colOff>533400</xdr:colOff>
      <xdr:row>5</xdr:row>
      <xdr:rowOff>123825</xdr:rowOff>
    </xdr:from>
    <xdr:to>
      <xdr:col>7</xdr:col>
      <xdr:colOff>409575</xdr:colOff>
      <xdr:row>6</xdr:row>
      <xdr:rowOff>104775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4E20445F-C4B7-F01B-D1AB-0DEBDBDADF78}"/>
            </a:ext>
          </a:extLst>
        </xdr:cNvPr>
        <xdr:cNvSpPr/>
      </xdr:nvSpPr>
      <xdr:spPr>
        <a:xfrm>
          <a:off x="4191000" y="1200150"/>
          <a:ext cx="485775" cy="1714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419100</xdr:colOff>
      <xdr:row>6</xdr:row>
      <xdr:rowOff>121920</xdr:rowOff>
    </xdr:from>
    <xdr:to>
      <xdr:col>2</xdr:col>
      <xdr:colOff>295275</xdr:colOff>
      <xdr:row>7</xdr:row>
      <xdr:rowOff>102870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5FE6749-4BFD-4A0D-9A9B-4A1F2A2A98C4}"/>
            </a:ext>
          </a:extLst>
        </xdr:cNvPr>
        <xdr:cNvSpPr/>
      </xdr:nvSpPr>
      <xdr:spPr>
        <a:xfrm>
          <a:off x="1028700" y="1388745"/>
          <a:ext cx="485775" cy="1714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561975</xdr:colOff>
      <xdr:row>55</xdr:row>
      <xdr:rowOff>121920</xdr:rowOff>
    </xdr:from>
    <xdr:to>
      <xdr:col>7</xdr:col>
      <xdr:colOff>438150</xdr:colOff>
      <xdr:row>56</xdr:row>
      <xdr:rowOff>102870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06B8E12-27EF-4C8D-9690-33194A55A2EA}"/>
            </a:ext>
          </a:extLst>
        </xdr:cNvPr>
        <xdr:cNvSpPr/>
      </xdr:nvSpPr>
      <xdr:spPr>
        <a:xfrm>
          <a:off x="4219575" y="10723245"/>
          <a:ext cx="485775" cy="1714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342900</xdr:colOff>
      <xdr:row>56</xdr:row>
      <xdr:rowOff>140970</xdr:rowOff>
    </xdr:from>
    <xdr:to>
      <xdr:col>2</xdr:col>
      <xdr:colOff>219075</xdr:colOff>
      <xdr:row>57</xdr:row>
      <xdr:rowOff>121920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33492E6-1A13-4200-B747-B5D945E017AF}"/>
            </a:ext>
          </a:extLst>
        </xdr:cNvPr>
        <xdr:cNvSpPr/>
      </xdr:nvSpPr>
      <xdr:spPr>
        <a:xfrm>
          <a:off x="952500" y="10932795"/>
          <a:ext cx="485775" cy="1714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342899</xdr:colOff>
      <xdr:row>92</xdr:row>
      <xdr:rowOff>19050</xdr:rowOff>
    </xdr:from>
    <xdr:to>
      <xdr:col>5</xdr:col>
      <xdr:colOff>371474</xdr:colOff>
      <xdr:row>93</xdr:row>
      <xdr:rowOff>114300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6D53E25D-967F-4787-847A-FDDDEBCADC6E}"/>
            </a:ext>
          </a:extLst>
        </xdr:cNvPr>
        <xdr:cNvSpPr/>
      </xdr:nvSpPr>
      <xdr:spPr>
        <a:xfrm>
          <a:off x="2171699" y="17668875"/>
          <a:ext cx="1247775" cy="2857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304800</xdr:colOff>
      <xdr:row>81</xdr:row>
      <xdr:rowOff>169545</xdr:rowOff>
    </xdr:from>
    <xdr:to>
      <xdr:col>5</xdr:col>
      <xdr:colOff>114300</xdr:colOff>
      <xdr:row>82</xdr:row>
      <xdr:rowOff>171450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599B35B-342E-427E-BC31-879FD650F488}"/>
            </a:ext>
          </a:extLst>
        </xdr:cNvPr>
        <xdr:cNvSpPr/>
      </xdr:nvSpPr>
      <xdr:spPr>
        <a:xfrm>
          <a:off x="2133600" y="15723870"/>
          <a:ext cx="1028700" cy="19240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342900</xdr:colOff>
      <xdr:row>120</xdr:row>
      <xdr:rowOff>55245</xdr:rowOff>
    </xdr:from>
    <xdr:to>
      <xdr:col>4</xdr:col>
      <xdr:colOff>561975</xdr:colOff>
      <xdr:row>121</xdr:row>
      <xdr:rowOff>85725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76DE04D6-80E1-41FB-AA62-04CE9312F8C0}"/>
            </a:ext>
          </a:extLst>
        </xdr:cNvPr>
        <xdr:cNvSpPr/>
      </xdr:nvSpPr>
      <xdr:spPr>
        <a:xfrm>
          <a:off x="2171700" y="23039070"/>
          <a:ext cx="828675" cy="22098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285750</xdr:colOff>
      <xdr:row>129</xdr:row>
      <xdr:rowOff>85725</xdr:rowOff>
    </xdr:from>
    <xdr:to>
      <xdr:col>4</xdr:col>
      <xdr:colOff>342900</xdr:colOff>
      <xdr:row>130</xdr:row>
      <xdr:rowOff>38100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FAF6C068-640E-4D90-A3A1-AE4F149C8637}"/>
            </a:ext>
          </a:extLst>
        </xdr:cNvPr>
        <xdr:cNvSpPr/>
      </xdr:nvSpPr>
      <xdr:spPr>
        <a:xfrm>
          <a:off x="2114550" y="24784050"/>
          <a:ext cx="666750" cy="14287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3</xdr:col>
      <xdr:colOff>304800</xdr:colOff>
      <xdr:row>72</xdr:row>
      <xdr:rowOff>93345</xdr:rowOff>
    </xdr:from>
    <xdr:to>
      <xdr:col>5</xdr:col>
      <xdr:colOff>333375</xdr:colOff>
      <xdr:row>73</xdr:row>
      <xdr:rowOff>188595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BAAF133-F1C8-41D2-BED4-71C9243389FE}"/>
            </a:ext>
          </a:extLst>
        </xdr:cNvPr>
        <xdr:cNvSpPr/>
      </xdr:nvSpPr>
      <xdr:spPr>
        <a:xfrm>
          <a:off x="2133600" y="13933170"/>
          <a:ext cx="1247775" cy="2857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0</xdr:colOff>
      <xdr:row>20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68BAC9-639C-42EF-9B7A-24E935D1D8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97180"/>
          <a:ext cx="6705600" cy="3436620"/>
        </a:xfrm>
        <a:prstGeom prst="rect">
          <a:avLst/>
        </a:prstGeom>
      </xdr:spPr>
    </xdr:pic>
    <xdr:clientData/>
  </xdr:twoCellAnchor>
  <xdr:twoCellAnchor>
    <xdr:from>
      <xdr:col>7</xdr:col>
      <xdr:colOff>85725</xdr:colOff>
      <xdr:row>6</xdr:row>
      <xdr:rowOff>104775</xdr:rowOff>
    </xdr:from>
    <xdr:to>
      <xdr:col>7</xdr:col>
      <xdr:colOff>590550</xdr:colOff>
      <xdr:row>7</xdr:row>
      <xdr:rowOff>123825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DA7B3BE2-9216-5BC0-5F53-76C7D24B6798}"/>
            </a:ext>
          </a:extLst>
        </xdr:cNvPr>
        <xdr:cNvSpPr/>
      </xdr:nvSpPr>
      <xdr:spPr>
        <a:xfrm>
          <a:off x="4352925" y="1171575"/>
          <a:ext cx="504825" cy="209550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342900</xdr:colOff>
      <xdr:row>7</xdr:row>
      <xdr:rowOff>163830</xdr:rowOff>
    </xdr:from>
    <xdr:to>
      <xdr:col>2</xdr:col>
      <xdr:colOff>209550</xdr:colOff>
      <xdr:row>8</xdr:row>
      <xdr:rowOff>123825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9476CC41-DC4A-4F19-8BE6-1088792A1F95}"/>
            </a:ext>
          </a:extLst>
        </xdr:cNvPr>
        <xdr:cNvSpPr/>
      </xdr:nvSpPr>
      <xdr:spPr>
        <a:xfrm>
          <a:off x="952500" y="1421130"/>
          <a:ext cx="476250" cy="150495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150394</xdr:colOff>
      <xdr:row>2</xdr:row>
      <xdr:rowOff>40105</xdr:rowOff>
    </xdr:from>
    <xdr:to>
      <xdr:col>5</xdr:col>
      <xdr:colOff>862263</xdr:colOff>
      <xdr:row>2</xdr:row>
      <xdr:rowOff>220579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35F324-F479-ECF4-3CE4-F40FAC208705}"/>
            </a:ext>
          </a:extLst>
        </xdr:cNvPr>
        <xdr:cNvSpPr/>
      </xdr:nvSpPr>
      <xdr:spPr>
        <a:xfrm>
          <a:off x="3759868" y="641684"/>
          <a:ext cx="711869" cy="180474"/>
        </a:xfrm>
        <a:prstGeom prst="rect">
          <a:avLst/>
        </a:prstGeom>
        <a:solidFill>
          <a:schemeClr val="tx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</xdr:colOff>
      <xdr:row>2</xdr:row>
      <xdr:rowOff>0</xdr:rowOff>
    </xdr:from>
    <xdr:to>
      <xdr:col>5</xdr:col>
      <xdr:colOff>822158</xdr:colOff>
      <xdr:row>2</xdr:row>
      <xdr:rowOff>200526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D44D84F-ED17-B458-7E1A-A33AA96AE66A}"/>
            </a:ext>
          </a:extLst>
        </xdr:cNvPr>
        <xdr:cNvSpPr/>
      </xdr:nvSpPr>
      <xdr:spPr>
        <a:xfrm>
          <a:off x="3799974" y="601579"/>
          <a:ext cx="631658" cy="200526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170447</xdr:colOff>
      <xdr:row>2</xdr:row>
      <xdr:rowOff>10026</xdr:rowOff>
    </xdr:from>
    <xdr:to>
      <xdr:col>5</xdr:col>
      <xdr:colOff>842210</xdr:colOff>
      <xdr:row>2</xdr:row>
      <xdr:rowOff>230605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C3031AF-5BB6-A4D3-976B-E2032F4BBE87}"/>
            </a:ext>
          </a:extLst>
        </xdr:cNvPr>
        <xdr:cNvSpPr/>
      </xdr:nvSpPr>
      <xdr:spPr>
        <a:xfrm>
          <a:off x="3779921" y="511342"/>
          <a:ext cx="671763" cy="220579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875F-4791-4E39-9460-EDE6C1DA63CF}">
  <sheetPr>
    <tabColor theme="4" tint="-0.249977111117893"/>
  </sheetPr>
  <dimension ref="A1:K155"/>
  <sheetViews>
    <sheetView tabSelected="1" zoomScaleNormal="100"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.75" customHeight="1" x14ac:dyDescent="0.25">
      <c r="A1" s="71" t="s">
        <v>0</v>
      </c>
      <c r="B1" s="71"/>
      <c r="C1" s="71"/>
      <c r="D1" s="71"/>
      <c r="E1" s="2" t="s">
        <v>1</v>
      </c>
      <c r="F1" s="2"/>
      <c r="G1" s="2"/>
      <c r="H1" s="2"/>
      <c r="I1" s="72" t="s">
        <v>2</v>
      </c>
      <c r="J1" s="72"/>
      <c r="K1" s="72"/>
    </row>
    <row r="2" spans="1:11" x14ac:dyDescent="0.25">
      <c r="A2" t="s">
        <v>3</v>
      </c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  <row r="21" x14ac:dyDescent="0.25"/>
    <row r="22" x14ac:dyDescent="0.25"/>
    <row r="23" x14ac:dyDescent="0.25"/>
    <row r="24" x14ac:dyDescent="0.25"/>
    <row r="25" x14ac:dyDescent="0.25"/>
    <row r="26" x14ac:dyDescent="0.25"/>
    <row r="27" x14ac:dyDescent="0.25"/>
    <row r="28" x14ac:dyDescent="0.25"/>
    <row r="29" x14ac:dyDescent="0.25"/>
    <row r="30" x14ac:dyDescent="0.25"/>
    <row r="31" x14ac:dyDescent="0.25"/>
    <row r="32" x14ac:dyDescent="0.25"/>
    <row r="33" x14ac:dyDescent="0.25"/>
    <row r="34" x14ac:dyDescent="0.25"/>
    <row r="35" x14ac:dyDescent="0.25"/>
    <row r="36" x14ac:dyDescent="0.25"/>
    <row r="37" x14ac:dyDescent="0.25"/>
    <row r="38" x14ac:dyDescent="0.25"/>
    <row r="39" x14ac:dyDescent="0.25"/>
    <row r="40" x14ac:dyDescent="0.25"/>
    <row r="41" x14ac:dyDescent="0.25"/>
    <row r="42" x14ac:dyDescent="0.25"/>
    <row r="43" x14ac:dyDescent="0.25"/>
    <row r="44" x14ac:dyDescent="0.25"/>
    <row r="45" x14ac:dyDescent="0.25"/>
    <row r="46" x14ac:dyDescent="0.25"/>
    <row r="47" x14ac:dyDescent="0.25"/>
    <row r="48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  <row r="57" x14ac:dyDescent="0.25"/>
    <row r="58" x14ac:dyDescent="0.25"/>
    <row r="59" x14ac:dyDescent="0.25"/>
    <row r="60" x14ac:dyDescent="0.25"/>
    <row r="61" x14ac:dyDescent="0.25"/>
    <row r="62" x14ac:dyDescent="0.25"/>
    <row r="63" x14ac:dyDescent="0.25"/>
    <row r="64" x14ac:dyDescent="0.25"/>
    <row r="65" x14ac:dyDescent="0.25"/>
    <row r="66" x14ac:dyDescent="0.25"/>
    <row r="67" x14ac:dyDescent="0.25"/>
    <row r="68" x14ac:dyDescent="0.25"/>
    <row r="69" x14ac:dyDescent="0.25"/>
    <row r="70" x14ac:dyDescent="0.25"/>
    <row r="71" x14ac:dyDescent="0.25"/>
    <row r="72" x14ac:dyDescent="0.25"/>
    <row r="73" x14ac:dyDescent="0.25"/>
    <row r="74" x14ac:dyDescent="0.25"/>
    <row r="75" x14ac:dyDescent="0.25"/>
    <row r="76" x14ac:dyDescent="0.25"/>
    <row r="77" x14ac:dyDescent="0.25"/>
    <row r="78" x14ac:dyDescent="0.25"/>
    <row r="79" x14ac:dyDescent="0.25"/>
    <row r="80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x14ac:dyDescent="0.25"/>
    <row r="127" x14ac:dyDescent="0.25"/>
    <row r="128" x14ac:dyDescent="0.25"/>
    <row r="129" x14ac:dyDescent="0.25"/>
    <row r="130" x14ac:dyDescent="0.25"/>
    <row r="131" x14ac:dyDescent="0.25"/>
    <row r="132" x14ac:dyDescent="0.25"/>
    <row r="133" x14ac:dyDescent="0.25"/>
    <row r="134" x14ac:dyDescent="0.25"/>
    <row r="135" x14ac:dyDescent="0.25"/>
    <row r="136" x14ac:dyDescent="0.25"/>
    <row r="137" x14ac:dyDescent="0.25"/>
    <row r="138" x14ac:dyDescent="0.25"/>
    <row r="139" x14ac:dyDescent="0.25"/>
    <row r="140" x14ac:dyDescent="0.25"/>
    <row r="141" x14ac:dyDescent="0.25"/>
    <row r="142" x14ac:dyDescent="0.25"/>
    <row r="143" x14ac:dyDescent="0.25"/>
    <row r="144" x14ac:dyDescent="0.25"/>
    <row r="145" x14ac:dyDescent="0.25"/>
    <row r="146" x14ac:dyDescent="0.25"/>
    <row r="147" x14ac:dyDescent="0.25"/>
    <row r="148" x14ac:dyDescent="0.25"/>
    <row r="149" x14ac:dyDescent="0.25"/>
    <row r="150" x14ac:dyDescent="0.25"/>
    <row r="151" x14ac:dyDescent="0.25"/>
    <row r="152" x14ac:dyDescent="0.25"/>
    <row r="153" x14ac:dyDescent="0.25"/>
    <row r="154" x14ac:dyDescent="0.25"/>
    <row r="155" x14ac:dyDescent="0.25"/>
  </sheetData>
  <sheetProtection algorithmName="SHA-512" hashValue="pO4JAM1K8e7C+Wv05FACm1aJE70eoykHrffyKrGGHxpwZfunktWygmbmgh49Q7UDyT5VC3KGW2jzl9WYFbmK9w==" saltValue="Zt1mVbMXdfFo5ThcWD8+6Q==" spinCount="100000" sheet="1" objects="1" scenarios="1" sort="0" autoFilter="0"/>
  <mergeCells count="2">
    <mergeCell ref="A1:D1"/>
    <mergeCell ref="I1:K1"/>
  </mergeCells>
  <hyperlinks>
    <hyperlink ref="E1" location="INDEX!A1" display="RETURN TO INDEX" xr:uid="{B19C5BF1-C0BE-4DF5-A18D-86D3EDE2EBCE}"/>
    <hyperlink ref="E1:F1" location="INDEX!A1" display="RETURN TO INDEX" xr:uid="{9CC40F2A-A4FF-4BAA-8E80-670A67F32241}"/>
    <hyperlink ref="I1:K1" location="'QCI Sample Selection'!A1" display="QCI SAMPLE SELECTION" xr:uid="{0BC406C6-3574-43F3-96B8-7398F7675AA6}"/>
  </hyperlinks>
  <pageMargins left="0.25" right="0.25" top="0.25" bottom="0.2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9A766-E6FC-403E-9B2E-5005BF2E94AE}">
  <sheetPr>
    <tabColor theme="4" tint="-0.249977111117893"/>
  </sheetPr>
  <dimension ref="A1:K20"/>
  <sheetViews>
    <sheetView workbookViewId="0">
      <selection sqref="A1:E1"/>
    </sheetView>
  </sheetViews>
  <sheetFormatPr defaultColWidth="0" defaultRowHeight="15" customHeight="1" zeroHeight="1" x14ac:dyDescent="0.25"/>
  <cols>
    <col min="1" max="11" width="9.140625" customWidth="1"/>
    <col min="12" max="16384" width="9.140625" hidden="1"/>
  </cols>
  <sheetData>
    <row r="1" spans="1:11" ht="24" x14ac:dyDescent="0.25">
      <c r="A1" s="71" t="s">
        <v>4</v>
      </c>
      <c r="B1" s="71"/>
      <c r="C1" s="71"/>
      <c r="D1" s="71"/>
      <c r="E1" s="2" t="s">
        <v>1</v>
      </c>
      <c r="F1" s="2"/>
      <c r="G1" s="2"/>
      <c r="H1" s="3"/>
      <c r="I1" s="72" t="s">
        <v>2</v>
      </c>
      <c r="J1" s="72"/>
      <c r="K1" s="72"/>
    </row>
    <row r="3" spans="1:11" x14ac:dyDescent="0.25"/>
    <row r="4" spans="1:11" x14ac:dyDescent="0.25"/>
    <row r="5" spans="1:11" x14ac:dyDescent="0.25"/>
    <row r="6" spans="1:11" x14ac:dyDescent="0.25"/>
    <row r="7" spans="1:11" x14ac:dyDescent="0.25"/>
    <row r="8" spans="1:11" x14ac:dyDescent="0.25"/>
    <row r="9" spans="1:11" x14ac:dyDescent="0.25"/>
    <row r="10" spans="1:11" x14ac:dyDescent="0.25"/>
    <row r="11" spans="1:11" x14ac:dyDescent="0.25"/>
    <row r="12" spans="1:11" x14ac:dyDescent="0.25"/>
    <row r="13" spans="1:11" x14ac:dyDescent="0.25"/>
    <row r="14" spans="1:11" x14ac:dyDescent="0.25"/>
    <row r="15" spans="1:11" x14ac:dyDescent="0.25"/>
    <row r="16" spans="1:11" x14ac:dyDescent="0.25"/>
    <row r="17" x14ac:dyDescent="0.25"/>
    <row r="18" x14ac:dyDescent="0.25"/>
    <row r="19" x14ac:dyDescent="0.25"/>
    <row r="20" x14ac:dyDescent="0.25"/>
  </sheetData>
  <sheetProtection algorithmName="SHA-512" hashValue="hHzjzU259ODW05tAmnOlqTDfUrgGJDQq4G4776ln8kNmpdVWaUnQn5rQk6GxVkeyJZHQDrb3x92ZFgI/GWC3lg==" saltValue="nGGwxvsoiVwkKjb/LP2faw==" spinCount="100000" sheet="1" objects="1" scenarios="1" sort="0" autoFilter="0"/>
  <mergeCells count="2">
    <mergeCell ref="A1:D1"/>
    <mergeCell ref="I1:K1"/>
  </mergeCells>
  <hyperlinks>
    <hyperlink ref="E1" location="INDEX!A1" display="RETURN TO INDEX" xr:uid="{3DB97F49-94B2-43E6-9938-EB56786A313D}"/>
    <hyperlink ref="I1:K1" location="'QCI Sample Selection'!A1" display="QCI SAMPLE SELECTION" xr:uid="{D28A69EB-06CF-4554-9316-BB3DFA93E246}"/>
  </hyperlink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4B50B-5E99-45A0-A687-2C04B15CC4C6}">
  <sheetPr>
    <tabColor theme="4" tint="-0.249977111117893"/>
  </sheetPr>
  <dimension ref="A1:S126"/>
  <sheetViews>
    <sheetView zoomScale="95" zoomScaleNormal="95" workbookViewId="0">
      <pane xSplit="3" ySplit="10" topLeftCell="D11" activePane="bottomRight" state="frozen"/>
      <selection sqref="A1:E1"/>
      <selection pane="topRight" sqref="A1:E1"/>
      <selection pane="bottomLeft" sqref="A1:E1"/>
      <selection pane="bottomRight" sqref="A1:F1"/>
    </sheetView>
  </sheetViews>
  <sheetFormatPr defaultColWidth="0" defaultRowHeight="15" zeroHeight="1" x14ac:dyDescent="0.25"/>
  <cols>
    <col min="1" max="1" width="18.85546875" style="6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4" width="18.7109375" customWidth="1"/>
    <col min="19" max="19" width="9.140625" hidden="1"/>
  </cols>
  <sheetData>
    <row r="1" spans="1:17" ht="24" x14ac:dyDescent="0.25">
      <c r="A1" s="78" t="s">
        <v>5</v>
      </c>
      <c r="B1" s="78"/>
      <c r="C1" s="78"/>
      <c r="D1" s="78"/>
      <c r="E1" s="78"/>
      <c r="F1" s="78"/>
      <c r="G1" s="4"/>
      <c r="H1" s="2" t="s">
        <v>1</v>
      </c>
      <c r="I1" s="2"/>
      <c r="J1" s="5" t="s">
        <v>6</v>
      </c>
      <c r="K1" s="72" t="s">
        <v>7</v>
      </c>
      <c r="L1" s="72"/>
      <c r="M1" s="72" t="s">
        <v>2</v>
      </c>
      <c r="N1" s="72"/>
      <c r="O1" s="79"/>
      <c r="P1" s="79"/>
    </row>
    <row r="2" spans="1:17" ht="24" x14ac:dyDescent="0.25">
      <c r="A2" s="73" t="s">
        <v>100</v>
      </c>
      <c r="B2" s="73"/>
      <c r="C2" s="73" t="s">
        <v>101</v>
      </c>
      <c r="D2" s="73"/>
      <c r="E2" s="73" t="s">
        <v>102</v>
      </c>
      <c r="F2" s="73"/>
      <c r="G2" s="7" t="s">
        <v>103</v>
      </c>
      <c r="H2" s="74" t="s">
        <v>8</v>
      </c>
      <c r="I2" s="75"/>
      <c r="J2" s="75"/>
      <c r="K2" s="75"/>
      <c r="L2" s="75"/>
      <c r="M2" s="75"/>
      <c r="N2" s="75"/>
      <c r="O2" s="75"/>
      <c r="P2" s="75"/>
      <c r="Q2" s="75"/>
    </row>
    <row r="3" spans="1:17" ht="24" x14ac:dyDescent="0.25">
      <c r="A3" s="73" t="s">
        <v>104</v>
      </c>
      <c r="B3" s="73"/>
      <c r="C3" s="73" t="s">
        <v>104</v>
      </c>
      <c r="D3" s="73"/>
      <c r="E3" s="73" t="s">
        <v>105</v>
      </c>
      <c r="F3" s="73"/>
      <c r="G3" s="7">
        <v>2406</v>
      </c>
      <c r="H3" s="74"/>
      <c r="I3" s="75"/>
      <c r="J3" s="75"/>
      <c r="K3" s="75"/>
      <c r="L3" s="75"/>
      <c r="M3" s="75"/>
      <c r="N3" s="75"/>
      <c r="O3" s="75"/>
      <c r="P3" s="75"/>
      <c r="Q3" s="75"/>
    </row>
    <row r="4" spans="1:17" ht="24" x14ac:dyDescent="0.4">
      <c r="A4" s="76" t="str">
        <f>IF($B$5=$B$6,"PASS","FAIL")</f>
        <v>PASS</v>
      </c>
      <c r="B4" s="77"/>
      <c r="C4" s="77"/>
      <c r="D4" s="77"/>
      <c r="E4" s="77"/>
      <c r="F4" s="77"/>
      <c r="G4" s="77"/>
      <c r="H4" s="75"/>
      <c r="I4" s="75"/>
      <c r="J4" s="75"/>
      <c r="K4" s="75"/>
      <c r="L4" s="75"/>
      <c r="M4" s="75"/>
      <c r="N4" s="75"/>
      <c r="O4" s="75"/>
      <c r="P4" s="75"/>
      <c r="Q4" s="75"/>
    </row>
    <row r="5" spans="1:17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</row>
    <row r="6" spans="1:17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6" t="s">
        <v>11</v>
      </c>
      <c r="G6" s="17" t="s">
        <v>12</v>
      </c>
      <c r="H6" s="18" t="s">
        <v>13</v>
      </c>
      <c r="I6" s="17" t="s">
        <v>14</v>
      </c>
      <c r="J6" s="17" t="s">
        <v>15</v>
      </c>
      <c r="K6" s="17" t="s">
        <v>16</v>
      </c>
      <c r="L6" s="17" t="s">
        <v>17</v>
      </c>
      <c r="M6" s="17" t="s">
        <v>18</v>
      </c>
      <c r="N6" s="17" t="s">
        <v>19</v>
      </c>
    </row>
    <row r="7" spans="1:17" x14ac:dyDescent="0.25">
      <c r="A7" s="14" t="s">
        <v>20</v>
      </c>
      <c r="B7" s="15">
        <f>COUNTIF(C11:C$2000,"ND")</f>
        <v>0</v>
      </c>
      <c r="C7" s="16"/>
      <c r="D7" s="16"/>
      <c r="E7" s="16"/>
      <c r="F7" s="16" t="s">
        <v>21</v>
      </c>
      <c r="G7" s="17" t="s">
        <v>22</v>
      </c>
      <c r="H7" s="18" t="s">
        <v>23</v>
      </c>
      <c r="I7" s="17" t="s">
        <v>22</v>
      </c>
      <c r="J7" s="17" t="s">
        <v>24</v>
      </c>
      <c r="K7" s="17" t="s">
        <v>25</v>
      </c>
      <c r="L7" s="17" t="s">
        <v>26</v>
      </c>
      <c r="M7" s="17" t="s">
        <v>27</v>
      </c>
      <c r="N7" s="17" t="s">
        <v>23</v>
      </c>
    </row>
    <row r="8" spans="1:17" x14ac:dyDescent="0.25">
      <c r="A8" s="14" t="s">
        <v>28</v>
      </c>
      <c r="B8" s="15">
        <f>B5-B6</f>
        <v>0</v>
      </c>
      <c r="C8" s="16"/>
      <c r="D8" s="16"/>
      <c r="E8" s="16"/>
      <c r="F8" s="16" t="s">
        <v>29</v>
      </c>
      <c r="G8" s="17" t="s">
        <v>30</v>
      </c>
      <c r="H8" s="18" t="s">
        <v>31</v>
      </c>
      <c r="I8" s="17" t="s">
        <v>32</v>
      </c>
      <c r="J8" s="17" t="s">
        <v>33</v>
      </c>
      <c r="K8" s="17" t="s">
        <v>34</v>
      </c>
      <c r="L8" s="17" t="s">
        <v>35</v>
      </c>
      <c r="M8" s="17" t="s">
        <v>36</v>
      </c>
      <c r="N8" s="17" t="s">
        <v>37</v>
      </c>
    </row>
    <row r="9" spans="1:17" x14ac:dyDescent="0.25">
      <c r="A9" s="1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16" t="s">
        <v>43</v>
      </c>
      <c r="G9" s="17"/>
      <c r="H9" s="19"/>
      <c r="I9" s="17"/>
      <c r="J9" s="17"/>
      <c r="K9" s="17"/>
      <c r="L9" s="17"/>
      <c r="M9" s="17" t="s">
        <v>44</v>
      </c>
      <c r="N9" s="17"/>
    </row>
    <row r="10" spans="1:17" s="21" customFormat="1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</row>
    <row r="11" spans="1:17" s="21" customFormat="1" x14ac:dyDescent="0.25">
      <c r="A11" s="6"/>
      <c r="B11" s="22">
        <v>1</v>
      </c>
      <c r="C11" s="22" t="s">
        <v>45</v>
      </c>
      <c r="D11" s="22" t="s">
        <v>46</v>
      </c>
      <c r="E11" s="22">
        <v>1</v>
      </c>
      <c r="F11" s="22">
        <v>2.5550000000000002</v>
      </c>
      <c r="G11" s="23">
        <v>4.5200000000000002E-7</v>
      </c>
      <c r="H11" s="23">
        <v>2.55E-8</v>
      </c>
      <c r="I11" s="23">
        <v>1.5719999999999999E-6</v>
      </c>
      <c r="J11" s="23">
        <v>4.9100000000000003E-8</v>
      </c>
      <c r="K11" s="23">
        <v>1.617</v>
      </c>
      <c r="L11" s="23">
        <v>1.617</v>
      </c>
      <c r="M11" s="23">
        <v>3.82E-3</v>
      </c>
      <c r="N11" s="24">
        <v>3.8E-3</v>
      </c>
      <c r="O11" s="21">
        <v>3.82E-3</v>
      </c>
      <c r="P11" s="21">
        <v>1.3540000000000001E-7</v>
      </c>
    </row>
    <row r="12" spans="1:17" s="21" customFormat="1" x14ac:dyDescent="0.25">
      <c r="A12" s="6"/>
      <c r="B12" s="22">
        <v>2</v>
      </c>
      <c r="C12" s="25" t="s">
        <v>45</v>
      </c>
      <c r="D12" s="25" t="s">
        <v>46</v>
      </c>
      <c r="E12" s="22">
        <v>1</v>
      </c>
      <c r="F12" s="22">
        <v>2.5750000000000002</v>
      </c>
      <c r="G12" s="23">
        <v>1.3519999999999999E-6</v>
      </c>
      <c r="H12" s="23">
        <v>1.1810000000000001E-7</v>
      </c>
      <c r="I12" s="23">
        <v>3.3830000000000001E-6</v>
      </c>
      <c r="J12" s="23">
        <v>1.4810000000000001E-7</v>
      </c>
      <c r="K12" s="23">
        <v>1.589</v>
      </c>
      <c r="L12" s="23">
        <v>1.589</v>
      </c>
      <c r="M12" s="23">
        <v>4.1799999999999997E-3</v>
      </c>
      <c r="N12" s="24">
        <v>4.1900000000000001E-3</v>
      </c>
      <c r="O12" s="21">
        <v>4.1900000000000001E-3</v>
      </c>
      <c r="P12" s="21">
        <v>3.707E-7</v>
      </c>
    </row>
    <row r="13" spans="1:17" s="21" customFormat="1" x14ac:dyDescent="0.25">
      <c r="A13" s="6"/>
      <c r="B13" s="22">
        <v>3</v>
      </c>
      <c r="C13" s="25" t="s">
        <v>45</v>
      </c>
      <c r="D13" s="25" t="s">
        <v>46</v>
      </c>
      <c r="E13" s="22">
        <v>1</v>
      </c>
      <c r="F13" s="22">
        <v>2.552</v>
      </c>
      <c r="G13" s="23">
        <v>6.9010000000000007E-7</v>
      </c>
      <c r="H13" s="23">
        <v>1.9399999999999998E-8</v>
      </c>
      <c r="I13" s="23">
        <v>3.5809999999999997E-6</v>
      </c>
      <c r="J13" s="23">
        <v>4.2500000000000003E-8</v>
      </c>
      <c r="K13" s="23">
        <v>1.62</v>
      </c>
      <c r="L13" s="23">
        <v>1.62</v>
      </c>
      <c r="M13" s="23">
        <v>3.8E-3</v>
      </c>
      <c r="N13" s="24">
        <v>3.7799999999999999E-3</v>
      </c>
      <c r="O13" s="21">
        <v>3.8E-3</v>
      </c>
      <c r="P13" s="21">
        <v>1.3290000000000001E-7</v>
      </c>
    </row>
    <row r="14" spans="1:17" s="21" customFormat="1" x14ac:dyDescent="0.25">
      <c r="A14" s="6"/>
      <c r="B14" s="22">
        <v>4</v>
      </c>
      <c r="C14" s="26" t="s">
        <v>45</v>
      </c>
      <c r="D14" s="27" t="s">
        <v>46</v>
      </c>
      <c r="E14" s="22">
        <v>1</v>
      </c>
      <c r="F14" s="22">
        <v>2.673</v>
      </c>
      <c r="G14" s="23">
        <v>4.4910000000000007E-7</v>
      </c>
      <c r="H14" s="23">
        <v>2.5000000000000002E-8</v>
      </c>
      <c r="I14" s="23">
        <v>1.624E-6</v>
      </c>
      <c r="J14" s="23">
        <v>5.0899999999999999E-8</v>
      </c>
      <c r="K14" s="23">
        <v>1.607</v>
      </c>
      <c r="L14" s="23">
        <v>1.607</v>
      </c>
      <c r="M14" s="23">
        <v>3.7200000000000002E-3</v>
      </c>
      <c r="N14" s="24">
        <v>3.7200000000000002E-3</v>
      </c>
      <c r="O14" s="21">
        <v>3.7200000000000002E-3</v>
      </c>
      <c r="P14" s="21">
        <v>1.455E-7</v>
      </c>
    </row>
    <row r="15" spans="1:17" s="21" customFormat="1" x14ac:dyDescent="0.25">
      <c r="A15" s="6"/>
      <c r="B15" s="22">
        <v>7</v>
      </c>
      <c r="C15" s="26" t="s">
        <v>45</v>
      </c>
      <c r="D15" s="26" t="s">
        <v>46</v>
      </c>
      <c r="E15" s="22">
        <v>1</v>
      </c>
      <c r="F15" s="22">
        <v>2.714</v>
      </c>
      <c r="G15" s="23">
        <v>1.235E-6</v>
      </c>
      <c r="H15" s="23">
        <v>1.1880000000000001E-7</v>
      </c>
      <c r="I15" s="23">
        <v>3.1719999999999999E-6</v>
      </c>
      <c r="J15" s="23">
        <v>1.6540000000000001E-7</v>
      </c>
      <c r="K15" s="23">
        <v>1.591</v>
      </c>
      <c r="L15" s="23">
        <v>1.591</v>
      </c>
      <c r="M15" s="23">
        <v>3.8700000000000002E-3</v>
      </c>
      <c r="N15" s="24">
        <v>3.8600000000000001E-3</v>
      </c>
      <c r="O15" s="21">
        <v>3.8700000000000002E-3</v>
      </c>
      <c r="P15" s="21">
        <v>4.3530000000000004E-7</v>
      </c>
    </row>
    <row r="16" spans="1:17" x14ac:dyDescent="0.25">
      <c r="B16" s="22">
        <v>8</v>
      </c>
      <c r="C16" s="26" t="s">
        <v>45</v>
      </c>
      <c r="D16" s="26" t="s">
        <v>46</v>
      </c>
      <c r="E16" s="22">
        <v>1</v>
      </c>
      <c r="F16" s="22">
        <v>2.504</v>
      </c>
      <c r="G16" s="23">
        <v>1.7689999999999999E-6</v>
      </c>
      <c r="H16" s="23">
        <v>4.7600000000000003E-8</v>
      </c>
      <c r="I16" s="23">
        <v>6.3040000000000001E-6</v>
      </c>
      <c r="J16" s="23">
        <v>6.0500000000000006E-8</v>
      </c>
      <c r="K16" s="23">
        <v>1.649</v>
      </c>
      <c r="L16" s="23">
        <v>1.649</v>
      </c>
      <c r="M16" s="23">
        <v>4.4099999999999999E-3</v>
      </c>
      <c r="N16" s="23">
        <v>4.4200000000000003E-3</v>
      </c>
      <c r="O16">
        <v>4.4299999999999999E-3</v>
      </c>
      <c r="P16">
        <v>3.1170000000000002E-7</v>
      </c>
    </row>
    <row r="17" spans="1:16" x14ac:dyDescent="0.25">
      <c r="B17" s="22">
        <v>9</v>
      </c>
      <c r="C17" s="26" t="s">
        <v>45</v>
      </c>
      <c r="D17" s="27" t="s">
        <v>46</v>
      </c>
      <c r="E17" s="22">
        <v>1</v>
      </c>
      <c r="F17" s="22">
        <v>2.532</v>
      </c>
      <c r="G17" s="23">
        <v>1.062E-6</v>
      </c>
      <c r="H17" s="23">
        <v>3.1699999999999999E-8</v>
      </c>
      <c r="I17" s="23">
        <v>4.6199999999999998E-6</v>
      </c>
      <c r="J17" s="23">
        <v>4.8500000000000004E-8</v>
      </c>
      <c r="K17" s="23">
        <v>1.6539999999999999</v>
      </c>
      <c r="L17" s="23">
        <v>1.6539999999999999</v>
      </c>
      <c r="M17" s="23">
        <v>4.0300000000000006E-3</v>
      </c>
      <c r="N17" s="23">
        <v>4.0300000000000006E-3</v>
      </c>
      <c r="O17">
        <v>4.0499999999999998E-3</v>
      </c>
      <c r="P17">
        <v>2.4730000000000005E-7</v>
      </c>
    </row>
    <row r="18" spans="1:16" s="21" customFormat="1" x14ac:dyDescent="0.25">
      <c r="A18" s="6"/>
      <c r="B18" s="22">
        <v>11</v>
      </c>
      <c r="C18" s="26" t="s">
        <v>45</v>
      </c>
      <c r="D18" s="26" t="s">
        <v>46</v>
      </c>
      <c r="E18" s="22">
        <v>1</v>
      </c>
      <c r="F18" s="22">
        <v>2.5529999999999999</v>
      </c>
      <c r="G18" s="23">
        <v>4.2950000000000003E-7</v>
      </c>
      <c r="H18" s="23">
        <v>2.77E-8</v>
      </c>
      <c r="I18" s="23">
        <v>1.5549999999999999E-6</v>
      </c>
      <c r="J18" s="23">
        <v>5.3500000000000003E-8</v>
      </c>
      <c r="K18" s="23">
        <v>1.585</v>
      </c>
      <c r="L18" s="23">
        <v>1.585</v>
      </c>
      <c r="M18" s="23">
        <v>3.96E-3</v>
      </c>
      <c r="N18" s="24">
        <v>3.96E-3</v>
      </c>
      <c r="O18" s="21">
        <v>3.9700000000000004E-3</v>
      </c>
      <c r="P18" s="21">
        <v>1.451E-7</v>
      </c>
    </row>
    <row r="19" spans="1:16" s="21" customFormat="1" x14ac:dyDescent="0.25">
      <c r="A19" s="6"/>
      <c r="B19" s="22">
        <v>12</v>
      </c>
      <c r="C19" s="26" t="s">
        <v>45</v>
      </c>
      <c r="D19" s="26" t="s">
        <v>46</v>
      </c>
      <c r="E19" s="22">
        <v>1</v>
      </c>
      <c r="F19" s="22">
        <v>3.1320000000000001</v>
      </c>
      <c r="G19" s="23">
        <v>1.528E-6</v>
      </c>
      <c r="H19" s="23">
        <v>1.5030000000000002E-7</v>
      </c>
      <c r="I19" s="23">
        <v>4.0689999999999995E-6</v>
      </c>
      <c r="J19" s="23">
        <v>1.6630000000000003E-7</v>
      </c>
      <c r="K19" s="23">
        <v>1.5629999999999999</v>
      </c>
      <c r="L19" s="23">
        <v>1.5629999999999999</v>
      </c>
      <c r="M19" s="23">
        <v>3.8999999999999998E-3</v>
      </c>
      <c r="N19" s="24">
        <v>3.8999999999999998E-3</v>
      </c>
      <c r="O19" s="21">
        <v>3.9100000000000003E-3</v>
      </c>
      <c r="P19" s="21">
        <v>4.8680000000000004E-7</v>
      </c>
    </row>
    <row r="20" spans="1:16" x14ac:dyDescent="0.25">
      <c r="B20" s="22">
        <v>13</v>
      </c>
      <c r="C20" s="26" t="s">
        <v>45</v>
      </c>
      <c r="D20" s="27" t="s">
        <v>46</v>
      </c>
      <c r="E20" s="22">
        <v>1</v>
      </c>
      <c r="F20" s="22">
        <v>2.581</v>
      </c>
      <c r="G20" s="23">
        <v>6.9420000000000006E-7</v>
      </c>
      <c r="H20" s="23">
        <v>2.1500000000000001E-8</v>
      </c>
      <c r="I20" s="23">
        <v>4.2869999999999998E-6</v>
      </c>
      <c r="J20" s="23">
        <v>4.29E-8</v>
      </c>
      <c r="K20" s="23">
        <v>1.641</v>
      </c>
      <c r="L20" s="23">
        <v>1.641</v>
      </c>
      <c r="M20" s="23">
        <v>3.7799999999999999E-3</v>
      </c>
      <c r="N20" s="23">
        <v>3.7699999999999999E-3</v>
      </c>
      <c r="O20">
        <v>3.79E-3</v>
      </c>
      <c r="P20">
        <v>1.4140000000000001E-7</v>
      </c>
    </row>
    <row r="21" spans="1:16" s="21" customFormat="1" x14ac:dyDescent="0.25">
      <c r="A21" s="6"/>
      <c r="B21" s="22">
        <v>15</v>
      </c>
      <c r="C21" s="26" t="s">
        <v>45</v>
      </c>
      <c r="D21" s="26" t="s">
        <v>46</v>
      </c>
      <c r="E21" s="22">
        <v>1</v>
      </c>
      <c r="F21" s="22">
        <v>2.6389999999999998</v>
      </c>
      <c r="G21" s="23">
        <v>1.0189999999999999E-6</v>
      </c>
      <c r="H21" s="23">
        <v>4.6299999999999998E-8</v>
      </c>
      <c r="I21" s="23">
        <v>4.0919999999999991E-6</v>
      </c>
      <c r="J21" s="23">
        <v>8.3000000000000002E-8</v>
      </c>
      <c r="K21" s="23">
        <v>1.641</v>
      </c>
      <c r="L21" s="23">
        <v>1.641</v>
      </c>
      <c r="M21" s="23">
        <v>3.7400000000000003E-3</v>
      </c>
      <c r="N21" s="24">
        <v>3.7400000000000003E-3</v>
      </c>
      <c r="O21" s="21">
        <v>3.7499999999999999E-3</v>
      </c>
      <c r="P21" s="21">
        <v>2.3480000000000004E-7</v>
      </c>
    </row>
    <row r="22" spans="1:16" s="21" customFormat="1" x14ac:dyDescent="0.25">
      <c r="A22" s="6"/>
      <c r="B22" s="22">
        <v>16</v>
      </c>
      <c r="C22" s="26" t="s">
        <v>45</v>
      </c>
      <c r="D22" s="26" t="s">
        <v>46</v>
      </c>
      <c r="E22" s="22">
        <v>1</v>
      </c>
      <c r="F22" s="22">
        <v>2.6819999999999999</v>
      </c>
      <c r="G22" s="23">
        <v>1.705E-6</v>
      </c>
      <c r="H22" s="23">
        <v>1.2630000000000001E-7</v>
      </c>
      <c r="I22" s="23">
        <v>5.5480000000000001E-6</v>
      </c>
      <c r="J22" s="23">
        <v>1.7290000000000002E-7</v>
      </c>
      <c r="K22" s="23">
        <v>1.603</v>
      </c>
      <c r="L22" s="23">
        <v>1.603</v>
      </c>
      <c r="M22" s="23">
        <v>3.8900000000000002E-3</v>
      </c>
      <c r="N22" s="24">
        <v>3.8799999999999998E-3</v>
      </c>
      <c r="O22" s="21">
        <v>3.9100000000000003E-3</v>
      </c>
      <c r="P22" s="21">
        <v>4.8530000000000004E-7</v>
      </c>
    </row>
    <row r="23" spans="1:16" s="21" customFormat="1" x14ac:dyDescent="0.25">
      <c r="A23" s="6"/>
      <c r="B23" s="22">
        <v>17</v>
      </c>
      <c r="C23" s="26" t="s">
        <v>45</v>
      </c>
      <c r="D23" s="27" t="s">
        <v>46</v>
      </c>
      <c r="E23" s="22">
        <v>1</v>
      </c>
      <c r="F23" s="22">
        <v>2.6379999999999999</v>
      </c>
      <c r="G23" s="23">
        <v>2.097E-6</v>
      </c>
      <c r="H23" s="23">
        <v>1.8080000000000003E-7</v>
      </c>
      <c r="I23" s="23">
        <v>5.5149999999999997E-6</v>
      </c>
      <c r="J23" s="23">
        <v>2.1280000000000003E-7</v>
      </c>
      <c r="K23" s="23">
        <v>1.57</v>
      </c>
      <c r="L23" s="23">
        <v>1.57</v>
      </c>
      <c r="M23" s="23">
        <v>4.2599999999999999E-3</v>
      </c>
      <c r="N23" s="24">
        <v>4.2699999999999995E-3</v>
      </c>
      <c r="O23" s="21">
        <v>4.2900000000000004E-3</v>
      </c>
      <c r="P23" s="21">
        <v>5.3089999999999997E-7</v>
      </c>
    </row>
    <row r="24" spans="1:16" s="21" customFormat="1" x14ac:dyDescent="0.25">
      <c r="A24" s="6"/>
      <c r="B24" s="22">
        <v>19</v>
      </c>
      <c r="C24" s="26" t="s">
        <v>45</v>
      </c>
      <c r="D24" s="26" t="s">
        <v>46</v>
      </c>
      <c r="E24" s="22">
        <v>1</v>
      </c>
      <c r="F24" s="22">
        <v>2.6920000000000002</v>
      </c>
      <c r="G24" s="23">
        <v>9.0270000000000006E-7</v>
      </c>
      <c r="H24" s="23">
        <v>2.2700000000000001E-8</v>
      </c>
      <c r="I24" s="23">
        <v>6.3859999999999995E-6</v>
      </c>
      <c r="J24" s="23">
        <v>4.1100000000000004E-8</v>
      </c>
      <c r="K24" s="23">
        <v>1.573</v>
      </c>
      <c r="L24" s="23">
        <v>1.573</v>
      </c>
      <c r="M24" s="23">
        <v>4.0199999999999993E-3</v>
      </c>
      <c r="N24" s="24">
        <v>4.0300000000000006E-3</v>
      </c>
      <c r="O24" s="21">
        <v>4.0400000000000002E-3</v>
      </c>
      <c r="P24" s="21">
        <v>1.5410000000000001E-7</v>
      </c>
    </row>
    <row r="25" spans="1:16" s="21" customFormat="1" x14ac:dyDescent="0.25">
      <c r="A25" s="6"/>
      <c r="B25" s="22">
        <v>21</v>
      </c>
      <c r="C25" s="26" t="s">
        <v>45</v>
      </c>
      <c r="D25" s="26" t="s">
        <v>46</v>
      </c>
      <c r="E25" s="22">
        <v>1</v>
      </c>
      <c r="F25" s="22">
        <v>2.4470000000000001</v>
      </c>
      <c r="G25" s="23">
        <v>2.5369999999999996E-6</v>
      </c>
      <c r="H25" s="23">
        <v>1.9230000000000002E-7</v>
      </c>
      <c r="I25" s="23">
        <v>6.4109999999999993E-6</v>
      </c>
      <c r="J25" s="23">
        <v>2.065E-7</v>
      </c>
      <c r="K25" s="23">
        <v>1.595</v>
      </c>
      <c r="L25" s="23">
        <v>1.595</v>
      </c>
      <c r="M25" s="23">
        <v>5.0000000000000001E-3</v>
      </c>
      <c r="N25" s="24">
        <v>5.0199999999999993E-3</v>
      </c>
      <c r="O25" s="21">
        <v>5.0099999999999997E-3</v>
      </c>
      <c r="P25" s="21">
        <v>5.2089999999999996E-7</v>
      </c>
    </row>
    <row r="26" spans="1:16" s="21" customFormat="1" x14ac:dyDescent="0.25">
      <c r="A26" s="6"/>
      <c r="B26" s="22">
        <v>22</v>
      </c>
      <c r="C26" s="26" t="s">
        <v>45</v>
      </c>
      <c r="D26" s="27" t="s">
        <v>46</v>
      </c>
      <c r="E26" s="22">
        <v>1</v>
      </c>
      <c r="F26" s="22">
        <v>2.6739999999999999</v>
      </c>
      <c r="G26" s="23">
        <v>4.9599999999999999E-7</v>
      </c>
      <c r="H26" s="23">
        <v>3.3600000000000003E-8</v>
      </c>
      <c r="I26" s="23">
        <v>2.0329999999999998E-6</v>
      </c>
      <c r="J26" s="23">
        <v>6.4799999999999998E-8</v>
      </c>
      <c r="K26" s="23">
        <v>1.6</v>
      </c>
      <c r="L26" s="23">
        <v>1.6</v>
      </c>
      <c r="M26" s="23">
        <v>3.7499999999999999E-3</v>
      </c>
      <c r="N26" s="24">
        <v>3.7400000000000003E-3</v>
      </c>
      <c r="O26" s="21">
        <v>3.7599999999999999E-3</v>
      </c>
      <c r="P26" s="21">
        <v>1.6759999999999999E-7</v>
      </c>
    </row>
    <row r="27" spans="1:16" s="21" customFormat="1" x14ac:dyDescent="0.25">
      <c r="A27" s="6"/>
      <c r="B27" s="22">
        <v>27</v>
      </c>
      <c r="C27" s="26" t="s">
        <v>45</v>
      </c>
      <c r="D27" s="26" t="s">
        <v>46</v>
      </c>
      <c r="E27" s="22">
        <v>1</v>
      </c>
      <c r="F27" s="22">
        <v>2.6869999999999998</v>
      </c>
      <c r="G27" s="23">
        <v>1.319E-6</v>
      </c>
      <c r="H27" s="23">
        <v>9.4700000000000008E-8</v>
      </c>
      <c r="I27" s="23">
        <v>4.8769999999999992E-6</v>
      </c>
      <c r="J27" s="23">
        <v>1.4070000000000001E-7</v>
      </c>
      <c r="K27" s="23">
        <v>1.59</v>
      </c>
      <c r="L27" s="23">
        <v>1.59</v>
      </c>
      <c r="M27" s="23">
        <v>3.9500000000000004E-3</v>
      </c>
      <c r="N27" s="24">
        <v>3.9500000000000004E-3</v>
      </c>
      <c r="O27" s="21">
        <v>3.96E-3</v>
      </c>
      <c r="P27" s="21">
        <v>3.6120000000000003E-7</v>
      </c>
    </row>
    <row r="28" spans="1:16" s="21" customFormat="1" x14ac:dyDescent="0.25">
      <c r="A28" s="6"/>
      <c r="B28" s="22">
        <v>28</v>
      </c>
      <c r="C28" s="26" t="s">
        <v>45</v>
      </c>
      <c r="D28" s="26" t="s">
        <v>46</v>
      </c>
      <c r="E28" s="22">
        <v>1</v>
      </c>
      <c r="F28" s="22">
        <v>2.4700000000000002</v>
      </c>
      <c r="G28" s="23">
        <v>3.1809999999999997E-6</v>
      </c>
      <c r="H28" s="23">
        <v>2.252E-7</v>
      </c>
      <c r="I28" s="23">
        <v>1.007E-5</v>
      </c>
      <c r="J28" s="23">
        <v>2.3730000000000001E-7</v>
      </c>
      <c r="K28" s="23">
        <v>1.577</v>
      </c>
      <c r="L28" s="23">
        <v>1.577</v>
      </c>
      <c r="M28" s="23">
        <v>4.9500000000000004E-3</v>
      </c>
      <c r="N28" s="24">
        <v>4.96E-3</v>
      </c>
      <c r="O28" s="21">
        <v>4.9800000000000009E-3</v>
      </c>
      <c r="P28" s="21">
        <v>5.8520000000000013E-7</v>
      </c>
    </row>
    <row r="29" spans="1:16" s="21" customFormat="1" x14ac:dyDescent="0.25">
      <c r="A29" s="6"/>
      <c r="B29" s="22">
        <v>29</v>
      </c>
      <c r="C29" s="26" t="s">
        <v>45</v>
      </c>
      <c r="D29" s="27" t="s">
        <v>46</v>
      </c>
      <c r="E29" s="22">
        <v>1</v>
      </c>
      <c r="F29" s="22">
        <v>2.5289999999999999</v>
      </c>
      <c r="G29" s="23">
        <v>1.2809999999999999E-6</v>
      </c>
      <c r="H29" s="23">
        <v>1.098E-7</v>
      </c>
      <c r="I29" s="23">
        <v>2.8540000000000001E-6</v>
      </c>
      <c r="J29" s="23">
        <v>1.272E-7</v>
      </c>
      <c r="K29" s="23">
        <v>1.609</v>
      </c>
      <c r="L29" s="23">
        <v>1.609</v>
      </c>
      <c r="M29" s="23">
        <v>4.0899999999999999E-3</v>
      </c>
      <c r="N29" s="24">
        <v>4.0899999999999999E-3</v>
      </c>
      <c r="O29" s="21">
        <v>4.0899999999999999E-3</v>
      </c>
      <c r="P29" s="21">
        <v>3.685E-7</v>
      </c>
    </row>
    <row r="30" spans="1:16" s="21" customFormat="1" x14ac:dyDescent="0.25">
      <c r="A30" s="6"/>
      <c r="B30" s="22">
        <v>32</v>
      </c>
      <c r="C30" s="26" t="s">
        <v>45</v>
      </c>
      <c r="D30" s="26" t="s">
        <v>46</v>
      </c>
      <c r="E30" s="22">
        <v>1</v>
      </c>
      <c r="F30" s="22">
        <v>2.6640000000000001</v>
      </c>
      <c r="G30" s="23">
        <v>8.8530000000000002E-7</v>
      </c>
      <c r="H30" s="23">
        <v>6.8700000000000013E-8</v>
      </c>
      <c r="I30" s="23">
        <v>2.649E-6</v>
      </c>
      <c r="J30" s="23">
        <v>1.105E-7</v>
      </c>
      <c r="K30" s="23">
        <v>1.5880000000000001</v>
      </c>
      <c r="L30" s="23">
        <v>1.5880000000000001</v>
      </c>
      <c r="M30" s="23">
        <v>3.9100000000000003E-3</v>
      </c>
      <c r="N30" s="24">
        <v>3.8900000000000002E-3</v>
      </c>
      <c r="O30" s="21">
        <v>3.8999999999999998E-3</v>
      </c>
      <c r="P30" s="21">
        <v>2.7250000000000004E-7</v>
      </c>
    </row>
    <row r="31" spans="1:16" s="21" customFormat="1" x14ac:dyDescent="0.25">
      <c r="A31" s="6"/>
      <c r="B31" s="22">
        <v>33</v>
      </c>
      <c r="C31" s="26" t="s">
        <v>45</v>
      </c>
      <c r="D31" s="26" t="s">
        <v>46</v>
      </c>
      <c r="E31" s="22">
        <v>1</v>
      </c>
      <c r="F31" s="22">
        <v>2.7040000000000002</v>
      </c>
      <c r="G31" s="23">
        <v>7.1250000000000006E-7</v>
      </c>
      <c r="H31" s="23">
        <v>2.6300000000000004E-8</v>
      </c>
      <c r="I31" s="23">
        <v>3.1209999999999998E-6</v>
      </c>
      <c r="J31" s="23">
        <v>5.1800000000000001E-8</v>
      </c>
      <c r="K31" s="23">
        <v>1.5860000000000001</v>
      </c>
      <c r="L31" s="23">
        <v>1.5860000000000001</v>
      </c>
      <c r="M31" s="23">
        <v>3.96E-3</v>
      </c>
      <c r="N31" s="24">
        <v>3.9399999999999999E-3</v>
      </c>
      <c r="O31" s="21">
        <v>3.9399999999999999E-3</v>
      </c>
      <c r="P31" s="21">
        <v>1.4500000000000001E-7</v>
      </c>
    </row>
    <row r="32" spans="1:16" s="21" customFormat="1" x14ac:dyDescent="0.25">
      <c r="A32" s="6"/>
      <c r="B32" s="22">
        <v>35</v>
      </c>
      <c r="C32" s="26" t="s">
        <v>45</v>
      </c>
      <c r="D32" s="26" t="s">
        <v>46</v>
      </c>
      <c r="E32" s="22">
        <v>1</v>
      </c>
      <c r="F32" s="22">
        <v>2.492</v>
      </c>
      <c r="G32" s="23">
        <v>2.0310000000000001E-6</v>
      </c>
      <c r="H32" s="23">
        <v>1.7569999999999999E-7</v>
      </c>
      <c r="I32" s="23">
        <v>4.8810000000000004E-6</v>
      </c>
      <c r="J32" s="23">
        <v>1.7440000000000003E-7</v>
      </c>
      <c r="K32" s="23">
        <v>1.593</v>
      </c>
      <c r="L32" s="23">
        <v>1.593</v>
      </c>
      <c r="M32" s="23">
        <v>4.5199999999999997E-3</v>
      </c>
      <c r="N32" s="24">
        <v>4.5500000000000002E-3</v>
      </c>
      <c r="O32" s="21">
        <v>4.5599999999999998E-3</v>
      </c>
      <c r="P32" s="21">
        <v>4.7940000000000002E-7</v>
      </c>
    </row>
    <row r="33" spans="1:16" s="21" customFormat="1" x14ac:dyDescent="0.25">
      <c r="A33" s="6"/>
      <c r="B33" s="22">
        <v>36</v>
      </c>
      <c r="C33" s="26" t="s">
        <v>45</v>
      </c>
      <c r="D33" s="26" t="s">
        <v>46</v>
      </c>
      <c r="E33" s="22">
        <v>1</v>
      </c>
      <c r="F33" s="22">
        <v>2.6640000000000001</v>
      </c>
      <c r="G33" s="23">
        <v>1.2729999999999999E-6</v>
      </c>
      <c r="H33" s="23">
        <v>1.008E-7</v>
      </c>
      <c r="I33" s="23">
        <v>3.1749999999999997E-6</v>
      </c>
      <c r="J33" s="23">
        <v>1.4070000000000001E-7</v>
      </c>
      <c r="K33" s="23">
        <v>1.569</v>
      </c>
      <c r="L33" s="23">
        <v>1.569</v>
      </c>
      <c r="M33" s="23">
        <v>3.96E-3</v>
      </c>
      <c r="N33" s="24">
        <v>3.9500000000000004E-3</v>
      </c>
      <c r="O33" s="21">
        <v>3.96E-3</v>
      </c>
      <c r="P33" s="21">
        <v>3.6700000000000004E-7</v>
      </c>
    </row>
    <row r="34" spans="1:16" s="21" customFormat="1" x14ac:dyDescent="0.25">
      <c r="A34" s="6"/>
      <c r="B34" s="22">
        <v>37</v>
      </c>
      <c r="C34" s="26" t="s">
        <v>45</v>
      </c>
      <c r="D34" s="26" t="s">
        <v>46</v>
      </c>
      <c r="E34" s="22">
        <v>1</v>
      </c>
      <c r="F34" s="22">
        <v>2.5449999999999999</v>
      </c>
      <c r="G34" s="23">
        <v>5.6620000000000008E-7</v>
      </c>
      <c r="H34" s="23">
        <v>2.2000000000000002E-8</v>
      </c>
      <c r="I34" s="23">
        <v>2.1629999999999999E-6</v>
      </c>
      <c r="J34" s="23">
        <v>4.6600000000000007E-8</v>
      </c>
      <c r="K34" s="23">
        <v>1.6459999999999999</v>
      </c>
      <c r="L34" s="23">
        <v>1.6459999999999999</v>
      </c>
      <c r="M34" s="23">
        <v>3.8400000000000001E-3</v>
      </c>
      <c r="N34" s="24">
        <v>3.8300000000000001E-3</v>
      </c>
      <c r="O34" s="21">
        <v>3.8300000000000001E-3</v>
      </c>
      <c r="P34" s="21">
        <v>1.4440000000000002E-7</v>
      </c>
    </row>
    <row r="35" spans="1:16" s="21" customFormat="1" x14ac:dyDescent="0.25">
      <c r="A35" s="6"/>
      <c r="B35" s="22">
        <v>41</v>
      </c>
      <c r="C35" s="26" t="s">
        <v>45</v>
      </c>
      <c r="D35" s="26" t="s">
        <v>46</v>
      </c>
      <c r="E35" s="22">
        <v>1</v>
      </c>
      <c r="F35" s="22">
        <v>2.476</v>
      </c>
      <c r="G35" s="23">
        <v>1.7799999999999999E-6</v>
      </c>
      <c r="H35" s="23">
        <v>6.7000000000000004E-8</v>
      </c>
      <c r="I35" s="23">
        <v>6.3099999999999997E-6</v>
      </c>
      <c r="J35" s="23">
        <v>1.0740000000000001E-7</v>
      </c>
      <c r="K35" s="23">
        <v>1.68</v>
      </c>
      <c r="L35" s="23">
        <v>1.68</v>
      </c>
      <c r="M35" s="23">
        <v>3.8300000000000001E-3</v>
      </c>
      <c r="N35" s="24">
        <v>3.81E-3</v>
      </c>
      <c r="O35" s="21">
        <v>3.8300000000000001E-3</v>
      </c>
      <c r="P35" s="21">
        <v>3.0769999999999998E-7</v>
      </c>
    </row>
    <row r="36" spans="1:16" s="21" customFormat="1" x14ac:dyDescent="0.25">
      <c r="A36" s="6"/>
      <c r="B36" s="22">
        <v>42</v>
      </c>
      <c r="C36" s="26" t="s">
        <v>45</v>
      </c>
      <c r="D36" s="26" t="s">
        <v>46</v>
      </c>
      <c r="E36" s="22">
        <v>1</v>
      </c>
      <c r="F36" s="22">
        <v>2.7120000000000002</v>
      </c>
      <c r="G36" s="23">
        <v>2.8379999999999998E-6</v>
      </c>
      <c r="H36" s="23">
        <v>1.9860000000000002E-7</v>
      </c>
      <c r="I36" s="23">
        <v>8.7870000000000007E-6</v>
      </c>
      <c r="J36" s="23">
        <v>2.2290000000000002E-7</v>
      </c>
      <c r="K36" s="23">
        <v>1.5229999999999999</v>
      </c>
      <c r="L36" s="23">
        <v>1.5229999999999999</v>
      </c>
      <c r="M36" s="23">
        <v>4.5000000000000005E-3</v>
      </c>
      <c r="N36" s="24">
        <v>4.5000000000000005E-3</v>
      </c>
      <c r="O36" s="21">
        <v>4.5199999999999997E-3</v>
      </c>
      <c r="P36" s="21">
        <v>5.7260000000000003E-7</v>
      </c>
    </row>
    <row r="37" spans="1:16" s="21" customFormat="1" x14ac:dyDescent="0.25">
      <c r="A37" s="6"/>
      <c r="B37" s="22">
        <v>43</v>
      </c>
      <c r="C37" s="26" t="s">
        <v>45</v>
      </c>
      <c r="D37" s="27" t="s">
        <v>46</v>
      </c>
      <c r="E37" s="22">
        <v>1</v>
      </c>
      <c r="F37" s="22">
        <v>2.6080000000000001</v>
      </c>
      <c r="G37" s="23">
        <v>4.7720000000000006E-7</v>
      </c>
      <c r="H37" s="23">
        <v>2.0800000000000001E-8</v>
      </c>
      <c r="I37" s="23">
        <v>2.1579999999999999E-6</v>
      </c>
      <c r="J37" s="23">
        <v>4.5500000000000004E-8</v>
      </c>
      <c r="K37" s="23">
        <v>1.619</v>
      </c>
      <c r="L37" s="23">
        <v>1.619</v>
      </c>
      <c r="M37" s="23">
        <v>3.7499999999999999E-3</v>
      </c>
      <c r="N37" s="24">
        <v>3.7300000000000002E-3</v>
      </c>
      <c r="O37" s="21">
        <v>3.7400000000000003E-3</v>
      </c>
      <c r="P37" s="21">
        <v>1.3510000000000001E-7</v>
      </c>
    </row>
    <row r="38" spans="1:16" s="21" customFormat="1" x14ac:dyDescent="0.25">
      <c r="A38" s="6"/>
      <c r="B38" s="22">
        <v>44</v>
      </c>
      <c r="C38" s="26" t="s">
        <v>45</v>
      </c>
      <c r="D38" s="27" t="s">
        <v>46</v>
      </c>
      <c r="E38" s="22">
        <v>1</v>
      </c>
      <c r="F38" s="22">
        <v>2.5649999999999999</v>
      </c>
      <c r="G38" s="23">
        <v>1.4239999999999998E-6</v>
      </c>
      <c r="H38" s="23">
        <v>2.8800000000000003E-8</v>
      </c>
      <c r="I38" s="23">
        <v>8.0450000000000001E-6</v>
      </c>
      <c r="J38" s="23">
        <v>4.7000000000000004E-8</v>
      </c>
      <c r="K38" s="23">
        <v>1.61</v>
      </c>
      <c r="L38" s="23">
        <v>1.61</v>
      </c>
      <c r="M38" s="23">
        <v>4.2000000000000006E-3</v>
      </c>
      <c r="N38" s="24">
        <v>4.1900000000000001E-3</v>
      </c>
      <c r="O38" s="21">
        <v>4.2100000000000002E-3</v>
      </c>
      <c r="P38" s="21">
        <v>2.191E-7</v>
      </c>
    </row>
    <row r="39" spans="1:16" x14ac:dyDescent="0.25">
      <c r="B39" s="22">
        <v>48</v>
      </c>
      <c r="C39" s="26" t="s">
        <v>45</v>
      </c>
      <c r="D39" s="27" t="s">
        <v>46</v>
      </c>
      <c r="E39" s="22">
        <v>1</v>
      </c>
      <c r="F39" s="22">
        <v>2.5790000000000002</v>
      </c>
      <c r="G39" s="23">
        <v>5.2770000000000005E-7</v>
      </c>
      <c r="H39" s="23">
        <v>3.1900000000000001E-8</v>
      </c>
      <c r="I39" s="23">
        <v>2.6949999999999996E-6</v>
      </c>
      <c r="J39" s="23">
        <v>6.06E-8</v>
      </c>
      <c r="K39" s="23">
        <v>1.599</v>
      </c>
      <c r="L39" s="23">
        <v>1.599</v>
      </c>
      <c r="M39" s="23">
        <v>3.7799999999999999E-3</v>
      </c>
      <c r="N39" s="23">
        <v>3.7699999999999999E-3</v>
      </c>
      <c r="O39">
        <v>3.79E-3</v>
      </c>
      <c r="P39">
        <v>1.7230000000000003E-7</v>
      </c>
    </row>
    <row r="40" spans="1:16" x14ac:dyDescent="0.25">
      <c r="B40" s="22">
        <v>49</v>
      </c>
      <c r="C40" s="26" t="s">
        <v>45</v>
      </c>
      <c r="D40" s="26" t="s">
        <v>46</v>
      </c>
      <c r="E40" s="22">
        <v>1</v>
      </c>
      <c r="F40" s="22">
        <v>2.597</v>
      </c>
      <c r="G40" s="23">
        <v>1.7709999999999999E-6</v>
      </c>
      <c r="H40" s="23">
        <v>1.4330000000000002E-7</v>
      </c>
      <c r="I40" s="23">
        <v>4.4699999999999996E-6</v>
      </c>
      <c r="J40" s="23">
        <v>1.8410000000000001E-7</v>
      </c>
      <c r="K40" s="23">
        <v>1.5860000000000001</v>
      </c>
      <c r="L40" s="23">
        <v>1.5860000000000001</v>
      </c>
      <c r="M40" s="23">
        <v>4.2100000000000002E-3</v>
      </c>
      <c r="N40" s="23">
        <v>4.1900000000000001E-3</v>
      </c>
      <c r="O40">
        <v>4.2199999999999998E-3</v>
      </c>
      <c r="P40">
        <v>4.4080000000000003E-7</v>
      </c>
    </row>
    <row r="41" spans="1:16" x14ac:dyDescent="0.25">
      <c r="B41" s="22">
        <v>50</v>
      </c>
      <c r="C41" s="26" t="s">
        <v>45</v>
      </c>
      <c r="D41" s="26" t="s">
        <v>46</v>
      </c>
      <c r="E41" s="22">
        <v>1</v>
      </c>
      <c r="F41" s="22">
        <v>2.5760000000000001</v>
      </c>
      <c r="G41" s="23">
        <v>1.1120000000000001E-6</v>
      </c>
      <c r="H41" s="23">
        <v>1.0340000000000001E-7</v>
      </c>
      <c r="I41" s="23">
        <v>3.4169999999999996E-6</v>
      </c>
      <c r="J41" s="23">
        <v>1.2570000000000002E-7</v>
      </c>
      <c r="K41" s="23">
        <v>1.597</v>
      </c>
      <c r="L41" s="23">
        <v>1.597</v>
      </c>
      <c r="M41" s="23">
        <v>3.9900000000000005E-3</v>
      </c>
      <c r="N41" s="23">
        <v>3.98E-3</v>
      </c>
      <c r="O41">
        <v>4.0000000000000001E-3</v>
      </c>
      <c r="P41">
        <v>3.5410000000000003E-7</v>
      </c>
    </row>
    <row r="42" spans="1:16" x14ac:dyDescent="0.25">
      <c r="B42" s="22">
        <v>51</v>
      </c>
      <c r="C42" s="26" t="s">
        <v>45</v>
      </c>
      <c r="D42" s="26" t="s">
        <v>46</v>
      </c>
      <c r="E42" s="22">
        <v>1</v>
      </c>
      <c r="F42" s="22">
        <v>2.548</v>
      </c>
      <c r="G42" s="23">
        <v>8.5670000000000009E-7</v>
      </c>
      <c r="H42" s="23">
        <v>2.8300000000000002E-8</v>
      </c>
      <c r="I42" s="23">
        <v>4.3289999999999995E-6</v>
      </c>
      <c r="J42" s="23">
        <v>5.7400000000000004E-8</v>
      </c>
      <c r="K42" s="23">
        <v>1.6739999999999999</v>
      </c>
      <c r="L42" s="23">
        <v>1.6739999999999999</v>
      </c>
      <c r="M42" s="23">
        <v>3.7699999999999999E-3</v>
      </c>
      <c r="N42" s="23">
        <v>3.7499999999999999E-3</v>
      </c>
      <c r="O42">
        <v>3.7699999999999999E-3</v>
      </c>
      <c r="P42">
        <v>1.7210000000000001E-7</v>
      </c>
    </row>
    <row r="43" spans="1:16" x14ac:dyDescent="0.25">
      <c r="B43" s="22">
        <v>52</v>
      </c>
      <c r="C43" s="26" t="s">
        <v>45</v>
      </c>
      <c r="D43" s="26" t="s">
        <v>46</v>
      </c>
      <c r="E43" s="22">
        <v>1</v>
      </c>
      <c r="F43" s="22">
        <v>2.5219999999999998</v>
      </c>
      <c r="G43" s="23">
        <v>3.7099999999999996E-6</v>
      </c>
      <c r="H43" s="23">
        <v>2.96E-7</v>
      </c>
      <c r="I43" s="23">
        <v>1.066E-5</v>
      </c>
      <c r="J43" s="23">
        <v>3.0610000000000002E-7</v>
      </c>
      <c r="K43" s="23">
        <v>1.651</v>
      </c>
      <c r="L43" s="23">
        <v>1.651</v>
      </c>
      <c r="M43" s="23">
        <v>4.4900000000000001E-3</v>
      </c>
      <c r="N43" s="23">
        <v>4.4900000000000001E-3</v>
      </c>
      <c r="O43">
        <v>4.5199999999999997E-3</v>
      </c>
      <c r="P43">
        <v>1.0609999999999999E-6</v>
      </c>
    </row>
    <row r="44" spans="1:16" x14ac:dyDescent="0.25">
      <c r="B44" s="22">
        <v>53</v>
      </c>
      <c r="C44" s="26" t="s">
        <v>45</v>
      </c>
      <c r="D44" s="27" t="s">
        <v>46</v>
      </c>
      <c r="E44" s="22">
        <v>1</v>
      </c>
      <c r="F44" s="22">
        <v>2.4460000000000002</v>
      </c>
      <c r="G44" s="23">
        <v>1.6529999999999999E-6</v>
      </c>
      <c r="H44" s="23">
        <v>1.5459999999999999E-7</v>
      </c>
      <c r="I44" s="23">
        <v>4.0099999999999997E-6</v>
      </c>
      <c r="J44" s="23">
        <v>1.547E-7</v>
      </c>
      <c r="K44" s="23">
        <v>1.6080000000000001</v>
      </c>
      <c r="L44" s="23">
        <v>1.6080000000000001</v>
      </c>
      <c r="M44" s="23">
        <v>4.3800000000000002E-3</v>
      </c>
      <c r="N44" s="23">
        <v>4.3899999999999998E-3</v>
      </c>
      <c r="O44">
        <v>4.4099999999999999E-3</v>
      </c>
      <c r="P44">
        <v>4.6139999999999999E-7</v>
      </c>
    </row>
    <row r="45" spans="1:16" x14ac:dyDescent="0.25">
      <c r="B45" s="22">
        <v>54</v>
      </c>
      <c r="C45" s="26" t="s">
        <v>45</v>
      </c>
      <c r="D45" s="26" t="s">
        <v>46</v>
      </c>
      <c r="E45" s="22">
        <v>1</v>
      </c>
      <c r="F45" s="22">
        <v>2.645</v>
      </c>
      <c r="G45" s="23">
        <v>5.3810000000000009E-7</v>
      </c>
      <c r="H45" s="23">
        <v>2.4100000000000004E-8</v>
      </c>
      <c r="I45" s="23">
        <v>3.3059999999999998E-6</v>
      </c>
      <c r="J45" s="23">
        <v>5.0600000000000003E-8</v>
      </c>
      <c r="K45" s="23">
        <v>1.613</v>
      </c>
      <c r="L45" s="23">
        <v>1.613</v>
      </c>
      <c r="M45" s="23">
        <v>3.7000000000000002E-3</v>
      </c>
      <c r="N45" s="23">
        <v>3.6800000000000001E-3</v>
      </c>
      <c r="O45">
        <v>3.7000000000000002E-3</v>
      </c>
      <c r="P45">
        <v>1.519E-7</v>
      </c>
    </row>
    <row r="46" spans="1:16" x14ac:dyDescent="0.25">
      <c r="B46" s="22">
        <v>55</v>
      </c>
      <c r="C46" s="26" t="s">
        <v>45</v>
      </c>
      <c r="D46" s="26" t="s">
        <v>46</v>
      </c>
      <c r="E46" s="22">
        <v>1</v>
      </c>
      <c r="F46" s="22">
        <v>2.4820000000000002</v>
      </c>
      <c r="G46" s="23">
        <v>2.1519999999999999E-6</v>
      </c>
      <c r="H46" s="23">
        <v>1.7230000000000003E-7</v>
      </c>
      <c r="I46" s="23">
        <v>5.383E-6</v>
      </c>
      <c r="J46" s="23">
        <v>1.607E-7</v>
      </c>
      <c r="K46" s="23">
        <v>1.599</v>
      </c>
      <c r="L46" s="23">
        <v>1.599</v>
      </c>
      <c r="M46" s="23">
        <v>4.4800000000000005E-3</v>
      </c>
      <c r="N46" s="23">
        <v>4.4800000000000005E-3</v>
      </c>
      <c r="O46">
        <v>4.5000000000000005E-3</v>
      </c>
      <c r="P46">
        <v>4.9630000000000002E-7</v>
      </c>
    </row>
    <row r="47" spans="1:16" x14ac:dyDescent="0.25">
      <c r="B47" s="22">
        <v>57</v>
      </c>
      <c r="C47" s="26" t="s">
        <v>45</v>
      </c>
      <c r="D47" s="27" t="s">
        <v>46</v>
      </c>
      <c r="E47" s="22">
        <v>1</v>
      </c>
      <c r="F47" s="22">
        <v>2.6869999999999998</v>
      </c>
      <c r="G47" s="23">
        <v>9.2960000000000007E-7</v>
      </c>
      <c r="H47" s="23">
        <v>7.1800000000000008E-8</v>
      </c>
      <c r="I47" s="23">
        <v>2.915E-6</v>
      </c>
      <c r="J47" s="23">
        <v>1.126E-7</v>
      </c>
      <c r="K47" s="23">
        <v>1.577</v>
      </c>
      <c r="L47" s="23">
        <v>1.577</v>
      </c>
      <c r="M47" s="23">
        <v>3.81E-3</v>
      </c>
      <c r="N47" s="23">
        <v>3.79E-3</v>
      </c>
      <c r="O47">
        <v>3.79E-3</v>
      </c>
      <c r="P47">
        <v>2.8490000000000002E-7</v>
      </c>
    </row>
    <row r="48" spans="1:16" x14ac:dyDescent="0.25">
      <c r="B48" s="22">
        <v>59</v>
      </c>
      <c r="C48" s="26" t="s">
        <v>45</v>
      </c>
      <c r="D48" s="27" t="s">
        <v>46</v>
      </c>
      <c r="E48" s="22">
        <v>1</v>
      </c>
      <c r="F48" s="22">
        <v>2.67</v>
      </c>
      <c r="G48" s="23">
        <v>3.596E-6</v>
      </c>
      <c r="H48" s="23">
        <v>2.9869999999999999E-7</v>
      </c>
      <c r="I48" s="23">
        <v>1.2460000000000001E-5</v>
      </c>
      <c r="J48" s="23">
        <v>2.9939999999999999E-7</v>
      </c>
      <c r="K48" s="23">
        <v>1.589</v>
      </c>
      <c r="L48" s="23">
        <v>1.589</v>
      </c>
      <c r="M48" s="23">
        <v>4.15E-3</v>
      </c>
      <c r="N48" s="23">
        <v>4.1700000000000001E-3</v>
      </c>
      <c r="O48">
        <v>4.1700000000000001E-3</v>
      </c>
      <c r="P48">
        <v>1.054E-6</v>
      </c>
    </row>
    <row r="49" spans="2:16" x14ac:dyDescent="0.25">
      <c r="B49" s="22">
        <v>60</v>
      </c>
      <c r="C49" s="26" t="s">
        <v>45</v>
      </c>
      <c r="D49" s="26" t="s">
        <v>46</v>
      </c>
      <c r="E49" s="22">
        <v>1</v>
      </c>
      <c r="F49" s="22">
        <v>2.5569999999999999</v>
      </c>
      <c r="G49" s="23">
        <v>1.3999999999999999E-6</v>
      </c>
      <c r="H49" s="23">
        <v>9.1100000000000002E-8</v>
      </c>
      <c r="I49" s="23">
        <v>4.2460000000000005E-6</v>
      </c>
      <c r="J49" s="23">
        <v>1.4009999999999999E-7</v>
      </c>
      <c r="K49" s="23">
        <v>1.6619999999999999</v>
      </c>
      <c r="L49" s="23">
        <v>1.6619999999999999</v>
      </c>
      <c r="M49" s="23">
        <v>3.8999999999999998E-3</v>
      </c>
      <c r="N49" s="23">
        <v>3.9100000000000003E-3</v>
      </c>
      <c r="O49">
        <v>3.9199999999999999E-3</v>
      </c>
      <c r="P49">
        <v>4.1040000000000002E-7</v>
      </c>
    </row>
    <row r="50" spans="2:16" x14ac:dyDescent="0.25">
      <c r="B50" s="22">
        <v>61</v>
      </c>
      <c r="C50" s="26" t="s">
        <v>45</v>
      </c>
      <c r="D50" s="26" t="s">
        <v>46</v>
      </c>
      <c r="E50" s="22">
        <v>1</v>
      </c>
      <c r="F50" s="22">
        <v>2.6669999999999998</v>
      </c>
      <c r="G50" s="23">
        <v>7.864E-7</v>
      </c>
      <c r="H50" s="23">
        <v>3.0100000000000005E-8</v>
      </c>
      <c r="I50" s="23">
        <v>3.6720000000000002E-6</v>
      </c>
      <c r="J50" s="23">
        <v>5.6400000000000002E-8</v>
      </c>
      <c r="K50" s="23">
        <v>1.569</v>
      </c>
      <c r="L50" s="23">
        <v>1.569</v>
      </c>
      <c r="M50" s="23">
        <v>3.7400000000000003E-3</v>
      </c>
      <c r="N50" s="23">
        <v>3.7300000000000002E-3</v>
      </c>
      <c r="O50">
        <v>3.7400000000000003E-3</v>
      </c>
      <c r="P50">
        <v>1.5580000000000003E-7</v>
      </c>
    </row>
    <row r="51" spans="2:16" x14ac:dyDescent="0.25">
      <c r="B51" s="22">
        <v>63</v>
      </c>
      <c r="C51" s="26" t="s">
        <v>45</v>
      </c>
      <c r="D51" s="26" t="s">
        <v>46</v>
      </c>
      <c r="E51" s="22">
        <v>1</v>
      </c>
      <c r="F51" s="22">
        <v>2.5489999999999999</v>
      </c>
      <c r="G51" s="23">
        <v>5.101000000000001E-7</v>
      </c>
      <c r="H51" s="23">
        <v>2.5600000000000004E-8</v>
      </c>
      <c r="I51" s="23">
        <v>2.83E-6</v>
      </c>
      <c r="J51" s="23">
        <v>5.1400000000000004E-8</v>
      </c>
      <c r="K51" s="23">
        <v>1.6140000000000001</v>
      </c>
      <c r="L51" s="23">
        <v>1.6140000000000001</v>
      </c>
      <c r="M51" s="23">
        <v>3.7200000000000002E-3</v>
      </c>
      <c r="N51" s="23">
        <v>3.7300000000000002E-3</v>
      </c>
      <c r="O51">
        <v>3.7300000000000002E-3</v>
      </c>
      <c r="P51">
        <v>1.4319999999999999E-7</v>
      </c>
    </row>
    <row r="52" spans="2:16" x14ac:dyDescent="0.25">
      <c r="B52" s="22">
        <v>64</v>
      </c>
      <c r="C52" s="26" t="s">
        <v>45</v>
      </c>
      <c r="D52" s="26" t="s">
        <v>46</v>
      </c>
      <c r="E52" s="22">
        <v>1</v>
      </c>
      <c r="F52" s="22">
        <v>2.6309999999999998</v>
      </c>
      <c r="G52" s="23">
        <v>4.6740000000000002E-7</v>
      </c>
      <c r="H52" s="23">
        <v>2.6899999999999999E-8</v>
      </c>
      <c r="I52" s="23">
        <v>1.703E-6</v>
      </c>
      <c r="J52" s="23">
        <v>5.3500000000000003E-8</v>
      </c>
      <c r="K52" s="23">
        <v>1.605</v>
      </c>
      <c r="L52" s="23">
        <v>1.605</v>
      </c>
      <c r="M52" s="23">
        <v>3.7599999999999999E-3</v>
      </c>
      <c r="N52" s="23">
        <v>3.7400000000000003E-3</v>
      </c>
      <c r="O52">
        <v>3.7499999999999999E-3</v>
      </c>
      <c r="P52">
        <v>1.5030000000000002E-7</v>
      </c>
    </row>
    <row r="53" spans="2:16" x14ac:dyDescent="0.25">
      <c r="B53" s="22">
        <v>68</v>
      </c>
      <c r="C53" s="26" t="s">
        <v>45</v>
      </c>
      <c r="D53" s="26" t="s">
        <v>46</v>
      </c>
      <c r="E53" s="22">
        <v>1</v>
      </c>
      <c r="F53" s="22">
        <v>2.6</v>
      </c>
      <c r="G53" s="23">
        <v>4.4580000000000003E-7</v>
      </c>
      <c r="H53" s="23">
        <v>2.6800000000000002E-8</v>
      </c>
      <c r="I53" s="23">
        <v>1.4499999999999999E-6</v>
      </c>
      <c r="J53" s="23">
        <v>5.4700000000000007E-8</v>
      </c>
      <c r="K53" s="23">
        <v>1.6</v>
      </c>
      <c r="L53" s="23">
        <v>1.6</v>
      </c>
      <c r="M53" s="23">
        <v>3.7200000000000002E-3</v>
      </c>
      <c r="N53" s="23">
        <v>3.7300000000000002E-3</v>
      </c>
      <c r="O53">
        <v>3.7400000000000003E-3</v>
      </c>
      <c r="P53">
        <v>1.5390000000000002E-7</v>
      </c>
    </row>
    <row r="54" spans="2:16" x14ac:dyDescent="0.25">
      <c r="B54" s="22">
        <v>69</v>
      </c>
      <c r="C54" s="26" t="s">
        <v>45</v>
      </c>
      <c r="D54" s="26" t="s">
        <v>46</v>
      </c>
      <c r="E54" s="22">
        <v>1</v>
      </c>
      <c r="F54" s="22">
        <v>2.59</v>
      </c>
      <c r="G54" s="23">
        <v>3.0989999999999999E-6</v>
      </c>
      <c r="H54" s="23">
        <v>2.8010000000000003E-7</v>
      </c>
      <c r="I54" s="23">
        <v>9.0499999999999997E-6</v>
      </c>
      <c r="J54" s="23">
        <v>2.7430000000000001E-7</v>
      </c>
      <c r="K54" s="23">
        <v>1.5820000000000001</v>
      </c>
      <c r="L54" s="23">
        <v>1.5820000000000001</v>
      </c>
      <c r="M54" s="23">
        <v>4.5999999999999999E-3</v>
      </c>
      <c r="N54" s="23">
        <v>4.6100000000000004E-3</v>
      </c>
      <c r="O54">
        <v>4.6299999999999996E-3</v>
      </c>
      <c r="P54">
        <v>7.7800000000000001E-7</v>
      </c>
    </row>
    <row r="55" spans="2:16" x14ac:dyDescent="0.25">
      <c r="B55" s="22">
        <v>70</v>
      </c>
      <c r="C55" s="26" t="s">
        <v>45</v>
      </c>
      <c r="D55" s="26" t="s">
        <v>46</v>
      </c>
      <c r="E55" s="22">
        <v>1</v>
      </c>
      <c r="F55" s="22">
        <v>2.573</v>
      </c>
      <c r="G55" s="23">
        <v>5.2060000000000004E-7</v>
      </c>
      <c r="H55" s="23">
        <v>3.33E-8</v>
      </c>
      <c r="I55" s="23">
        <v>1.9429999999999999E-6</v>
      </c>
      <c r="J55" s="23">
        <v>6.250000000000001E-8</v>
      </c>
      <c r="K55" s="23">
        <v>1.6</v>
      </c>
      <c r="L55" s="23">
        <v>1.6</v>
      </c>
      <c r="M55" s="23">
        <v>3.8E-3</v>
      </c>
      <c r="N55" s="23">
        <v>3.81E-3</v>
      </c>
      <c r="O55">
        <v>3.8300000000000001E-3</v>
      </c>
      <c r="P55">
        <v>1.7230000000000003E-7</v>
      </c>
    </row>
    <row r="56" spans="2:16" x14ac:dyDescent="0.25">
      <c r="B56" s="22">
        <v>71</v>
      </c>
      <c r="C56" s="26" t="s">
        <v>45</v>
      </c>
      <c r="D56" s="26" t="s">
        <v>46</v>
      </c>
      <c r="E56" s="22">
        <v>1</v>
      </c>
      <c r="F56" s="22">
        <v>2.694</v>
      </c>
      <c r="G56" s="23">
        <v>2.2389999999999997E-6</v>
      </c>
      <c r="H56" s="23">
        <v>2.3990000000000002E-7</v>
      </c>
      <c r="I56" s="23">
        <v>5.3769999999999995E-6</v>
      </c>
      <c r="J56" s="23">
        <v>2.357E-7</v>
      </c>
      <c r="K56" s="23">
        <v>1.58</v>
      </c>
      <c r="L56" s="23">
        <v>1.58</v>
      </c>
      <c r="M56" s="23">
        <v>3.8500000000000001E-3</v>
      </c>
      <c r="N56" s="23">
        <v>3.8500000000000001E-3</v>
      </c>
      <c r="O56">
        <v>3.8700000000000002E-3</v>
      </c>
      <c r="P56">
        <v>7.7910000000000009E-7</v>
      </c>
    </row>
    <row r="57" spans="2:16" x14ac:dyDescent="0.25">
      <c r="B57" s="22">
        <v>73</v>
      </c>
      <c r="C57" s="26" t="s">
        <v>45</v>
      </c>
      <c r="D57" s="26" t="s">
        <v>46</v>
      </c>
      <c r="E57" s="22">
        <v>1</v>
      </c>
      <c r="F57" s="22">
        <v>2.5920000000000001</v>
      </c>
      <c r="G57" s="23">
        <v>6.3010000000000001E-7</v>
      </c>
      <c r="H57" s="23">
        <v>2.1200000000000001E-8</v>
      </c>
      <c r="I57" s="23">
        <v>3.4879999999999999E-6</v>
      </c>
      <c r="J57" s="23">
        <v>4.5400000000000003E-8</v>
      </c>
      <c r="K57" s="23">
        <v>1.631</v>
      </c>
      <c r="L57" s="23">
        <v>1.631</v>
      </c>
      <c r="M57" s="23">
        <v>3.7400000000000003E-3</v>
      </c>
      <c r="N57" s="23">
        <v>3.7400000000000003E-3</v>
      </c>
      <c r="O57">
        <v>3.7599999999999999E-3</v>
      </c>
      <c r="P57">
        <v>1.4130000000000003E-7</v>
      </c>
    </row>
    <row r="58" spans="2:16" x14ac:dyDescent="0.25">
      <c r="B58" s="22">
        <v>75</v>
      </c>
      <c r="C58" s="26" t="s">
        <v>45</v>
      </c>
      <c r="D58" s="26" t="s">
        <v>46</v>
      </c>
      <c r="E58" s="22">
        <v>1</v>
      </c>
      <c r="F58" s="22">
        <v>2.4089999999999998</v>
      </c>
      <c r="G58" s="23">
        <v>1.5509999999999998E-6</v>
      </c>
      <c r="H58" s="23">
        <v>1.7090000000000003E-7</v>
      </c>
      <c r="I58" s="23">
        <v>3.5619999999999995E-6</v>
      </c>
      <c r="J58" s="23">
        <v>1.4919999999999999E-7</v>
      </c>
      <c r="K58" s="23">
        <v>1.6060000000000001</v>
      </c>
      <c r="L58" s="23">
        <v>1.6060000000000001</v>
      </c>
      <c r="M58" s="23">
        <v>4.2699999999999995E-3</v>
      </c>
      <c r="N58" s="23">
        <v>4.2699999999999995E-3</v>
      </c>
      <c r="O58">
        <v>4.2900000000000004E-3</v>
      </c>
      <c r="P58">
        <v>5.1180000000000002E-7</v>
      </c>
    </row>
    <row r="59" spans="2:16" x14ac:dyDescent="0.25">
      <c r="B59" s="22">
        <v>76</v>
      </c>
      <c r="C59" s="26" t="s">
        <v>45</v>
      </c>
      <c r="D59" s="27" t="s">
        <v>46</v>
      </c>
      <c r="E59" s="22">
        <v>1</v>
      </c>
      <c r="F59" s="22">
        <v>2.68</v>
      </c>
      <c r="G59" s="23">
        <v>6.5939999999999999E-7</v>
      </c>
      <c r="H59" s="23">
        <v>2.9700000000000001E-8</v>
      </c>
      <c r="I59" s="23">
        <v>3.394E-6</v>
      </c>
      <c r="J59" s="23">
        <v>5.84E-8</v>
      </c>
      <c r="K59" s="23">
        <v>1.571</v>
      </c>
      <c r="L59" s="23">
        <v>1.571</v>
      </c>
      <c r="M59" s="23">
        <v>3.7000000000000002E-3</v>
      </c>
      <c r="N59" s="23">
        <v>3.6900000000000001E-3</v>
      </c>
      <c r="O59">
        <v>3.7000000000000002E-3</v>
      </c>
      <c r="P59">
        <v>1.5630000000000002E-7</v>
      </c>
    </row>
    <row r="60" spans="2:16" x14ac:dyDescent="0.25">
      <c r="B60" s="22">
        <v>77</v>
      </c>
      <c r="C60" s="26" t="s">
        <v>45</v>
      </c>
      <c r="D60" s="26" t="s">
        <v>46</v>
      </c>
      <c r="E60" s="22">
        <v>1</v>
      </c>
      <c r="F60" s="22">
        <v>2.67</v>
      </c>
      <c r="G60" s="23">
        <v>2.2539999999999999E-6</v>
      </c>
      <c r="H60" s="23">
        <v>1.9900000000000002E-7</v>
      </c>
      <c r="I60" s="23">
        <v>6.2039999999999994E-6</v>
      </c>
      <c r="J60" s="23">
        <v>2.3680000000000003E-7</v>
      </c>
      <c r="K60" s="23">
        <v>1.5780000000000001</v>
      </c>
      <c r="L60" s="23">
        <v>1.5780000000000001</v>
      </c>
      <c r="M60" s="23">
        <v>4.0999999999999995E-3</v>
      </c>
      <c r="N60" s="23">
        <v>4.0800000000000003E-3</v>
      </c>
      <c r="O60">
        <v>4.0999999999999995E-3</v>
      </c>
      <c r="P60">
        <v>6.4639999999999996E-7</v>
      </c>
    </row>
    <row r="61" spans="2:16" x14ac:dyDescent="0.25">
      <c r="B61" s="22">
        <v>78</v>
      </c>
      <c r="C61" s="26" t="s">
        <v>45</v>
      </c>
      <c r="D61" s="27" t="s">
        <v>46</v>
      </c>
      <c r="E61" s="22">
        <v>1</v>
      </c>
      <c r="F61" s="22">
        <v>2.661</v>
      </c>
      <c r="G61" s="23">
        <v>2.5059999999999998E-6</v>
      </c>
      <c r="H61" s="23">
        <v>2.3980000000000002E-7</v>
      </c>
      <c r="I61" s="23">
        <v>6.7549999999999997E-6</v>
      </c>
      <c r="J61" s="23">
        <v>2.6619999999999999E-7</v>
      </c>
      <c r="K61" s="23">
        <v>1.583</v>
      </c>
      <c r="L61" s="23">
        <v>1.583</v>
      </c>
      <c r="M61" s="23">
        <v>4.1100000000000008E-3</v>
      </c>
      <c r="N61" s="23">
        <v>4.1200000000000004E-3</v>
      </c>
      <c r="O61">
        <v>4.1399999999999996E-3</v>
      </c>
      <c r="P61">
        <v>7.7400000000000002E-7</v>
      </c>
    </row>
    <row r="62" spans="2:16" x14ac:dyDescent="0.25">
      <c r="B62" s="22">
        <v>79</v>
      </c>
      <c r="C62" s="26" t="s">
        <v>45</v>
      </c>
      <c r="D62" s="26" t="s">
        <v>46</v>
      </c>
      <c r="E62" s="22">
        <v>1</v>
      </c>
      <c r="F62" s="22">
        <v>2.6150000000000002</v>
      </c>
      <c r="G62" s="23">
        <v>2.4569999999999999E-6</v>
      </c>
      <c r="H62" s="23">
        <v>2.266E-7</v>
      </c>
      <c r="I62" s="23">
        <v>6.7880000000000001E-6</v>
      </c>
      <c r="J62" s="23">
        <v>2.4400000000000001E-7</v>
      </c>
      <c r="K62" s="23">
        <v>1.629</v>
      </c>
      <c r="L62" s="23">
        <v>1.629</v>
      </c>
      <c r="M62" s="23">
        <v>4.0499999999999998E-3</v>
      </c>
      <c r="N62" s="23">
        <v>4.0400000000000002E-3</v>
      </c>
      <c r="O62">
        <v>4.0599999999999994E-3</v>
      </c>
      <c r="P62">
        <v>1.0189999999999999E-6</v>
      </c>
    </row>
    <row r="63" spans="2:16" x14ac:dyDescent="0.25">
      <c r="B63" s="22">
        <v>81</v>
      </c>
      <c r="C63" s="26" t="s">
        <v>45</v>
      </c>
      <c r="D63" s="27" t="s">
        <v>46</v>
      </c>
      <c r="E63" s="22">
        <v>1</v>
      </c>
      <c r="F63" s="22">
        <v>2.677</v>
      </c>
      <c r="G63" s="23">
        <v>7.1000000000000008E-7</v>
      </c>
      <c r="H63" s="23">
        <v>3.0500000000000002E-8</v>
      </c>
      <c r="I63" s="23">
        <v>2.9319999999999996E-6</v>
      </c>
      <c r="J63" s="23">
        <v>5.99E-8</v>
      </c>
      <c r="K63" s="23">
        <v>1.5780000000000001</v>
      </c>
      <c r="L63" s="23">
        <v>1.5780000000000001</v>
      </c>
      <c r="M63" s="23">
        <v>3.8999999999999998E-3</v>
      </c>
      <c r="N63" s="23">
        <v>3.8900000000000002E-3</v>
      </c>
      <c r="O63">
        <v>3.9199999999999999E-3</v>
      </c>
      <c r="P63">
        <v>1.5020000000000001E-7</v>
      </c>
    </row>
    <row r="64" spans="2:16" x14ac:dyDescent="0.25">
      <c r="B64" s="22">
        <v>82</v>
      </c>
      <c r="C64" s="26" t="s">
        <v>45</v>
      </c>
      <c r="D64" s="26" t="s">
        <v>46</v>
      </c>
      <c r="E64" s="22">
        <v>1</v>
      </c>
      <c r="F64" s="22">
        <v>2.63</v>
      </c>
      <c r="G64" s="23">
        <v>7.9980000000000005E-7</v>
      </c>
      <c r="H64" s="23">
        <v>2.9500000000000003E-8</v>
      </c>
      <c r="I64" s="23">
        <v>2.2589999999999999E-6</v>
      </c>
      <c r="J64" s="23">
        <v>5.7200000000000009E-8</v>
      </c>
      <c r="K64" s="23">
        <v>1.5820000000000001</v>
      </c>
      <c r="L64" s="23">
        <v>1.5820000000000001</v>
      </c>
      <c r="M64" s="23">
        <v>3.7599999999999999E-3</v>
      </c>
      <c r="N64" s="23">
        <v>3.7400000000000003E-3</v>
      </c>
      <c r="O64">
        <v>3.7599999999999999E-3</v>
      </c>
      <c r="P64">
        <v>1.5519999999999999E-7</v>
      </c>
    </row>
    <row r="65" spans="2:16" x14ac:dyDescent="0.25">
      <c r="B65" s="22">
        <v>84</v>
      </c>
      <c r="C65" s="26" t="s">
        <v>45</v>
      </c>
      <c r="D65" s="27" t="s">
        <v>46</v>
      </c>
      <c r="E65" s="22">
        <v>1</v>
      </c>
      <c r="F65" s="22">
        <v>2.6</v>
      </c>
      <c r="G65" s="23">
        <v>5.0120000000000007E-7</v>
      </c>
      <c r="H65" s="23">
        <v>3.7200000000000002E-8</v>
      </c>
      <c r="I65" s="23">
        <v>1.9259999999999999E-6</v>
      </c>
      <c r="J65" s="23">
        <v>6.8099999999999994E-8</v>
      </c>
      <c r="K65" s="23">
        <v>1.585</v>
      </c>
      <c r="L65" s="23">
        <v>1.585</v>
      </c>
      <c r="M65" s="23">
        <v>3.82E-3</v>
      </c>
      <c r="N65" s="23">
        <v>3.8E-3</v>
      </c>
      <c r="O65">
        <v>3.82E-3</v>
      </c>
      <c r="P65">
        <v>1.7690000000000003E-7</v>
      </c>
    </row>
    <row r="66" spans="2:16" x14ac:dyDescent="0.25">
      <c r="B66" s="22">
        <v>85</v>
      </c>
      <c r="C66" s="26" t="s">
        <v>45</v>
      </c>
      <c r="D66" s="26" t="s">
        <v>46</v>
      </c>
      <c r="E66" s="22">
        <v>1</v>
      </c>
      <c r="F66" s="22">
        <v>2.452</v>
      </c>
      <c r="G66" s="23">
        <v>2.9109999999999997E-6</v>
      </c>
      <c r="H66" s="23">
        <v>6.6100000000000003E-8</v>
      </c>
      <c r="I66" s="23">
        <v>8.5649999999999985E-6</v>
      </c>
      <c r="J66" s="23">
        <v>1.0690000000000001E-7</v>
      </c>
      <c r="K66" s="23">
        <v>1.645</v>
      </c>
      <c r="L66" s="23">
        <v>1.645</v>
      </c>
      <c r="M66" s="23">
        <v>4.6600000000000001E-3</v>
      </c>
      <c r="N66" s="23">
        <v>4.6699999999999997E-3</v>
      </c>
      <c r="O66">
        <v>4.7000000000000002E-3</v>
      </c>
      <c r="P66">
        <v>3.3110000000000005E-7</v>
      </c>
    </row>
    <row r="67" spans="2:16" x14ac:dyDescent="0.25">
      <c r="B67" s="22">
        <v>88</v>
      </c>
      <c r="C67" s="26" t="s">
        <v>45</v>
      </c>
      <c r="D67" s="26" t="s">
        <v>46</v>
      </c>
      <c r="E67" s="22">
        <v>1</v>
      </c>
      <c r="F67" s="22">
        <v>2.5009999999999999</v>
      </c>
      <c r="G67" s="23">
        <v>4.4530000000000005E-7</v>
      </c>
      <c r="H67" s="23">
        <v>2.2399999999999999E-8</v>
      </c>
      <c r="I67" s="23">
        <v>2.2120000000000002E-6</v>
      </c>
      <c r="J67" s="23">
        <v>4.7600000000000003E-8</v>
      </c>
      <c r="K67" s="23">
        <v>1.6379999999999999</v>
      </c>
      <c r="L67" s="23">
        <v>1.6379999999999999</v>
      </c>
      <c r="M67" s="23">
        <v>3.7300000000000002E-3</v>
      </c>
      <c r="N67" s="23">
        <v>3.7300000000000002E-3</v>
      </c>
      <c r="O67">
        <v>3.7400000000000003E-3</v>
      </c>
      <c r="P67">
        <v>1.3969999999999999E-7</v>
      </c>
    </row>
    <row r="68" spans="2:16" x14ac:dyDescent="0.25">
      <c r="B68" s="22">
        <v>89</v>
      </c>
      <c r="C68" s="26" t="s">
        <v>45</v>
      </c>
      <c r="D68" s="26" t="s">
        <v>46</v>
      </c>
      <c r="E68" s="22">
        <v>1</v>
      </c>
      <c r="F68" s="22">
        <v>2.65</v>
      </c>
      <c r="G68" s="23">
        <v>2.9299999999999999E-6</v>
      </c>
      <c r="H68" s="23">
        <v>1.987E-7</v>
      </c>
      <c r="I68" s="23">
        <v>8.4909999999999988E-6</v>
      </c>
      <c r="J68" s="23">
        <v>2.3450000000000002E-7</v>
      </c>
      <c r="K68" s="23">
        <v>1.508</v>
      </c>
      <c r="L68" s="23">
        <v>1.508</v>
      </c>
      <c r="M68" s="23">
        <v>4.8500000000000001E-3</v>
      </c>
      <c r="N68" s="23">
        <v>4.8399999999999997E-3</v>
      </c>
      <c r="O68">
        <v>4.8799999999999998E-3</v>
      </c>
      <c r="P68">
        <v>5.7279999999999994E-7</v>
      </c>
    </row>
    <row r="69" spans="2:16" x14ac:dyDescent="0.25">
      <c r="B69" s="22">
        <v>95</v>
      </c>
      <c r="C69" s="26" t="s">
        <v>45</v>
      </c>
      <c r="D69" s="26" t="s">
        <v>46</v>
      </c>
      <c r="E69" s="22">
        <v>1</v>
      </c>
      <c r="F69" s="22">
        <v>2.3410000000000002</v>
      </c>
      <c r="G69" s="23">
        <v>2.0310000000000001E-6</v>
      </c>
      <c r="H69" s="23">
        <v>1.815E-7</v>
      </c>
      <c r="I69" s="23">
        <v>5.1820000000000005E-6</v>
      </c>
      <c r="J69" s="23">
        <v>1.6530000000000003E-7</v>
      </c>
      <c r="K69" s="23">
        <v>1.6080000000000001</v>
      </c>
      <c r="L69" s="23">
        <v>1.6080000000000001</v>
      </c>
      <c r="M69" s="23">
        <v>4.9000000000000007E-3</v>
      </c>
      <c r="N69" s="23">
        <v>4.8899999999999994E-3</v>
      </c>
      <c r="O69">
        <v>4.9299999999999995E-3</v>
      </c>
      <c r="P69">
        <v>4.9370000000000003E-7</v>
      </c>
    </row>
    <row r="70" spans="2:16" x14ac:dyDescent="0.25">
      <c r="B70" s="22">
        <v>103</v>
      </c>
      <c r="C70" s="26" t="s">
        <v>45</v>
      </c>
      <c r="D70" s="27" t="s">
        <v>46</v>
      </c>
      <c r="E70" s="22">
        <v>1</v>
      </c>
      <c r="F70" s="22">
        <v>2.5470000000000002</v>
      </c>
      <c r="G70" s="23">
        <v>2.5129999999999999E-6</v>
      </c>
      <c r="H70" s="23">
        <v>2.3190000000000003E-7</v>
      </c>
      <c r="I70" s="23">
        <v>6.6950000000000003E-6</v>
      </c>
      <c r="J70" s="23">
        <v>2.4910000000000003E-7</v>
      </c>
      <c r="K70" s="23">
        <v>1.637</v>
      </c>
      <c r="L70" s="23">
        <v>1.637</v>
      </c>
      <c r="M70" s="23">
        <v>4.1700000000000001E-3</v>
      </c>
      <c r="N70" s="23">
        <v>4.1600000000000005E-3</v>
      </c>
      <c r="O70">
        <v>4.1900000000000001E-3</v>
      </c>
      <c r="P70">
        <v>8.5060000000000006E-7</v>
      </c>
    </row>
    <row r="71" spans="2:16" x14ac:dyDescent="0.25">
      <c r="B71" s="22">
        <v>108</v>
      </c>
      <c r="C71" s="26" t="s">
        <v>45</v>
      </c>
      <c r="D71" s="26" t="s">
        <v>46</v>
      </c>
      <c r="E71" s="22">
        <v>1</v>
      </c>
      <c r="F71" s="22">
        <v>3.11</v>
      </c>
      <c r="G71" s="23">
        <v>1.3859999999999997E-6</v>
      </c>
      <c r="H71" s="23">
        <v>1.1150000000000001E-7</v>
      </c>
      <c r="I71" s="23">
        <v>3.704E-6</v>
      </c>
      <c r="J71" s="23">
        <v>1.6180000000000003E-7</v>
      </c>
      <c r="K71" s="23">
        <v>1.5549999999999999</v>
      </c>
      <c r="L71" s="23">
        <v>1.5549999999999999</v>
      </c>
      <c r="M71" s="23">
        <v>3.9500000000000004E-3</v>
      </c>
      <c r="N71" s="23">
        <v>3.9399999999999999E-3</v>
      </c>
      <c r="O71">
        <v>3.96E-3</v>
      </c>
      <c r="P71">
        <v>3.6010000000000005E-7</v>
      </c>
    </row>
    <row r="72" spans="2:16" x14ac:dyDescent="0.25">
      <c r="B72" s="22">
        <v>110</v>
      </c>
      <c r="C72" s="26" t="s">
        <v>45</v>
      </c>
      <c r="D72" s="26" t="s">
        <v>46</v>
      </c>
      <c r="E72" s="22">
        <v>1</v>
      </c>
      <c r="F72" s="22">
        <v>2.5609999999999999</v>
      </c>
      <c r="G72" s="23">
        <v>8.9420000000000005E-7</v>
      </c>
      <c r="H72" s="23">
        <v>1.9100000000000002E-8</v>
      </c>
      <c r="I72" s="23">
        <v>4.7129999999999996E-6</v>
      </c>
      <c r="J72" s="23">
        <v>3.9500000000000003E-8</v>
      </c>
      <c r="K72" s="23">
        <v>1.6459999999999999</v>
      </c>
      <c r="L72" s="23">
        <v>1.6459999999999999</v>
      </c>
      <c r="M72" s="23">
        <v>3.81E-3</v>
      </c>
      <c r="N72" s="23">
        <v>3.81E-3</v>
      </c>
      <c r="O72">
        <v>3.8300000000000001E-3</v>
      </c>
      <c r="P72">
        <v>1.3059999999999999E-7</v>
      </c>
    </row>
    <row r="73" spans="2:16" x14ac:dyDescent="0.25">
      <c r="B73" s="22">
        <v>116</v>
      </c>
      <c r="C73" s="26" t="s">
        <v>45</v>
      </c>
      <c r="D73" s="27" t="s">
        <v>46</v>
      </c>
      <c r="E73" s="22">
        <v>1</v>
      </c>
      <c r="F73" s="22">
        <v>2.5179999999999998</v>
      </c>
      <c r="G73" s="23">
        <v>1.296E-6</v>
      </c>
      <c r="H73" s="23">
        <v>1.29E-7</v>
      </c>
      <c r="I73" s="23">
        <v>3.0110000000000001E-6</v>
      </c>
      <c r="J73" s="23">
        <v>1.3550000000000002E-7</v>
      </c>
      <c r="K73" s="23">
        <v>1.6060000000000001</v>
      </c>
      <c r="L73" s="23">
        <v>1.6060000000000001</v>
      </c>
      <c r="M73" s="23">
        <v>4.1799999999999997E-3</v>
      </c>
      <c r="N73" s="23">
        <v>4.1900000000000001E-3</v>
      </c>
      <c r="O73">
        <v>4.2100000000000002E-3</v>
      </c>
      <c r="P73">
        <v>4.1880000000000002E-7</v>
      </c>
    </row>
    <row r="74" spans="2:16" x14ac:dyDescent="0.25">
      <c r="B74" s="22">
        <v>118</v>
      </c>
      <c r="C74" s="26" t="s">
        <v>45</v>
      </c>
      <c r="D74" s="27" t="s">
        <v>46</v>
      </c>
      <c r="E74" s="22">
        <v>1</v>
      </c>
      <c r="F74" s="22">
        <v>2.6619999999999999</v>
      </c>
      <c r="G74" s="23">
        <v>2.4129999999999996E-6</v>
      </c>
      <c r="H74" s="23">
        <v>1.0550000000000001E-7</v>
      </c>
      <c r="I74" s="23">
        <v>6.3809999999999996E-6</v>
      </c>
      <c r="J74" s="23">
        <v>1.6159999999999999E-7</v>
      </c>
      <c r="K74" s="23">
        <v>1.5940000000000001</v>
      </c>
      <c r="L74" s="23">
        <v>1.5940000000000001</v>
      </c>
      <c r="M74" s="23">
        <v>3.9100000000000003E-3</v>
      </c>
      <c r="N74" s="23">
        <v>3.9100000000000003E-3</v>
      </c>
      <c r="O74">
        <v>3.9199999999999999E-3</v>
      </c>
      <c r="P74">
        <v>4.0330000000000002E-7</v>
      </c>
    </row>
    <row r="75" spans="2:16" x14ac:dyDescent="0.25">
      <c r="B75" s="22">
        <v>124</v>
      </c>
      <c r="C75" s="26" t="s">
        <v>45</v>
      </c>
      <c r="D75" s="26" t="s">
        <v>46</v>
      </c>
      <c r="E75" s="22">
        <v>1</v>
      </c>
      <c r="F75" s="22">
        <v>3.109</v>
      </c>
      <c r="G75" s="23">
        <v>4.6699999999999993E-6</v>
      </c>
      <c r="H75" s="23">
        <v>2.5980000000000004E-7</v>
      </c>
      <c r="I75" s="23">
        <v>1.0159999999999999E-5</v>
      </c>
      <c r="J75" s="23">
        <v>2.6189999999999998E-7</v>
      </c>
      <c r="K75" s="23">
        <v>1.52</v>
      </c>
      <c r="L75" s="23">
        <v>1.52</v>
      </c>
      <c r="M75" s="23">
        <v>3.9500000000000004E-3</v>
      </c>
      <c r="N75" s="23">
        <v>3.9500000000000004E-3</v>
      </c>
      <c r="O75">
        <v>3.96E-3</v>
      </c>
      <c r="P75">
        <v>7.2630000000000004E-7</v>
      </c>
    </row>
    <row r="76" spans="2:16" x14ac:dyDescent="0.25">
      <c r="B76" s="22">
        <v>129</v>
      </c>
      <c r="C76" s="26" t="s">
        <v>45</v>
      </c>
      <c r="D76" s="27" t="s">
        <v>46</v>
      </c>
      <c r="E76" s="22">
        <v>1</v>
      </c>
      <c r="F76" s="22">
        <v>2.6760000000000002</v>
      </c>
      <c r="G76" s="23">
        <v>1.1650000000000001E-6</v>
      </c>
      <c r="H76" s="23">
        <v>8.5000000000000007E-8</v>
      </c>
      <c r="I76" s="23">
        <v>3.286E-6</v>
      </c>
      <c r="J76" s="23">
        <v>1.2660000000000001E-7</v>
      </c>
      <c r="K76" s="23">
        <v>1.5760000000000001</v>
      </c>
      <c r="L76" s="23">
        <v>1.5760000000000001</v>
      </c>
      <c r="M76" s="23">
        <v>3.81E-3</v>
      </c>
      <c r="N76" s="23">
        <v>3.81E-3</v>
      </c>
      <c r="O76">
        <v>3.82E-3</v>
      </c>
      <c r="P76">
        <v>3.2389999999999998E-7</v>
      </c>
    </row>
    <row r="77" spans="2:16" x14ac:dyDescent="0.25">
      <c r="B77" s="22">
        <v>130</v>
      </c>
      <c r="C77" s="26" t="s">
        <v>45</v>
      </c>
      <c r="D77" s="27" t="s">
        <v>46</v>
      </c>
      <c r="E77" s="22">
        <v>1</v>
      </c>
      <c r="F77" s="22">
        <v>2.5790000000000002</v>
      </c>
      <c r="G77" s="23">
        <v>1.6619999999999999E-6</v>
      </c>
      <c r="H77" s="23">
        <v>1.9360000000000001E-7</v>
      </c>
      <c r="I77" s="23">
        <v>3.7699999999999999E-6</v>
      </c>
      <c r="J77" s="23">
        <v>1.734E-7</v>
      </c>
      <c r="K77" s="23">
        <v>1.593</v>
      </c>
      <c r="L77" s="23">
        <v>1.593</v>
      </c>
      <c r="M77" s="23">
        <v>3.8999999999999998E-3</v>
      </c>
      <c r="N77" s="23">
        <v>3.8999999999999998E-3</v>
      </c>
      <c r="O77">
        <v>3.9199999999999999E-3</v>
      </c>
      <c r="P77">
        <v>6.3010000000000001E-7</v>
      </c>
    </row>
    <row r="78" spans="2:16" x14ac:dyDescent="0.25">
      <c r="B78" s="22">
        <v>131</v>
      </c>
      <c r="C78" s="26" t="s">
        <v>45</v>
      </c>
      <c r="D78" s="26" t="s">
        <v>46</v>
      </c>
      <c r="E78" s="22">
        <v>1</v>
      </c>
      <c r="F78" s="22">
        <v>2.4620000000000002</v>
      </c>
      <c r="G78" s="23">
        <v>1.1069999999999999E-6</v>
      </c>
      <c r="H78" s="23">
        <v>5.0899999999999999E-8</v>
      </c>
      <c r="I78" s="23">
        <v>4.2819999999999998E-6</v>
      </c>
      <c r="J78" s="23">
        <v>8.9500000000000001E-8</v>
      </c>
      <c r="K78" s="23">
        <v>1.6930000000000001</v>
      </c>
      <c r="L78" s="23">
        <v>1.6930000000000001</v>
      </c>
      <c r="M78" s="23">
        <v>3.8700000000000002E-3</v>
      </c>
      <c r="N78" s="23">
        <v>3.8600000000000001E-3</v>
      </c>
      <c r="O78">
        <v>3.8700000000000002E-3</v>
      </c>
      <c r="P78">
        <v>2.7930000000000002E-7</v>
      </c>
    </row>
    <row r="79" spans="2:16" x14ac:dyDescent="0.25">
      <c r="B79" s="22">
        <v>135</v>
      </c>
      <c r="C79" s="26" t="s">
        <v>45</v>
      </c>
      <c r="D79" s="26" t="s">
        <v>46</v>
      </c>
      <c r="E79" s="22">
        <v>1</v>
      </c>
      <c r="F79" s="22">
        <v>2.5529999999999999</v>
      </c>
      <c r="G79" s="23">
        <v>3.19E-6</v>
      </c>
      <c r="H79" s="23">
        <v>3.1200000000000001E-8</v>
      </c>
      <c r="I79" s="23">
        <v>1.3329999999999999E-5</v>
      </c>
      <c r="J79" s="23">
        <v>4.6600000000000007E-8</v>
      </c>
      <c r="K79" s="23">
        <v>1.6339999999999999</v>
      </c>
      <c r="L79" s="23">
        <v>1.6339999999999999</v>
      </c>
      <c r="M79" s="23">
        <v>3.8999999999999998E-3</v>
      </c>
      <c r="N79" s="23">
        <v>3.9100000000000003E-3</v>
      </c>
      <c r="O79">
        <v>3.9300000000000003E-3</v>
      </c>
      <c r="P79">
        <v>1.4700000000000001E-7</v>
      </c>
    </row>
    <row r="80" spans="2:16" x14ac:dyDescent="0.25">
      <c r="B80" s="22">
        <v>141</v>
      </c>
      <c r="C80" s="22" t="s">
        <v>45</v>
      </c>
      <c r="D80" s="22" t="s">
        <v>46</v>
      </c>
      <c r="E80" s="22">
        <v>1</v>
      </c>
      <c r="F80" s="22">
        <v>2.645</v>
      </c>
      <c r="G80" s="23">
        <v>1.1539999999999999E-6</v>
      </c>
      <c r="H80" s="23">
        <v>5.8500000000000001E-8</v>
      </c>
      <c r="I80" s="23">
        <v>4.4279999999999998E-6</v>
      </c>
      <c r="J80" s="23">
        <v>9.8799999999999998E-8</v>
      </c>
      <c r="K80" s="23">
        <v>1.583</v>
      </c>
      <c r="L80" s="23">
        <v>1.583</v>
      </c>
      <c r="M80" s="23">
        <v>3.82E-3</v>
      </c>
      <c r="N80" s="23">
        <v>3.82E-3</v>
      </c>
      <c r="O80">
        <v>3.82E-3</v>
      </c>
      <c r="P80">
        <v>2.4560000000000003E-7</v>
      </c>
    </row>
    <row r="81" spans="2:16" x14ac:dyDescent="0.25">
      <c r="B81" s="22">
        <v>148</v>
      </c>
      <c r="C81" s="22" t="s">
        <v>45</v>
      </c>
      <c r="D81" s="22" t="s">
        <v>46</v>
      </c>
      <c r="E81" s="22">
        <v>1</v>
      </c>
      <c r="F81" s="22">
        <v>2.6040000000000001</v>
      </c>
      <c r="G81" s="23">
        <v>8.8970000000000014E-7</v>
      </c>
      <c r="H81" s="23">
        <v>7.3700000000000005E-8</v>
      </c>
      <c r="I81" s="23">
        <v>2.6569999999999997E-6</v>
      </c>
      <c r="J81" s="23">
        <v>1.138E-7</v>
      </c>
      <c r="K81" s="23">
        <v>1.5780000000000001</v>
      </c>
      <c r="L81" s="23">
        <v>1.5780000000000001</v>
      </c>
      <c r="M81" s="23">
        <v>3.9399999999999999E-3</v>
      </c>
      <c r="N81" s="23">
        <v>3.9300000000000003E-3</v>
      </c>
      <c r="O81">
        <v>3.9500000000000004E-3</v>
      </c>
      <c r="P81">
        <v>2.5810000000000001E-7</v>
      </c>
    </row>
    <row r="82" spans="2:16" x14ac:dyDescent="0.25">
      <c r="B82" s="22">
        <v>152</v>
      </c>
      <c r="C82" s="22" t="s">
        <v>45</v>
      </c>
      <c r="D82" s="22" t="s">
        <v>46</v>
      </c>
      <c r="E82" s="22">
        <v>1</v>
      </c>
      <c r="F82" s="22">
        <v>2.5609999999999999</v>
      </c>
      <c r="G82" s="23">
        <v>1.1659999999999999E-6</v>
      </c>
      <c r="H82" s="23">
        <v>9.6300000000000009E-8</v>
      </c>
      <c r="I82" s="23">
        <v>3.0489999999999999E-6</v>
      </c>
      <c r="J82" s="23">
        <v>1.3409999999999999E-7</v>
      </c>
      <c r="K82" s="23">
        <v>1.6080000000000001</v>
      </c>
      <c r="L82" s="23">
        <v>1.6080000000000001</v>
      </c>
      <c r="M82" s="23">
        <v>3.9900000000000005E-3</v>
      </c>
      <c r="N82" s="23">
        <v>3.9900000000000005E-3</v>
      </c>
      <c r="O82">
        <v>4.0099999999999997E-3</v>
      </c>
      <c r="P82">
        <v>3.3710000000000002E-7</v>
      </c>
    </row>
    <row r="83" spans="2:16" x14ac:dyDescent="0.25">
      <c r="B83" s="22">
        <v>158</v>
      </c>
      <c r="C83" s="22" t="s">
        <v>45</v>
      </c>
      <c r="D83" s="22" t="s">
        <v>46</v>
      </c>
      <c r="E83" s="22">
        <v>1</v>
      </c>
      <c r="F83" s="22">
        <v>2.6190000000000002</v>
      </c>
      <c r="G83" s="23">
        <v>9.7270000000000002E-7</v>
      </c>
      <c r="H83" s="23">
        <v>2.6899999999999999E-8</v>
      </c>
      <c r="I83" s="23">
        <v>4.8840000000000002E-6</v>
      </c>
      <c r="J83" s="23">
        <v>5.4600000000000006E-8</v>
      </c>
      <c r="K83" s="23">
        <v>1.643</v>
      </c>
      <c r="L83" s="23">
        <v>1.643</v>
      </c>
      <c r="M83" s="23">
        <v>3.7000000000000002E-3</v>
      </c>
      <c r="N83" s="23">
        <v>3.7000000000000002E-3</v>
      </c>
      <c r="O83">
        <v>3.7100000000000002E-3</v>
      </c>
      <c r="P83">
        <v>1.6610000000000001E-7</v>
      </c>
    </row>
    <row r="84" spans="2:16" x14ac:dyDescent="0.25">
      <c r="B84" s="22">
        <v>161</v>
      </c>
      <c r="C84" s="22" t="s">
        <v>45</v>
      </c>
      <c r="D84" s="22" t="s">
        <v>46</v>
      </c>
      <c r="E84" s="22">
        <v>1</v>
      </c>
      <c r="F84" s="22">
        <v>2.597</v>
      </c>
      <c r="G84" s="23">
        <v>7.1110000000000006E-7</v>
      </c>
      <c r="H84" s="23">
        <v>4.4700000000000003E-8</v>
      </c>
      <c r="I84" s="23">
        <v>2.6689999999999998E-6</v>
      </c>
      <c r="J84" s="23">
        <v>7.9900000000000007E-8</v>
      </c>
      <c r="K84" s="23">
        <v>1.651</v>
      </c>
      <c r="L84" s="23">
        <v>1.651</v>
      </c>
      <c r="M84" s="23">
        <v>3.7300000000000002E-3</v>
      </c>
      <c r="N84" s="23">
        <v>3.7300000000000002E-3</v>
      </c>
      <c r="O84">
        <v>3.7400000000000003E-3</v>
      </c>
      <c r="P84">
        <v>2.315E-7</v>
      </c>
    </row>
    <row r="85" spans="2:16" x14ac:dyDescent="0.25">
      <c r="B85" s="22">
        <v>162</v>
      </c>
      <c r="C85" s="22" t="s">
        <v>45</v>
      </c>
      <c r="D85" s="22" t="s">
        <v>46</v>
      </c>
      <c r="E85" s="22">
        <v>1</v>
      </c>
      <c r="F85" s="22">
        <v>2.65</v>
      </c>
      <c r="G85" s="23">
        <v>2.8330000000000002E-6</v>
      </c>
      <c r="H85" s="23">
        <v>1.8400000000000001E-7</v>
      </c>
      <c r="I85" s="23">
        <v>7.6210000000000004E-6</v>
      </c>
      <c r="J85" s="23">
        <v>2.2150000000000002E-7</v>
      </c>
      <c r="K85" s="23">
        <v>1.522</v>
      </c>
      <c r="L85" s="23">
        <v>1.522</v>
      </c>
      <c r="M85" s="23">
        <v>4.62E-3</v>
      </c>
      <c r="N85" s="23">
        <v>4.62E-3</v>
      </c>
      <c r="O85">
        <v>4.6500000000000005E-3</v>
      </c>
      <c r="P85">
        <v>5.2770000000000005E-7</v>
      </c>
    </row>
    <row r="86" spans="2:16" x14ac:dyDescent="0.25">
      <c r="B86" s="22">
        <v>164</v>
      </c>
      <c r="C86" s="22" t="s">
        <v>45</v>
      </c>
      <c r="D86" s="22" t="s">
        <v>46</v>
      </c>
      <c r="E86" s="22">
        <v>1</v>
      </c>
      <c r="F86" s="22">
        <v>2.8929999999999998</v>
      </c>
      <c r="G86" s="23">
        <v>7.0400000000000006E-7</v>
      </c>
      <c r="H86" s="23">
        <v>3.9799999999999999E-8</v>
      </c>
      <c r="I86" s="23">
        <v>2.8109999999999999E-6</v>
      </c>
      <c r="J86" s="23">
        <v>7.1200000000000002E-8</v>
      </c>
      <c r="K86" s="23">
        <v>1.6180000000000001</v>
      </c>
      <c r="L86" s="23">
        <v>1.6180000000000001</v>
      </c>
      <c r="M86" s="23">
        <v>3.6700000000000001E-3</v>
      </c>
      <c r="N86" s="23">
        <v>3.6800000000000001E-3</v>
      </c>
      <c r="O86">
        <v>3.6900000000000001E-3</v>
      </c>
      <c r="P86">
        <v>1.9940000000000003E-7</v>
      </c>
    </row>
    <row r="87" spans="2:16" x14ac:dyDescent="0.25">
      <c r="B87" s="22">
        <v>165</v>
      </c>
      <c r="C87" s="22" t="s">
        <v>45</v>
      </c>
      <c r="D87" s="22" t="s">
        <v>46</v>
      </c>
      <c r="E87" s="22">
        <v>1</v>
      </c>
      <c r="F87" s="22">
        <v>2.57</v>
      </c>
      <c r="G87" s="23">
        <v>2.8499999999999998E-6</v>
      </c>
      <c r="H87" s="23">
        <v>1.7180000000000002E-7</v>
      </c>
      <c r="I87" s="23">
        <v>7.3010000000000001E-6</v>
      </c>
      <c r="J87" s="23">
        <v>2.0669999999999999E-7</v>
      </c>
      <c r="K87" s="23">
        <v>1.577</v>
      </c>
      <c r="L87" s="23">
        <v>1.577</v>
      </c>
      <c r="M87" s="23">
        <v>4.4099999999999999E-3</v>
      </c>
      <c r="N87" s="23">
        <v>4.4099999999999999E-3</v>
      </c>
      <c r="O87">
        <v>4.4299999999999999E-3</v>
      </c>
      <c r="P87">
        <v>4.8780000000000001E-7</v>
      </c>
    </row>
    <row r="88" spans="2:16" x14ac:dyDescent="0.25">
      <c r="B88" s="22">
        <v>169</v>
      </c>
      <c r="C88" s="22" t="s">
        <v>45</v>
      </c>
      <c r="D88" s="22" t="s">
        <v>46</v>
      </c>
      <c r="E88" s="22">
        <v>1</v>
      </c>
      <c r="F88" s="22">
        <v>2.4209999999999998</v>
      </c>
      <c r="G88" s="23">
        <v>1.917E-6</v>
      </c>
      <c r="H88" s="23">
        <v>4.3200000000000003E-8</v>
      </c>
      <c r="I88" s="23">
        <v>7.1389999999999998E-6</v>
      </c>
      <c r="J88" s="23">
        <v>6.7000000000000004E-8</v>
      </c>
      <c r="K88" s="23">
        <v>1.605</v>
      </c>
      <c r="L88" s="23">
        <v>1.605</v>
      </c>
      <c r="M88" s="23">
        <v>5.0099999999999997E-3</v>
      </c>
      <c r="N88" s="23">
        <v>5.0199999999999993E-3</v>
      </c>
      <c r="O88">
        <v>5.0499999999999998E-3</v>
      </c>
      <c r="P88">
        <v>2.7680000000000004E-7</v>
      </c>
    </row>
    <row r="89" spans="2:16" x14ac:dyDescent="0.25">
      <c r="B89" s="22">
        <v>171</v>
      </c>
      <c r="C89" s="22" t="s">
        <v>45</v>
      </c>
      <c r="D89" s="22" t="s">
        <v>46</v>
      </c>
      <c r="E89" s="22">
        <v>1</v>
      </c>
      <c r="F89" s="22">
        <v>2.5649999999999999</v>
      </c>
      <c r="G89" s="23">
        <v>3.7499999999999997E-6</v>
      </c>
      <c r="H89" s="23">
        <v>2.8860000000000003E-7</v>
      </c>
      <c r="I89" s="23">
        <v>1.114E-5</v>
      </c>
      <c r="J89" s="23">
        <v>2.7539999999999999E-7</v>
      </c>
      <c r="K89" s="23">
        <v>1.583</v>
      </c>
      <c r="L89" s="23">
        <v>1.583</v>
      </c>
      <c r="M89" s="23">
        <v>4.6800000000000001E-3</v>
      </c>
      <c r="N89" s="23">
        <v>4.6900000000000006E-3</v>
      </c>
      <c r="O89">
        <v>4.7300000000000007E-3</v>
      </c>
      <c r="P89">
        <v>7.7680000000000002E-7</v>
      </c>
    </row>
    <row r="90" spans="2:16" x14ac:dyDescent="0.25">
      <c r="B90" s="22">
        <v>173</v>
      </c>
      <c r="C90" s="22" t="s">
        <v>45</v>
      </c>
      <c r="D90" s="22" t="s">
        <v>46</v>
      </c>
      <c r="E90" s="22">
        <v>1</v>
      </c>
      <c r="F90" s="22">
        <v>2.585</v>
      </c>
      <c r="G90" s="23">
        <v>4.6660000000000006E-7</v>
      </c>
      <c r="H90" s="23">
        <v>3.5700000000000002E-8</v>
      </c>
      <c r="I90" s="23">
        <v>1.6649999999999999E-6</v>
      </c>
      <c r="J90" s="23">
        <v>6.5099999999999994E-8</v>
      </c>
      <c r="K90" s="23">
        <v>1.605</v>
      </c>
      <c r="L90" s="23">
        <v>1.605</v>
      </c>
      <c r="M90" s="23">
        <v>3.7699999999999999E-3</v>
      </c>
      <c r="N90" s="23">
        <v>3.7799999999999999E-3</v>
      </c>
      <c r="O90">
        <v>3.79E-3</v>
      </c>
      <c r="P90">
        <v>1.7420000000000001E-7</v>
      </c>
    </row>
    <row r="91" spans="2:16" x14ac:dyDescent="0.25">
      <c r="B91" s="22">
        <v>177</v>
      </c>
      <c r="C91" s="22" t="s">
        <v>45</v>
      </c>
      <c r="D91" s="22" t="s">
        <v>46</v>
      </c>
      <c r="E91" s="22">
        <v>1</v>
      </c>
      <c r="F91" s="22">
        <v>2.56</v>
      </c>
      <c r="G91" s="23">
        <v>1.2619999999999999E-6</v>
      </c>
      <c r="H91" s="23">
        <v>9.1300000000000004E-8</v>
      </c>
      <c r="I91" s="23">
        <v>3.794E-6</v>
      </c>
      <c r="J91" s="23">
        <v>1.3969999999999999E-7</v>
      </c>
      <c r="K91" s="23">
        <v>1.6319999999999999</v>
      </c>
      <c r="L91" s="23">
        <v>1.6319999999999999</v>
      </c>
      <c r="M91" s="23">
        <v>3.9100000000000003E-3</v>
      </c>
      <c r="N91" s="23">
        <v>3.9199999999999999E-3</v>
      </c>
      <c r="O91">
        <v>3.9300000000000003E-3</v>
      </c>
      <c r="P91">
        <v>3.9810000000000005E-7</v>
      </c>
    </row>
    <row r="92" spans="2:16" x14ac:dyDescent="0.25">
      <c r="B92" s="22">
        <v>180</v>
      </c>
      <c r="C92" s="22" t="s">
        <v>45</v>
      </c>
      <c r="D92" s="22" t="s">
        <v>46</v>
      </c>
      <c r="E92" s="22">
        <v>1</v>
      </c>
      <c r="F92" s="22">
        <v>2.5329999999999999</v>
      </c>
      <c r="G92" s="23">
        <v>5.0230000000000004E-7</v>
      </c>
      <c r="H92" s="23">
        <v>4.0100000000000002E-8</v>
      </c>
      <c r="I92" s="23">
        <v>1.375E-6</v>
      </c>
      <c r="J92" s="23">
        <v>6.7599999999999997E-8</v>
      </c>
      <c r="K92" s="23">
        <v>1.5860000000000001</v>
      </c>
      <c r="L92" s="23">
        <v>1.5860000000000001</v>
      </c>
      <c r="M92" s="23">
        <v>3.8500000000000001E-3</v>
      </c>
      <c r="N92" s="23">
        <v>3.8600000000000001E-3</v>
      </c>
      <c r="O92">
        <v>3.8600000000000001E-3</v>
      </c>
      <c r="P92">
        <v>1.7590000000000001E-7</v>
      </c>
    </row>
    <row r="93" spans="2:16" x14ac:dyDescent="0.25">
      <c r="B93" s="22">
        <v>187</v>
      </c>
      <c r="C93" s="22" t="s">
        <v>45</v>
      </c>
      <c r="D93" s="22" t="s">
        <v>46</v>
      </c>
      <c r="E93" s="22">
        <v>1</v>
      </c>
      <c r="F93" s="22">
        <v>2.39</v>
      </c>
      <c r="G93" s="23">
        <v>1.829E-6</v>
      </c>
      <c r="H93" s="23">
        <v>1.7319999999999999E-7</v>
      </c>
      <c r="I93" s="23">
        <v>4.3879999999999993E-6</v>
      </c>
      <c r="J93" s="23">
        <v>1.5519999999999999E-7</v>
      </c>
      <c r="K93" s="23">
        <v>1.6040000000000001</v>
      </c>
      <c r="L93" s="23">
        <v>1.6040000000000001</v>
      </c>
      <c r="M93" s="23">
        <v>4.8399999999999997E-3</v>
      </c>
      <c r="N93" s="23">
        <v>4.8500000000000001E-3</v>
      </c>
      <c r="O93">
        <v>4.9000000000000007E-3</v>
      </c>
      <c r="P93">
        <v>4.6850000000000005E-7</v>
      </c>
    </row>
    <row r="94" spans="2:16" x14ac:dyDescent="0.25">
      <c r="B94" s="22">
        <v>189</v>
      </c>
      <c r="C94" s="22" t="s">
        <v>45</v>
      </c>
      <c r="D94" s="22" t="s">
        <v>46</v>
      </c>
      <c r="E94" s="22">
        <v>1</v>
      </c>
      <c r="F94" s="22">
        <v>2.6560000000000001</v>
      </c>
      <c r="G94" s="23">
        <v>1.0920000000000001E-6</v>
      </c>
      <c r="H94" s="23">
        <v>5.5900000000000004E-8</v>
      </c>
      <c r="I94" s="23">
        <v>3.98E-6</v>
      </c>
      <c r="J94" s="23">
        <v>9.6400000000000016E-8</v>
      </c>
      <c r="K94" s="23">
        <v>1.6140000000000001</v>
      </c>
      <c r="L94" s="23">
        <v>1.6140000000000001</v>
      </c>
      <c r="M94" s="23">
        <v>3.7599999999999999E-3</v>
      </c>
      <c r="N94" s="23">
        <v>3.7400000000000003E-3</v>
      </c>
      <c r="O94">
        <v>3.7699999999999999E-3</v>
      </c>
      <c r="P94">
        <v>2.5590000000000001E-7</v>
      </c>
    </row>
    <row r="95" spans="2:16" x14ac:dyDescent="0.25">
      <c r="B95" s="22">
        <v>190</v>
      </c>
      <c r="C95" s="22" t="s">
        <v>45</v>
      </c>
      <c r="D95" s="22" t="s">
        <v>46</v>
      </c>
      <c r="E95" s="22">
        <v>1</v>
      </c>
      <c r="F95" s="22">
        <v>2.56</v>
      </c>
      <c r="G95" s="23">
        <v>1.2860000000000001E-6</v>
      </c>
      <c r="H95" s="23">
        <v>4.5500000000000004E-8</v>
      </c>
      <c r="I95" s="23">
        <v>4.7559999999999999E-6</v>
      </c>
      <c r="J95" s="23">
        <v>8.3000000000000002E-8</v>
      </c>
      <c r="K95" s="23">
        <v>1.6539999999999999</v>
      </c>
      <c r="L95" s="23">
        <v>1.6539999999999999</v>
      </c>
      <c r="M95" s="23">
        <v>3.81E-3</v>
      </c>
      <c r="N95" s="23">
        <v>3.81E-3</v>
      </c>
      <c r="O95">
        <v>3.8300000000000001E-3</v>
      </c>
      <c r="P95">
        <v>2.3100000000000002E-7</v>
      </c>
    </row>
    <row r="96" spans="2:16" x14ac:dyDescent="0.25">
      <c r="B96" s="22">
        <v>194</v>
      </c>
      <c r="C96" s="22" t="s">
        <v>45</v>
      </c>
      <c r="D96" s="22" t="s">
        <v>46</v>
      </c>
      <c r="E96" s="22">
        <v>1</v>
      </c>
      <c r="F96" s="22">
        <v>2.6560000000000001</v>
      </c>
      <c r="G96" s="23">
        <v>1.0489999999999998E-6</v>
      </c>
      <c r="H96" s="23">
        <v>2.2800000000000002E-8</v>
      </c>
      <c r="I96" s="23">
        <v>6.3509999999999998E-6</v>
      </c>
      <c r="J96" s="23">
        <v>4.2100000000000006E-8</v>
      </c>
      <c r="K96" s="23">
        <v>1.5669999999999999</v>
      </c>
      <c r="L96" s="23">
        <v>1.5669999999999999</v>
      </c>
      <c r="M96" s="23">
        <v>4.0499999999999998E-3</v>
      </c>
      <c r="N96" s="23">
        <v>4.0499999999999998E-3</v>
      </c>
      <c r="O96">
        <v>4.0800000000000003E-3</v>
      </c>
      <c r="P96">
        <v>1.6409999999999999E-7</v>
      </c>
    </row>
    <row r="97" spans="2:16" x14ac:dyDescent="0.25">
      <c r="B97" s="22">
        <v>195</v>
      </c>
      <c r="C97" s="22" t="s">
        <v>45</v>
      </c>
      <c r="D97" s="22" t="s">
        <v>46</v>
      </c>
      <c r="E97" s="22">
        <v>1</v>
      </c>
      <c r="F97" s="22">
        <v>2.5179999999999998</v>
      </c>
      <c r="G97" s="23">
        <v>6.6590000000000005E-7</v>
      </c>
      <c r="H97" s="23">
        <v>2.4300000000000003E-8</v>
      </c>
      <c r="I97" s="23">
        <v>3.9009999999999996E-6</v>
      </c>
      <c r="J97" s="23">
        <v>5.0700000000000004E-8</v>
      </c>
      <c r="K97" s="23">
        <v>1.6160000000000001</v>
      </c>
      <c r="L97" s="23">
        <v>1.6160000000000001</v>
      </c>
      <c r="M97" s="23">
        <v>3.79E-3</v>
      </c>
      <c r="N97" s="23">
        <v>3.7799999999999999E-3</v>
      </c>
      <c r="O97">
        <v>3.8E-3</v>
      </c>
      <c r="P97">
        <v>1.43E-7</v>
      </c>
    </row>
    <row r="98" spans="2:16" x14ac:dyDescent="0.25">
      <c r="B98" s="22">
        <v>200</v>
      </c>
      <c r="C98" s="22" t="s">
        <v>45</v>
      </c>
      <c r="D98" s="22" t="s">
        <v>46</v>
      </c>
      <c r="E98" s="22">
        <v>1</v>
      </c>
      <c r="F98" s="22">
        <v>2.6259999999999999</v>
      </c>
      <c r="G98" s="23">
        <v>1.0469999999999999E-6</v>
      </c>
      <c r="H98" s="23">
        <v>9.6800000000000007E-8</v>
      </c>
      <c r="I98" s="23">
        <v>2.6309999999999995E-6</v>
      </c>
      <c r="J98" s="23">
        <v>1.3380000000000002E-7</v>
      </c>
      <c r="K98" s="23">
        <v>1.5920000000000001</v>
      </c>
      <c r="L98" s="23">
        <v>1.5920000000000001</v>
      </c>
      <c r="M98" s="23">
        <v>3.8999999999999998E-3</v>
      </c>
      <c r="N98" s="23">
        <v>3.8999999999999998E-3</v>
      </c>
      <c r="O98">
        <v>3.9199999999999999E-3</v>
      </c>
      <c r="P98">
        <v>3.5820000000000002E-7</v>
      </c>
    </row>
    <row r="99" spans="2:16" x14ac:dyDescent="0.25">
      <c r="B99" s="22">
        <v>202</v>
      </c>
      <c r="C99" s="22" t="s">
        <v>45</v>
      </c>
      <c r="D99" s="22" t="s">
        <v>46</v>
      </c>
      <c r="E99" s="22">
        <v>1</v>
      </c>
      <c r="F99" s="22">
        <v>2.6920000000000002</v>
      </c>
      <c r="G99" s="23">
        <v>1.4610000000000001E-6</v>
      </c>
      <c r="H99" s="23">
        <v>1.1180000000000001E-7</v>
      </c>
      <c r="I99" s="23">
        <v>4.6939999999999994E-6</v>
      </c>
      <c r="J99" s="23">
        <v>1.6130000000000002E-7</v>
      </c>
      <c r="K99" s="23">
        <v>1.575</v>
      </c>
      <c r="L99" s="23">
        <v>1.575</v>
      </c>
      <c r="M99" s="23">
        <v>4.0599999999999994E-3</v>
      </c>
      <c r="N99" s="23">
        <v>4.0499999999999998E-3</v>
      </c>
      <c r="O99">
        <v>4.0800000000000003E-3</v>
      </c>
      <c r="P99">
        <v>3.812E-7</v>
      </c>
    </row>
    <row r="100" spans="2:16" x14ac:dyDescent="0.25">
      <c r="B100" s="22">
        <v>208</v>
      </c>
      <c r="C100" s="22" t="s">
        <v>45</v>
      </c>
      <c r="D100" s="22" t="s">
        <v>46</v>
      </c>
      <c r="E100" s="22">
        <v>1</v>
      </c>
      <c r="F100" s="22">
        <v>2.5680000000000001</v>
      </c>
      <c r="G100" s="23">
        <v>6.3929999999999996E-7</v>
      </c>
      <c r="H100" s="23">
        <v>1.9300000000000001E-8</v>
      </c>
      <c r="I100" s="23">
        <v>3.9609999999999999E-6</v>
      </c>
      <c r="J100" s="23">
        <v>4.29E-8</v>
      </c>
      <c r="K100" s="23">
        <v>1.6319999999999999</v>
      </c>
      <c r="L100" s="23">
        <v>1.6319999999999999</v>
      </c>
      <c r="M100" s="23">
        <v>3.79E-3</v>
      </c>
      <c r="N100" s="23">
        <v>3.81E-3</v>
      </c>
      <c r="O100">
        <v>3.8400000000000001E-3</v>
      </c>
      <c r="P100">
        <v>1.3260000000000001E-7</v>
      </c>
    </row>
    <row r="101" spans="2:16" x14ac:dyDescent="0.25">
      <c r="B101" s="22">
        <v>209</v>
      </c>
      <c r="C101" s="22" t="s">
        <v>45</v>
      </c>
      <c r="D101" s="22" t="s">
        <v>46</v>
      </c>
      <c r="E101" s="22">
        <v>1</v>
      </c>
      <c r="F101" s="22">
        <v>2.5419999999999998</v>
      </c>
      <c r="G101" s="23">
        <v>1.3340000000000001E-6</v>
      </c>
      <c r="H101" s="23">
        <v>7.9700000000000006E-8</v>
      </c>
      <c r="I101" s="23">
        <v>4.7960000000000003E-6</v>
      </c>
      <c r="J101" s="23">
        <v>1.2930000000000003E-7</v>
      </c>
      <c r="K101" s="23">
        <v>1.6659999999999999</v>
      </c>
      <c r="L101" s="23">
        <v>1.6659999999999999</v>
      </c>
      <c r="M101" s="23">
        <v>3.8799999999999998E-3</v>
      </c>
      <c r="N101" s="23">
        <v>3.8700000000000002E-3</v>
      </c>
      <c r="O101">
        <v>3.9100000000000003E-3</v>
      </c>
      <c r="P101">
        <v>3.7260000000000004E-7</v>
      </c>
    </row>
    <row r="102" spans="2:16" x14ac:dyDescent="0.25">
      <c r="B102" s="22">
        <v>211</v>
      </c>
      <c r="C102" s="22" t="s">
        <v>45</v>
      </c>
      <c r="D102" s="22" t="s">
        <v>46</v>
      </c>
      <c r="E102" s="22">
        <v>1</v>
      </c>
      <c r="F102" s="22">
        <v>2.4670000000000001</v>
      </c>
      <c r="G102" s="23">
        <v>3.7499999999999997E-6</v>
      </c>
      <c r="H102" s="23">
        <v>5.9600000000000004E-8</v>
      </c>
      <c r="I102" s="23">
        <v>7.8829999999999989E-6</v>
      </c>
      <c r="J102" s="23">
        <v>9.7500000000000006E-8</v>
      </c>
      <c r="K102" s="23">
        <v>1.69</v>
      </c>
      <c r="L102" s="23">
        <v>1.69</v>
      </c>
      <c r="M102" s="23">
        <v>3.8799999999999998E-3</v>
      </c>
      <c r="N102" s="23">
        <v>3.8799999999999998E-3</v>
      </c>
      <c r="O102">
        <v>3.9100000000000003E-3</v>
      </c>
      <c r="P102">
        <v>3.3110000000000005E-7</v>
      </c>
    </row>
    <row r="103" spans="2:16" x14ac:dyDescent="0.25">
      <c r="B103" s="22">
        <v>212</v>
      </c>
      <c r="C103" s="22" t="s">
        <v>45</v>
      </c>
      <c r="D103" s="22" t="s">
        <v>46</v>
      </c>
      <c r="E103" s="22">
        <v>1</v>
      </c>
      <c r="F103" s="22">
        <v>2.5790000000000002</v>
      </c>
      <c r="G103" s="23">
        <v>5.665E-7</v>
      </c>
      <c r="H103" s="23">
        <v>2.1100000000000004E-8</v>
      </c>
      <c r="I103" s="23">
        <v>2.4820000000000001E-6</v>
      </c>
      <c r="J103" s="23">
        <v>4.6200000000000003E-8</v>
      </c>
      <c r="K103" s="23">
        <v>1.6180000000000001</v>
      </c>
      <c r="L103" s="23">
        <v>1.6180000000000001</v>
      </c>
      <c r="M103" s="23">
        <v>3.7599999999999999E-3</v>
      </c>
      <c r="N103" s="23">
        <v>3.7599999999999999E-3</v>
      </c>
      <c r="O103">
        <v>3.8E-3</v>
      </c>
      <c r="P103">
        <v>1.3140000000000003E-7</v>
      </c>
    </row>
    <row r="104" spans="2:16" x14ac:dyDescent="0.25">
      <c r="B104" s="22">
        <v>217</v>
      </c>
      <c r="C104" s="22" t="s">
        <v>45</v>
      </c>
      <c r="D104" s="22" t="s">
        <v>46</v>
      </c>
      <c r="E104" s="22">
        <v>1</v>
      </c>
      <c r="F104" s="22">
        <v>2.5739999999999998</v>
      </c>
      <c r="G104" s="23">
        <v>5.8820000000000004E-7</v>
      </c>
      <c r="H104" s="23">
        <v>4.8900000000000001E-8</v>
      </c>
      <c r="I104" s="23">
        <v>1.796E-6</v>
      </c>
      <c r="J104" s="23">
        <v>8.0200000000000003E-8</v>
      </c>
      <c r="K104" s="23">
        <v>1.585</v>
      </c>
      <c r="L104" s="23">
        <v>1.585</v>
      </c>
      <c r="M104" s="23">
        <v>3.8500000000000001E-3</v>
      </c>
      <c r="N104" s="23">
        <v>3.8500000000000001E-3</v>
      </c>
      <c r="O104">
        <v>3.8799999999999998E-3</v>
      </c>
      <c r="P104">
        <v>2.1030000000000002E-7</v>
      </c>
    </row>
    <row r="105" spans="2:16" x14ac:dyDescent="0.25">
      <c r="B105" s="22">
        <v>219</v>
      </c>
      <c r="C105" s="22" t="s">
        <v>45</v>
      </c>
      <c r="D105" s="22" t="s">
        <v>46</v>
      </c>
      <c r="E105" s="22">
        <v>1</v>
      </c>
      <c r="F105" s="22">
        <v>2.42</v>
      </c>
      <c r="G105" s="23">
        <v>3.0149999999999999E-6</v>
      </c>
      <c r="H105" s="23">
        <v>1.7450000000000001E-7</v>
      </c>
      <c r="I105" s="23">
        <v>1.066E-5</v>
      </c>
      <c r="J105" s="23">
        <v>2.3790000000000003E-7</v>
      </c>
      <c r="K105" s="23">
        <v>1.694</v>
      </c>
      <c r="L105" s="23">
        <v>1.694</v>
      </c>
      <c r="M105" s="23">
        <v>4.3800000000000002E-3</v>
      </c>
      <c r="N105" s="23">
        <v>4.3800000000000002E-3</v>
      </c>
      <c r="O105">
        <v>4.4400000000000004E-3</v>
      </c>
      <c r="P105">
        <v>6.2950000000000007E-7</v>
      </c>
    </row>
    <row r="106" spans="2:16" x14ac:dyDescent="0.25">
      <c r="B106" s="22">
        <v>223</v>
      </c>
      <c r="C106" s="22" t="s">
        <v>45</v>
      </c>
      <c r="D106" s="22" t="s">
        <v>46</v>
      </c>
      <c r="E106" s="22">
        <v>1</v>
      </c>
      <c r="F106" s="22">
        <v>2.6019999999999999</v>
      </c>
      <c r="G106" s="23">
        <v>5.0960000000000006E-7</v>
      </c>
      <c r="H106" s="23">
        <v>2.2800000000000002E-8</v>
      </c>
      <c r="I106" s="23">
        <v>3.3849999999999998E-6</v>
      </c>
      <c r="J106" s="23">
        <v>4.9200000000000004E-8</v>
      </c>
      <c r="K106" s="23">
        <v>1.6160000000000001</v>
      </c>
      <c r="L106" s="23">
        <v>1.6160000000000001</v>
      </c>
      <c r="M106" s="23">
        <v>3.7000000000000002E-3</v>
      </c>
      <c r="N106" s="23">
        <v>3.6900000000000001E-3</v>
      </c>
      <c r="O106">
        <v>3.7400000000000003E-3</v>
      </c>
      <c r="P106">
        <v>1.4150000000000002E-7</v>
      </c>
    </row>
    <row r="107" spans="2:16" x14ac:dyDescent="0.25">
      <c r="B107" s="22">
        <v>225</v>
      </c>
      <c r="C107" s="22" t="s">
        <v>45</v>
      </c>
      <c r="D107" s="22" t="s">
        <v>46</v>
      </c>
      <c r="E107" s="22">
        <v>1</v>
      </c>
      <c r="F107" s="22">
        <v>2.6669999999999998</v>
      </c>
      <c r="G107" s="23">
        <v>1.5289999999999999E-6</v>
      </c>
      <c r="H107" s="23">
        <v>1.071E-7</v>
      </c>
      <c r="I107" s="23">
        <v>4.0469999999999995E-6</v>
      </c>
      <c r="J107" s="23">
        <v>1.55E-7</v>
      </c>
      <c r="K107" s="23">
        <v>1.5880000000000001</v>
      </c>
      <c r="L107" s="23">
        <v>1.5880000000000001</v>
      </c>
      <c r="M107" s="23">
        <v>4.0199999999999993E-3</v>
      </c>
      <c r="N107" s="23">
        <v>4.0199999999999993E-3</v>
      </c>
      <c r="O107">
        <v>4.0700000000000007E-3</v>
      </c>
      <c r="P107">
        <v>3.6810000000000002E-7</v>
      </c>
    </row>
    <row r="108" spans="2:16" x14ac:dyDescent="0.25">
      <c r="B108" s="22">
        <v>227</v>
      </c>
      <c r="C108" s="22" t="s">
        <v>45</v>
      </c>
      <c r="D108" s="22" t="s">
        <v>46</v>
      </c>
      <c r="E108" s="22">
        <v>1</v>
      </c>
      <c r="F108" s="22">
        <v>2.7570000000000001</v>
      </c>
      <c r="G108" s="23">
        <v>7.257000000000001E-7</v>
      </c>
      <c r="H108" s="23">
        <v>6.2600000000000005E-8</v>
      </c>
      <c r="I108" s="23">
        <v>2.08E-6</v>
      </c>
      <c r="J108" s="23">
        <v>9.2799999999999997E-8</v>
      </c>
      <c r="K108" s="23">
        <v>1.577</v>
      </c>
      <c r="L108" s="23">
        <v>1.577</v>
      </c>
      <c r="M108" s="23">
        <v>3.8700000000000002E-3</v>
      </c>
      <c r="N108" s="23">
        <v>3.8600000000000001E-3</v>
      </c>
      <c r="O108">
        <v>3.9100000000000003E-3</v>
      </c>
      <c r="P108">
        <v>2.4840000000000003E-7</v>
      </c>
    </row>
    <row r="109" spans="2:16" x14ac:dyDescent="0.25">
      <c r="B109" s="22">
        <v>239</v>
      </c>
      <c r="C109" s="22" t="s">
        <v>45</v>
      </c>
      <c r="D109" s="22" t="s">
        <v>46</v>
      </c>
      <c r="E109" s="22">
        <v>1</v>
      </c>
      <c r="F109" s="22">
        <v>2.6419999999999999</v>
      </c>
      <c r="G109" s="23">
        <v>1.322E-6</v>
      </c>
      <c r="H109" s="23">
        <v>2.9100000000000002E-8</v>
      </c>
      <c r="I109" s="23">
        <v>8.0409999999999998E-6</v>
      </c>
      <c r="J109" s="23">
        <v>3.8299999999999999E-8</v>
      </c>
      <c r="K109" s="23">
        <v>1.552</v>
      </c>
      <c r="L109" s="23">
        <v>1.552</v>
      </c>
      <c r="M109" s="23">
        <v>4.3E-3</v>
      </c>
      <c r="N109" s="23">
        <v>4.2900000000000004E-3</v>
      </c>
      <c r="O109">
        <v>4.3600000000000002E-3</v>
      </c>
      <c r="P109">
        <v>2.2080000000000002E-7</v>
      </c>
    </row>
    <row r="110" spans="2:16" x14ac:dyDescent="0.25">
      <c r="B110" s="22">
        <v>243</v>
      </c>
      <c r="C110" s="22" t="s">
        <v>45</v>
      </c>
      <c r="D110" s="22" t="s">
        <v>46</v>
      </c>
      <c r="E110" s="22">
        <v>1</v>
      </c>
      <c r="F110" s="22">
        <v>2.5859999999999999</v>
      </c>
      <c r="G110" s="23">
        <v>3.1769999999999998E-6</v>
      </c>
      <c r="H110" s="23">
        <v>1.8990000000000003E-7</v>
      </c>
      <c r="I110" s="23">
        <v>1.0550000000000001E-5</v>
      </c>
      <c r="J110" s="23">
        <v>2.3270000000000001E-7</v>
      </c>
      <c r="K110" s="23">
        <v>1.512</v>
      </c>
      <c r="L110" s="23">
        <v>1.512</v>
      </c>
      <c r="M110" s="23">
        <v>4.81E-3</v>
      </c>
      <c r="N110" s="23">
        <v>4.8200000000000005E-3</v>
      </c>
      <c r="O110">
        <v>4.8799999999999998E-3</v>
      </c>
      <c r="P110">
        <v>5.3750000000000004E-7</v>
      </c>
    </row>
    <row r="111" spans="2:16" x14ac:dyDescent="0.25">
      <c r="B111" s="22">
        <v>245</v>
      </c>
      <c r="C111" s="22" t="s">
        <v>45</v>
      </c>
      <c r="D111" s="22" t="s">
        <v>46</v>
      </c>
      <c r="E111" s="22">
        <v>1</v>
      </c>
      <c r="F111" s="22">
        <v>2.5779999999999998</v>
      </c>
      <c r="G111" s="23">
        <v>2.1150000000000001E-6</v>
      </c>
      <c r="H111" s="23">
        <v>1.6280000000000003E-7</v>
      </c>
      <c r="I111" s="23">
        <v>5.5319999999999997E-6</v>
      </c>
      <c r="J111" s="23">
        <v>2.0190000000000003E-7</v>
      </c>
      <c r="K111" s="23">
        <v>1.5780000000000001</v>
      </c>
      <c r="L111" s="23">
        <v>1.5780000000000001</v>
      </c>
      <c r="M111" s="23">
        <v>4.3499999999999997E-3</v>
      </c>
      <c r="N111" s="23">
        <v>4.3499999999999997E-3</v>
      </c>
      <c r="O111">
        <v>4.4000000000000003E-3</v>
      </c>
      <c r="P111">
        <v>4.7430000000000006E-7</v>
      </c>
    </row>
    <row r="112" spans="2:16" x14ac:dyDescent="0.25">
      <c r="B112" s="22">
        <v>246</v>
      </c>
      <c r="C112" s="22" t="s">
        <v>45</v>
      </c>
      <c r="D112" s="22" t="s">
        <v>46</v>
      </c>
      <c r="E112" s="22">
        <v>1</v>
      </c>
      <c r="F112" s="22">
        <v>2.5459999999999998</v>
      </c>
      <c r="G112" s="23">
        <v>1.0149999999999998E-6</v>
      </c>
      <c r="H112" s="23">
        <v>2E-8</v>
      </c>
      <c r="I112" s="23">
        <v>6.1340000000000001E-6</v>
      </c>
      <c r="J112" s="23">
        <v>4.0900000000000002E-8</v>
      </c>
      <c r="K112" s="23">
        <v>1.6439999999999999</v>
      </c>
      <c r="L112" s="23">
        <v>1.6439999999999999</v>
      </c>
      <c r="M112" s="23">
        <v>3.8999999999999998E-3</v>
      </c>
      <c r="N112" s="23">
        <v>3.8999999999999998E-3</v>
      </c>
      <c r="O112">
        <v>3.9500000000000004E-3</v>
      </c>
      <c r="P112">
        <v>1.381E-7</v>
      </c>
    </row>
    <row r="113" spans="2:16" x14ac:dyDescent="0.25">
      <c r="B113" s="22">
        <v>248</v>
      </c>
      <c r="C113" s="22" t="s">
        <v>45</v>
      </c>
      <c r="D113" s="22" t="s">
        <v>46</v>
      </c>
      <c r="E113" s="22">
        <v>1</v>
      </c>
      <c r="F113" s="22">
        <v>2.581</v>
      </c>
      <c r="G113" s="23">
        <v>7.750000000000001E-7</v>
      </c>
      <c r="H113" s="23">
        <v>6.7599999999999997E-8</v>
      </c>
      <c r="I113" s="23">
        <v>2.3130000000000001E-6</v>
      </c>
      <c r="J113" s="23">
        <v>1.016E-7</v>
      </c>
      <c r="K113" s="23">
        <v>1.609</v>
      </c>
      <c r="L113" s="23">
        <v>1.609</v>
      </c>
      <c r="M113" s="23">
        <v>3.8600000000000001E-3</v>
      </c>
      <c r="N113" s="23">
        <v>3.8500000000000001E-3</v>
      </c>
      <c r="O113">
        <v>3.9100000000000003E-3</v>
      </c>
      <c r="P113">
        <v>2.7020000000000002E-7</v>
      </c>
    </row>
    <row r="114" spans="2:16" x14ac:dyDescent="0.25">
      <c r="B114" s="22">
        <v>250</v>
      </c>
      <c r="C114" s="22" t="s">
        <v>45</v>
      </c>
      <c r="D114" s="22" t="s">
        <v>46</v>
      </c>
      <c r="E114" s="22">
        <v>1</v>
      </c>
      <c r="F114" s="22">
        <v>2.613</v>
      </c>
      <c r="G114" s="23">
        <v>4.482E-7</v>
      </c>
      <c r="H114" s="23">
        <v>3.03E-8</v>
      </c>
      <c r="I114" s="23">
        <v>1.9139999999999998E-6</v>
      </c>
      <c r="J114" s="23">
        <v>5.7400000000000004E-8</v>
      </c>
      <c r="K114" s="23">
        <v>1.587</v>
      </c>
      <c r="L114" s="23">
        <v>1.587</v>
      </c>
      <c r="M114" s="23">
        <v>3.7699999999999999E-3</v>
      </c>
      <c r="N114" s="23">
        <v>3.7599999999999999E-3</v>
      </c>
      <c r="O114">
        <v>3.82E-3</v>
      </c>
      <c r="P114">
        <v>1.5340000000000001E-7</v>
      </c>
    </row>
    <row r="115" spans="2:16" x14ac:dyDescent="0.25">
      <c r="B115" s="22">
        <v>251</v>
      </c>
      <c r="C115" s="22" t="s">
        <v>45</v>
      </c>
      <c r="D115" s="22" t="s">
        <v>46</v>
      </c>
      <c r="E115" s="22">
        <v>1</v>
      </c>
      <c r="F115" s="22">
        <v>2.609</v>
      </c>
      <c r="G115" s="23">
        <v>4.5919999999999994E-6</v>
      </c>
      <c r="H115" s="23">
        <v>2.8000000000000003E-8</v>
      </c>
      <c r="I115" s="23">
        <v>8.6069999999999991E-6</v>
      </c>
      <c r="J115" s="23">
        <v>5.7400000000000004E-8</v>
      </c>
      <c r="K115" s="23">
        <v>1.591</v>
      </c>
      <c r="L115" s="23">
        <v>1.591</v>
      </c>
      <c r="M115" s="23">
        <v>3.7699999999999999E-3</v>
      </c>
      <c r="N115" s="23">
        <v>3.7499999999999999E-3</v>
      </c>
      <c r="O115">
        <v>3.81E-3</v>
      </c>
      <c r="P115">
        <v>1.497E-7</v>
      </c>
    </row>
    <row r="116" spans="2:16" x14ac:dyDescent="0.25">
      <c r="B116" s="22">
        <v>252</v>
      </c>
      <c r="C116" s="22" t="s">
        <v>45</v>
      </c>
      <c r="D116" s="22" t="s">
        <v>46</v>
      </c>
      <c r="E116" s="22">
        <v>1</v>
      </c>
      <c r="F116" s="22">
        <v>2.67</v>
      </c>
      <c r="G116" s="23">
        <v>1.3239999999999999E-6</v>
      </c>
      <c r="H116" s="23">
        <v>1.381E-7</v>
      </c>
      <c r="I116" s="23">
        <v>3.0519999999999997E-6</v>
      </c>
      <c r="J116" s="23">
        <v>1.67E-7</v>
      </c>
      <c r="K116" s="23">
        <v>1.589</v>
      </c>
      <c r="L116" s="23">
        <v>1.589</v>
      </c>
      <c r="M116" s="23">
        <v>3.8E-3</v>
      </c>
      <c r="N116" s="23">
        <v>3.8E-3</v>
      </c>
      <c r="O116">
        <v>3.8600000000000001E-3</v>
      </c>
      <c r="P116">
        <v>4.9070000000000002E-7</v>
      </c>
    </row>
    <row r="117" spans="2:16" x14ac:dyDescent="0.25">
      <c r="B117" s="22">
        <v>253</v>
      </c>
      <c r="C117" s="22" t="s">
        <v>45</v>
      </c>
      <c r="D117" s="22" t="s">
        <v>46</v>
      </c>
      <c r="E117" s="22">
        <v>1</v>
      </c>
      <c r="F117" s="22">
        <v>2.64</v>
      </c>
      <c r="G117" s="23">
        <v>4.8599999999999998E-7</v>
      </c>
      <c r="H117" s="23">
        <v>2.2800000000000002E-8</v>
      </c>
      <c r="I117" s="23">
        <v>2.8379999999999998E-6</v>
      </c>
      <c r="J117" s="23">
        <v>4.9900000000000003E-8</v>
      </c>
      <c r="K117" s="23">
        <v>1.6180000000000001</v>
      </c>
      <c r="L117" s="23">
        <v>1.6180000000000001</v>
      </c>
      <c r="M117" s="23">
        <v>3.7000000000000002E-3</v>
      </c>
      <c r="N117" s="23">
        <v>3.7000000000000002E-3</v>
      </c>
      <c r="O117">
        <v>3.7400000000000003E-3</v>
      </c>
      <c r="P117">
        <v>1.4190000000000002E-7</v>
      </c>
    </row>
    <row r="118" spans="2:16" x14ac:dyDescent="0.25">
      <c r="B118" s="22">
        <v>257</v>
      </c>
      <c r="C118" s="22" t="s">
        <v>45</v>
      </c>
      <c r="D118" s="22" t="s">
        <v>46</v>
      </c>
      <c r="E118" s="22">
        <v>1</v>
      </c>
      <c r="F118" s="22">
        <v>2.4550000000000001</v>
      </c>
      <c r="G118" s="23">
        <v>6.3050000000000004E-7</v>
      </c>
      <c r="H118" s="23">
        <v>3.0000000000000004E-8</v>
      </c>
      <c r="I118" s="23">
        <v>2.7389999999999999E-6</v>
      </c>
      <c r="J118" s="23">
        <v>5.8200000000000005E-8</v>
      </c>
      <c r="K118" s="23">
        <v>1.621</v>
      </c>
      <c r="L118" s="23">
        <v>1.621</v>
      </c>
      <c r="M118" s="23">
        <v>3.81E-3</v>
      </c>
      <c r="N118" s="23">
        <v>3.81E-3</v>
      </c>
      <c r="O118">
        <v>3.8600000000000001E-3</v>
      </c>
      <c r="P118">
        <v>1.4719999999999999E-7</v>
      </c>
    </row>
    <row r="119" spans="2:16" x14ac:dyDescent="0.25">
      <c r="B119" s="22">
        <v>258</v>
      </c>
      <c r="C119" s="22" t="s">
        <v>45</v>
      </c>
      <c r="D119" s="22" t="s">
        <v>46</v>
      </c>
      <c r="E119" s="22">
        <v>1</v>
      </c>
      <c r="F119" s="22">
        <v>2.5179999999999998</v>
      </c>
      <c r="G119" s="23">
        <v>2.1659999999999997E-6</v>
      </c>
      <c r="H119" s="23">
        <v>1.4840000000000001E-7</v>
      </c>
      <c r="I119" s="23">
        <v>5.2220000000000001E-6</v>
      </c>
      <c r="J119" s="23">
        <v>1.726E-7</v>
      </c>
      <c r="K119" s="23">
        <v>1.589</v>
      </c>
      <c r="L119" s="23">
        <v>1.589</v>
      </c>
      <c r="M119" s="23">
        <v>4.3E-3</v>
      </c>
      <c r="N119" s="23">
        <v>4.3E-3</v>
      </c>
      <c r="O119">
        <v>4.3700000000000006E-3</v>
      </c>
      <c r="P119">
        <v>4.1970000000000003E-7</v>
      </c>
    </row>
    <row r="120" spans="2:16" x14ac:dyDescent="0.25">
      <c r="B120" s="22">
        <v>259</v>
      </c>
      <c r="C120" s="22" t="s">
        <v>45</v>
      </c>
      <c r="D120" s="22" t="s">
        <v>46</v>
      </c>
      <c r="E120" s="22">
        <v>1</v>
      </c>
      <c r="F120" s="22">
        <v>2.4550000000000001</v>
      </c>
      <c r="G120" s="23">
        <v>1.2179999999999998E-6</v>
      </c>
      <c r="H120" s="23">
        <v>6.620000000000001E-8</v>
      </c>
      <c r="I120" s="23">
        <v>4.5819999999999995E-6</v>
      </c>
      <c r="J120" s="23">
        <v>1.0940000000000001E-7</v>
      </c>
      <c r="K120" s="23">
        <v>1.6830000000000001</v>
      </c>
      <c r="L120" s="23">
        <v>1.6830000000000001</v>
      </c>
      <c r="M120" s="23">
        <v>3.8300000000000001E-3</v>
      </c>
      <c r="N120" s="23">
        <v>3.82E-3</v>
      </c>
      <c r="O120">
        <v>3.8799999999999998E-3</v>
      </c>
      <c r="P120">
        <v>3.3950000000000004E-7</v>
      </c>
    </row>
    <row r="121" spans="2:16" x14ac:dyDescent="0.25">
      <c r="B121" s="22">
        <v>262</v>
      </c>
      <c r="C121" s="22" t="s">
        <v>45</v>
      </c>
      <c r="D121" s="22" t="s">
        <v>46</v>
      </c>
      <c r="E121" s="22">
        <v>1</v>
      </c>
      <c r="F121" s="22">
        <v>2.9129999999999998</v>
      </c>
      <c r="G121" s="23">
        <v>4.9960000000000005E-7</v>
      </c>
      <c r="H121" s="23">
        <v>3.3899999999999999E-8</v>
      </c>
      <c r="I121" s="23">
        <v>1.9579999999999997E-6</v>
      </c>
      <c r="J121" s="23">
        <v>6.1000000000000004E-8</v>
      </c>
      <c r="K121" s="23">
        <v>1.5580000000000001</v>
      </c>
      <c r="L121" s="23">
        <v>1.5580000000000001</v>
      </c>
      <c r="M121" s="23">
        <v>3.82E-3</v>
      </c>
      <c r="N121" s="23">
        <v>3.8E-3</v>
      </c>
      <c r="O121">
        <v>3.82E-3</v>
      </c>
      <c r="P121">
        <v>1.6220000000000001E-7</v>
      </c>
    </row>
    <row r="122" spans="2:16" x14ac:dyDescent="0.25">
      <c r="B122" s="22">
        <v>263</v>
      </c>
      <c r="C122" s="22" t="s">
        <v>45</v>
      </c>
      <c r="D122" s="22" t="s">
        <v>46</v>
      </c>
      <c r="E122" s="22">
        <v>1</v>
      </c>
      <c r="F122" s="22">
        <v>2.4540000000000002</v>
      </c>
      <c r="G122" s="23">
        <v>1.6879999999999998E-6</v>
      </c>
      <c r="H122" s="23">
        <v>5.4800000000000001E-8</v>
      </c>
      <c r="I122" s="23">
        <v>7.3309999999999998E-6</v>
      </c>
      <c r="J122" s="23">
        <v>7.6500000000000003E-8</v>
      </c>
      <c r="K122" s="23">
        <v>1.6519999999999999</v>
      </c>
      <c r="L122" s="23">
        <v>1.6519999999999999</v>
      </c>
      <c r="M122" s="23">
        <v>4.5199999999999997E-3</v>
      </c>
      <c r="N122" s="23">
        <v>4.5100000000000001E-3</v>
      </c>
      <c r="O122">
        <v>4.5399999999999998E-3</v>
      </c>
      <c r="P122">
        <v>3.2280000000000001E-7</v>
      </c>
    </row>
    <row r="123" spans="2:16" x14ac:dyDescent="0.25">
      <c r="B123" s="22">
        <v>265</v>
      </c>
      <c r="C123" s="22" t="s">
        <v>45</v>
      </c>
      <c r="D123" s="22" t="s">
        <v>46</v>
      </c>
      <c r="E123" s="22">
        <v>1</v>
      </c>
      <c r="F123" s="22">
        <v>2.5470000000000002</v>
      </c>
      <c r="G123" s="23">
        <v>2.0339999999999999E-6</v>
      </c>
      <c r="H123" s="23">
        <v>1.7600000000000002E-8</v>
      </c>
      <c r="I123" s="23">
        <v>1.098E-5</v>
      </c>
      <c r="J123" s="23">
        <v>3.7200000000000002E-8</v>
      </c>
      <c r="K123" s="23">
        <v>1.633</v>
      </c>
      <c r="L123" s="23">
        <v>1.633</v>
      </c>
      <c r="M123" s="23">
        <v>3.9199999999999999E-3</v>
      </c>
      <c r="N123" s="23">
        <v>3.9100000000000003E-3</v>
      </c>
      <c r="O123">
        <v>3.9300000000000003E-3</v>
      </c>
      <c r="P123">
        <v>1.3860000000000001E-7</v>
      </c>
    </row>
    <row r="124" spans="2:16" x14ac:dyDescent="0.25">
      <c r="B124" s="22">
        <v>267</v>
      </c>
      <c r="C124" s="22" t="s">
        <v>45</v>
      </c>
      <c r="D124" s="22" t="s">
        <v>46</v>
      </c>
      <c r="E124" s="22">
        <v>1</v>
      </c>
      <c r="F124" s="22">
        <v>2.5630000000000002</v>
      </c>
      <c r="G124" s="23">
        <v>4.9500000000000003E-7</v>
      </c>
      <c r="H124" s="23">
        <v>1.9500000000000003E-8</v>
      </c>
      <c r="I124" s="23">
        <v>2.2419999999999999E-6</v>
      </c>
      <c r="J124" s="23">
        <v>4.3399999999999998E-8</v>
      </c>
      <c r="K124" s="23">
        <v>1.6279999999999999</v>
      </c>
      <c r="L124" s="23">
        <v>1.6279999999999999</v>
      </c>
      <c r="M124" s="23">
        <v>3.8700000000000002E-3</v>
      </c>
      <c r="N124" s="23">
        <v>3.8500000000000001E-3</v>
      </c>
      <c r="O124">
        <v>3.8700000000000002E-3</v>
      </c>
      <c r="P124">
        <v>1.2560000000000001E-7</v>
      </c>
    </row>
    <row r="125" spans="2:16" x14ac:dyDescent="0.25">
      <c r="B125" s="22">
        <v>268</v>
      </c>
      <c r="C125" s="22" t="s">
        <v>45</v>
      </c>
      <c r="D125" s="22" t="s">
        <v>46</v>
      </c>
      <c r="E125" s="22">
        <v>1</v>
      </c>
      <c r="F125" s="22">
        <v>2.556</v>
      </c>
      <c r="G125" s="23">
        <v>3.027E-6</v>
      </c>
      <c r="H125" s="23">
        <v>2.8770000000000002E-7</v>
      </c>
      <c r="I125" s="23">
        <v>7.9539999999999987E-6</v>
      </c>
      <c r="J125" s="23">
        <v>2.6870000000000002E-7</v>
      </c>
      <c r="K125" s="23">
        <v>1.5840000000000001</v>
      </c>
      <c r="L125" s="23">
        <v>1.5840000000000001</v>
      </c>
      <c r="M125" s="23">
        <v>4.7400000000000003E-3</v>
      </c>
      <c r="N125" s="23">
        <v>4.7400000000000003E-3</v>
      </c>
      <c r="O125">
        <v>4.7699999999999999E-3</v>
      </c>
      <c r="P125">
        <v>7.8110000000000003E-7</v>
      </c>
    </row>
    <row r="126" spans="2:16" x14ac:dyDescent="0.25">
      <c r="B126" s="22">
        <v>269</v>
      </c>
      <c r="C126" s="22" t="s">
        <v>45</v>
      </c>
      <c r="D126" s="22" t="s">
        <v>46</v>
      </c>
      <c r="E126" s="22">
        <v>1</v>
      </c>
      <c r="F126" s="22">
        <v>2.6589999999999998</v>
      </c>
      <c r="G126" s="23">
        <v>1.133E-6</v>
      </c>
      <c r="H126" s="23">
        <v>7.8400000000000014E-8</v>
      </c>
      <c r="I126" s="23">
        <v>4.0720000000000001E-6</v>
      </c>
      <c r="J126" s="23">
        <v>1.2700000000000001E-7</v>
      </c>
      <c r="K126" s="23">
        <v>1.613</v>
      </c>
      <c r="L126" s="23">
        <v>1.613</v>
      </c>
      <c r="M126" s="23">
        <v>3.8E-3</v>
      </c>
      <c r="N126" s="23">
        <v>3.79E-3</v>
      </c>
      <c r="O126">
        <v>3.81E-3</v>
      </c>
      <c r="P126">
        <v>3.2530000000000003E-7</v>
      </c>
    </row>
  </sheetData>
  <sheetProtection algorithmName="SHA-512" hashValue="XiQJ9t4XDXHvRn/GbYGWU506AJnt+mt0mAJwCzydzOtrCI88aIgnaOKk7HuedHukm5tUoinzmm0jSkYEGRdtkw==" saltValue="tws+Ne+e/L3PawyagPapsQ==" spinCount="100000" sheet="1" objects="1" scenarios="1" sort="0" autoFilter="0"/>
  <autoFilter ref="A10:S126" xr:uid="{6C139B9F-BA2C-4639-A89D-5BABFBB8646C}"/>
  <mergeCells count="14">
    <mergeCell ref="A1:F1"/>
    <mergeCell ref="K1:L1"/>
    <mergeCell ref="M1:N1"/>
    <mergeCell ref="O1:P1"/>
    <mergeCell ref="A2:B2"/>
    <mergeCell ref="C2:D2"/>
    <mergeCell ref="E2:F2"/>
    <mergeCell ref="H2:Q2"/>
    <mergeCell ref="A3:B3"/>
    <mergeCell ref="C3:D3"/>
    <mergeCell ref="E3:F3"/>
    <mergeCell ref="H3:Q3"/>
    <mergeCell ref="A4:G4"/>
    <mergeCell ref="H4:Q4"/>
  </mergeCells>
  <conditionalFormatting sqref="A11:A79">
    <cfRule type="duplicateValues" dxfId="44" priority="9"/>
  </conditionalFormatting>
  <conditionalFormatting sqref="A3:G3">
    <cfRule type="cellIs" dxfId="43" priority="1" operator="equal">
      <formula>0</formula>
    </cfRule>
  </conditionalFormatting>
  <conditionalFormatting sqref="B11:B79">
    <cfRule type="duplicateValues" dxfId="42" priority="10"/>
  </conditionalFormatting>
  <conditionalFormatting sqref="C11:C1883">
    <cfRule type="containsBlanks" dxfId="41" priority="5" stopIfTrue="1">
      <formula>LEN(TRIM(C11))=0</formula>
    </cfRule>
    <cfRule type="cellIs" dxfId="40" priority="6" stopIfTrue="1" operator="equal">
      <formula>"ND"</formula>
    </cfRule>
    <cfRule type="cellIs" dxfId="39" priority="7" operator="equal">
      <formula>"ALL PASS"</formula>
    </cfRule>
    <cfRule type="cellIs" dxfId="38" priority="8" operator="notEqual">
      <formula>"ALL PASS"</formula>
    </cfRule>
  </conditionalFormatting>
  <conditionalFormatting sqref="E11:E1883">
    <cfRule type="cellIs" dxfId="37" priority="2" stopIfTrue="1" operator="equal">
      <formula>99</formula>
    </cfRule>
    <cfRule type="cellIs" dxfId="36" priority="3" operator="between">
      <formula>2</formula>
      <formula>98</formula>
    </cfRule>
    <cfRule type="cellIs" dxfId="35" priority="4" operator="equal">
      <formula>1</formula>
    </cfRule>
  </conditionalFormatting>
  <hyperlinks>
    <hyperlink ref="H1" location="INDEX!A1" display="RETURN TO INDEX" xr:uid="{9CB41EB6-4EDC-44E0-B31A-51E55CBB4453}"/>
    <hyperlink ref="H1:I1" location="INDEX!A1" display="RETURN TO INDEX" xr:uid="{B83797EA-B37D-4CA8-B7C6-E5A7F390536B}"/>
    <hyperlink ref="M1" location="'SCREENING STATUS'!A1" display="SCREENING STATUS" xr:uid="{B26CC8D1-A789-42BE-8FBC-7A668671C625}"/>
    <hyperlink ref="J1" location="SUMMARY!A1" display="SUMMARY" xr:uid="{34459D33-8A4F-43C5-8E4E-0884637D335D}"/>
    <hyperlink ref="K1" location="'SCREENING STATUS'!A1" display="SCREENING STATUS" xr:uid="{F4EEF20D-1862-49EB-BE4D-ED9B2544F386}"/>
  </hyperlink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EA4EF-DAEB-4632-9B3D-843B7C6A6448}">
  <sheetPr>
    <tabColor theme="4" tint="-0.249977111117893"/>
  </sheetPr>
  <dimension ref="A1:R126"/>
  <sheetViews>
    <sheetView zoomScale="95" zoomScaleNormal="95" workbookViewId="0">
      <pane xSplit="3" ySplit="10" topLeftCell="D11" activePane="bottomRight" state="frozen"/>
      <selection sqref="A1:E1"/>
      <selection pane="topRight" sqref="A1:E1"/>
      <selection pane="bottomLeft" sqref="A1:E1"/>
      <selection pane="bottomRight" sqref="A1:F1"/>
    </sheetView>
  </sheetViews>
  <sheetFormatPr defaultColWidth="0" defaultRowHeight="15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16" width="18.85546875" customWidth="1"/>
    <col min="17" max="17" width="22.5703125" bestFit="1" customWidth="1"/>
    <col min="18" max="18" width="18.7109375" customWidth="1"/>
  </cols>
  <sheetData>
    <row r="1" spans="1:18" ht="24" x14ac:dyDescent="0.25">
      <c r="A1" s="78" t="s">
        <v>47</v>
      </c>
      <c r="B1" s="78"/>
      <c r="C1" s="78"/>
      <c r="D1" s="78"/>
      <c r="E1" s="78"/>
      <c r="F1" s="78"/>
      <c r="G1" s="4"/>
      <c r="H1" s="2" t="s">
        <v>1</v>
      </c>
      <c r="I1" s="2"/>
      <c r="J1" s="5" t="s">
        <v>6</v>
      </c>
      <c r="K1" s="72" t="s">
        <v>7</v>
      </c>
      <c r="L1" s="72"/>
      <c r="M1" s="72" t="s">
        <v>2</v>
      </c>
      <c r="N1" s="72"/>
      <c r="O1" s="28" t="s">
        <v>106</v>
      </c>
      <c r="P1" s="28" t="s">
        <v>106</v>
      </c>
      <c r="Q1" s="28" t="s">
        <v>106</v>
      </c>
      <c r="R1" s="28" t="s">
        <v>106</v>
      </c>
    </row>
    <row r="2" spans="1:18" ht="24" x14ac:dyDescent="0.25">
      <c r="A2" s="73" t="s">
        <v>100</v>
      </c>
      <c r="B2" s="73"/>
      <c r="C2" s="73" t="s">
        <v>101</v>
      </c>
      <c r="D2" s="73"/>
      <c r="E2" s="73" t="s">
        <v>102</v>
      </c>
      <c r="F2" s="73"/>
      <c r="G2" s="7" t="s">
        <v>103</v>
      </c>
      <c r="H2" s="74" t="s">
        <v>8</v>
      </c>
      <c r="I2" s="75"/>
      <c r="J2" s="75"/>
      <c r="K2" s="75"/>
      <c r="L2" s="75"/>
      <c r="M2" s="75"/>
      <c r="N2" s="75"/>
      <c r="O2" s="75"/>
      <c r="P2" s="75"/>
      <c r="Q2" s="75"/>
      <c r="R2" s="75"/>
    </row>
    <row r="3" spans="1:18" ht="24" x14ac:dyDescent="0.25">
      <c r="A3" s="73" t="s">
        <v>104</v>
      </c>
      <c r="B3" s="73"/>
      <c r="C3" s="73" t="s">
        <v>104</v>
      </c>
      <c r="D3" s="73"/>
      <c r="E3" s="73" t="s">
        <v>105</v>
      </c>
      <c r="F3" s="73"/>
      <c r="G3" s="7">
        <v>2406</v>
      </c>
      <c r="H3" s="74"/>
      <c r="I3" s="75"/>
      <c r="J3" s="75"/>
      <c r="K3" s="75"/>
      <c r="L3" s="75"/>
      <c r="M3" s="75"/>
      <c r="N3" s="75"/>
      <c r="O3" s="75"/>
      <c r="P3" s="75"/>
      <c r="Q3" s="75"/>
      <c r="R3" s="75"/>
    </row>
    <row r="4" spans="1:18" ht="24" x14ac:dyDescent="0.4">
      <c r="A4" s="76" t="str">
        <f>IF($B$5=$B$6,"PASS","FAIL")</f>
        <v>PASS</v>
      </c>
      <c r="B4" s="77"/>
      <c r="C4" s="77"/>
      <c r="D4" s="77"/>
      <c r="E4" s="77"/>
      <c r="F4" s="77"/>
      <c r="G4" s="77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</row>
    <row r="5" spans="1:18" x14ac:dyDescent="0.25">
      <c r="A5" s="8" t="s">
        <v>9</v>
      </c>
      <c r="B5" s="9">
        <f>COUNTA(C$11:C$2000)-COUNTIF(C11:C$2000,"ND")</f>
        <v>116</v>
      </c>
      <c r="C5" s="10"/>
      <c r="D5" s="11"/>
      <c r="E5" s="11"/>
      <c r="F5" s="12"/>
      <c r="G5" s="12"/>
      <c r="H5" s="13"/>
      <c r="I5" s="12"/>
      <c r="J5" s="12"/>
      <c r="K5" s="12"/>
      <c r="L5" s="12"/>
      <c r="M5" s="12"/>
      <c r="N5" s="12"/>
      <c r="O5" s="12"/>
      <c r="P5" s="12"/>
      <c r="Q5" s="12"/>
      <c r="R5" s="12"/>
    </row>
    <row r="6" spans="1:18" x14ac:dyDescent="0.25">
      <c r="A6" s="14" t="s">
        <v>10</v>
      </c>
      <c r="B6" s="15">
        <f>COUNTIF(C11:C$2000,"All Pass")</f>
        <v>116</v>
      </c>
      <c r="C6" s="16"/>
      <c r="D6" s="16"/>
      <c r="E6" s="16"/>
      <c r="F6" s="17" t="s">
        <v>11</v>
      </c>
      <c r="G6" s="17" t="s">
        <v>48</v>
      </c>
      <c r="H6" s="18" t="s">
        <v>49</v>
      </c>
      <c r="I6" s="17" t="s">
        <v>50</v>
      </c>
      <c r="J6" s="17" t="s">
        <v>51</v>
      </c>
      <c r="K6" s="17" t="s">
        <v>16</v>
      </c>
      <c r="L6" s="17" t="s">
        <v>17</v>
      </c>
      <c r="M6" s="17" t="s">
        <v>52</v>
      </c>
      <c r="N6" s="17" t="s">
        <v>53</v>
      </c>
      <c r="O6" s="17" t="s">
        <v>54</v>
      </c>
      <c r="P6" s="17" t="s">
        <v>55</v>
      </c>
      <c r="Q6" s="17" t="s">
        <v>56</v>
      </c>
      <c r="R6" s="17" t="s">
        <v>57</v>
      </c>
    </row>
    <row r="7" spans="1:18" x14ac:dyDescent="0.25">
      <c r="A7" s="14" t="s">
        <v>20</v>
      </c>
      <c r="B7" s="15">
        <f>COUNTIF(C11:C$2000,"ND")</f>
        <v>0</v>
      </c>
      <c r="C7" s="16"/>
      <c r="D7" s="16"/>
      <c r="E7" s="16"/>
      <c r="F7" s="17" t="s">
        <v>21</v>
      </c>
      <c r="G7" s="17" t="s">
        <v>58</v>
      </c>
      <c r="H7" s="18" t="s">
        <v>59</v>
      </c>
      <c r="I7" s="17" t="s">
        <v>58</v>
      </c>
      <c r="J7" s="17" t="s">
        <v>60</v>
      </c>
      <c r="K7" s="17" t="s">
        <v>25</v>
      </c>
      <c r="L7" s="17" t="s">
        <v>26</v>
      </c>
      <c r="M7" s="17" t="s">
        <v>61</v>
      </c>
      <c r="N7" s="17" t="s">
        <v>62</v>
      </c>
      <c r="O7" s="17" t="s">
        <v>63</v>
      </c>
      <c r="P7" s="17" t="s">
        <v>59</v>
      </c>
      <c r="Q7" s="17" t="s">
        <v>58</v>
      </c>
      <c r="R7" s="17" t="s">
        <v>64</v>
      </c>
    </row>
    <row r="8" spans="1:18" x14ac:dyDescent="0.25">
      <c r="A8" s="14" t="s">
        <v>28</v>
      </c>
      <c r="B8" s="15">
        <f>B5-B6</f>
        <v>0</v>
      </c>
      <c r="C8" s="16"/>
      <c r="D8" s="16"/>
      <c r="E8" s="16"/>
      <c r="F8" s="17" t="s">
        <v>29</v>
      </c>
      <c r="G8" s="17" t="s">
        <v>30</v>
      </c>
      <c r="H8" s="18" t="s">
        <v>31</v>
      </c>
      <c r="I8" s="17" t="s">
        <v>32</v>
      </c>
      <c r="J8" s="17" t="s">
        <v>33</v>
      </c>
      <c r="K8" s="17" t="s">
        <v>34</v>
      </c>
      <c r="L8" s="17" t="s">
        <v>35</v>
      </c>
      <c r="M8" s="17" t="s">
        <v>36</v>
      </c>
      <c r="N8" s="17" t="s">
        <v>36</v>
      </c>
      <c r="O8" s="17" t="s">
        <v>36</v>
      </c>
      <c r="P8" s="17" t="s">
        <v>37</v>
      </c>
      <c r="Q8" s="17" t="s">
        <v>30</v>
      </c>
      <c r="R8" s="17" t="s">
        <v>65</v>
      </c>
    </row>
    <row r="9" spans="1:18" x14ac:dyDescent="0.25">
      <c r="A9" s="16" t="s">
        <v>38</v>
      </c>
      <c r="B9" s="16" t="s">
        <v>39</v>
      </c>
      <c r="C9" s="16" t="s">
        <v>40</v>
      </c>
      <c r="D9" s="16" t="s">
        <v>41</v>
      </c>
      <c r="E9" s="16" t="s">
        <v>42</v>
      </c>
      <c r="F9" s="17" t="s">
        <v>43</v>
      </c>
      <c r="G9" s="17"/>
      <c r="H9" s="19"/>
      <c r="I9" s="17"/>
      <c r="J9" s="17"/>
      <c r="K9" s="17"/>
      <c r="L9" s="17"/>
      <c r="M9" s="17" t="s">
        <v>66</v>
      </c>
      <c r="N9" s="17" t="s">
        <v>44</v>
      </c>
      <c r="O9" s="17" t="s">
        <v>67</v>
      </c>
      <c r="P9" s="17"/>
      <c r="Q9" s="17"/>
      <c r="R9" s="17"/>
    </row>
    <row r="10" spans="1:18" x14ac:dyDescent="0.25">
      <c r="A10" s="29"/>
      <c r="B10" s="30"/>
      <c r="C10" s="31"/>
      <c r="D10" s="31"/>
      <c r="E10" s="32"/>
      <c r="F10" s="33"/>
      <c r="G10" s="34"/>
      <c r="H10" s="35"/>
      <c r="I10" s="35"/>
      <c r="J10" s="33"/>
      <c r="K10" s="35"/>
      <c r="L10" s="34"/>
      <c r="M10" s="36"/>
      <c r="N10" s="37"/>
      <c r="O10" s="37"/>
      <c r="P10" s="37"/>
      <c r="Q10" s="37"/>
      <c r="R10" s="37"/>
    </row>
    <row r="11" spans="1:18" x14ac:dyDescent="0.25">
      <c r="B11" s="22">
        <v>1</v>
      </c>
      <c r="C11" s="22" t="s">
        <v>45</v>
      </c>
      <c r="D11" s="22" t="s">
        <v>46</v>
      </c>
      <c r="E11" s="22">
        <v>1</v>
      </c>
      <c r="F11" s="22">
        <v>1.8009999999999999</v>
      </c>
      <c r="G11" s="23">
        <v>3.2889999999999999E-5</v>
      </c>
      <c r="H11" s="23">
        <v>1.3029999999999998E-6</v>
      </c>
      <c r="I11" s="23">
        <v>6.1630000000000005E-5</v>
      </c>
      <c r="J11" s="23">
        <v>2.5289999999999998E-6</v>
      </c>
      <c r="K11" s="23">
        <v>1.538</v>
      </c>
      <c r="L11" s="23">
        <v>1.538</v>
      </c>
      <c r="M11" s="23">
        <v>6.2500000000000003E-3</v>
      </c>
      <c r="N11" s="23">
        <v>6.28E-3</v>
      </c>
      <c r="O11" s="23">
        <v>2.0000000000000002E-5</v>
      </c>
      <c r="P11" s="23">
        <v>4.3229999999999999E-6</v>
      </c>
      <c r="Q11" s="23">
        <v>3.1999999999999999E-5</v>
      </c>
      <c r="R11" s="23">
        <v>2.0870000000000002</v>
      </c>
    </row>
    <row r="12" spans="1:18" x14ac:dyDescent="0.25">
      <c r="B12" s="22">
        <v>2</v>
      </c>
      <c r="C12" s="22" t="s">
        <v>45</v>
      </c>
      <c r="D12" s="22" t="s">
        <v>46</v>
      </c>
      <c r="E12" s="22">
        <v>1</v>
      </c>
      <c r="F12" s="22">
        <v>1.78</v>
      </c>
      <c r="G12" s="23">
        <v>8.7459999999999993E-5</v>
      </c>
      <c r="H12" s="23">
        <v>5.6790000000000002E-6</v>
      </c>
      <c r="I12" s="23">
        <v>1.526E-4</v>
      </c>
      <c r="J12" s="23">
        <v>6.8669999999999996E-6</v>
      </c>
      <c r="K12" s="23">
        <v>1.494</v>
      </c>
      <c r="L12" s="23">
        <v>1.494</v>
      </c>
      <c r="M12" s="23">
        <v>6.6900000000000006E-3</v>
      </c>
      <c r="N12" s="23">
        <v>6.7300000000000007E-3</v>
      </c>
      <c r="O12" s="23">
        <v>2.0000000000000002E-5</v>
      </c>
      <c r="P12" s="23">
        <v>1.241E-5</v>
      </c>
      <c r="Q12" s="23">
        <v>8.9549999999999995E-5</v>
      </c>
      <c r="R12" s="23">
        <v>2.105</v>
      </c>
    </row>
    <row r="13" spans="1:18" x14ac:dyDescent="0.25">
      <c r="B13" s="22">
        <v>3</v>
      </c>
      <c r="C13" s="22" t="s">
        <v>45</v>
      </c>
      <c r="D13" s="22" t="s">
        <v>46</v>
      </c>
      <c r="E13" s="22">
        <v>1</v>
      </c>
      <c r="F13" s="22">
        <v>1.7609999999999999</v>
      </c>
      <c r="G13" s="23">
        <v>3.2679999999999999E-5</v>
      </c>
      <c r="H13" s="23">
        <v>7.2930000000000005E-7</v>
      </c>
      <c r="I13" s="23">
        <v>6.6489999999999995E-5</v>
      </c>
      <c r="J13" s="23">
        <v>1.5629999999999999E-6</v>
      </c>
      <c r="K13" s="23">
        <v>1.552</v>
      </c>
      <c r="L13" s="23">
        <v>1.552</v>
      </c>
      <c r="M13" s="23">
        <v>6.2400000000000008E-3</v>
      </c>
      <c r="N13" s="23">
        <v>6.2500000000000003E-3</v>
      </c>
      <c r="O13" s="23">
        <v>3.0000000000000001E-5</v>
      </c>
      <c r="P13" s="23">
        <v>3.3409999999999999E-6</v>
      </c>
      <c r="Q13" s="23">
        <v>3.1359999999999998E-5</v>
      </c>
      <c r="R13" s="23">
        <v>2.081</v>
      </c>
    </row>
    <row r="14" spans="1:18" x14ac:dyDescent="0.25">
      <c r="B14" s="22">
        <v>4</v>
      </c>
      <c r="C14" s="22" t="s">
        <v>45</v>
      </c>
      <c r="D14" s="22" t="s">
        <v>46</v>
      </c>
      <c r="E14" s="22">
        <v>1</v>
      </c>
      <c r="F14" s="22">
        <v>1.85</v>
      </c>
      <c r="G14" s="23">
        <v>2.9729999999999998E-5</v>
      </c>
      <c r="H14" s="23">
        <v>1.207E-6</v>
      </c>
      <c r="I14" s="23">
        <v>5.6060000000000002E-5</v>
      </c>
      <c r="J14" s="23">
        <v>2.497E-6</v>
      </c>
      <c r="K14" s="23">
        <v>1.5389999999999999</v>
      </c>
      <c r="L14" s="23">
        <v>1.5389999999999999</v>
      </c>
      <c r="M14" s="23">
        <v>5.8899999999999994E-3</v>
      </c>
      <c r="N14" s="23">
        <v>6.0499999999999998E-3</v>
      </c>
      <c r="O14" s="23">
        <v>2.0000000000000002E-5</v>
      </c>
      <c r="P14" s="23">
        <v>4.2629999999999997E-6</v>
      </c>
      <c r="Q14" s="23">
        <v>2.9960000000000001E-5</v>
      </c>
      <c r="R14" s="23">
        <v>2.1139999999999999</v>
      </c>
    </row>
    <row r="15" spans="1:18" x14ac:dyDescent="0.25">
      <c r="B15" s="22">
        <v>7</v>
      </c>
      <c r="C15" s="22" t="s">
        <v>45</v>
      </c>
      <c r="D15" s="22" t="s">
        <v>46</v>
      </c>
      <c r="E15" s="22">
        <v>1</v>
      </c>
      <c r="F15" s="22">
        <v>1.806</v>
      </c>
      <c r="G15" s="23">
        <v>8.3109999999999995E-5</v>
      </c>
      <c r="H15" s="23">
        <v>6.2809999999999997E-6</v>
      </c>
      <c r="I15" s="23">
        <v>1.4569999999999999E-4</v>
      </c>
      <c r="J15" s="23">
        <v>7.841E-6</v>
      </c>
      <c r="K15" s="23">
        <v>1.4930000000000001</v>
      </c>
      <c r="L15" s="23">
        <v>1.4930000000000001</v>
      </c>
      <c r="M15" s="23">
        <v>6.3300000000000006E-3</v>
      </c>
      <c r="N15" s="23">
        <v>6.3700000000000007E-3</v>
      </c>
      <c r="O15" s="23">
        <v>2.0000000000000002E-5</v>
      </c>
      <c r="P15" s="23">
        <v>1.558E-5</v>
      </c>
      <c r="Q15" s="23">
        <v>8.195E-5</v>
      </c>
      <c r="R15" s="23">
        <v>2.0179999999999998</v>
      </c>
    </row>
    <row r="16" spans="1:18" x14ac:dyDescent="0.25">
      <c r="B16" s="22">
        <v>8</v>
      </c>
      <c r="C16" s="22" t="s">
        <v>45</v>
      </c>
      <c r="D16" s="22" t="s">
        <v>46</v>
      </c>
      <c r="E16" s="22">
        <v>1</v>
      </c>
      <c r="F16" s="22">
        <v>1.734</v>
      </c>
      <c r="G16" s="23">
        <v>7.5779999999999996E-5</v>
      </c>
      <c r="H16" s="23">
        <v>4.4379999999999997E-6</v>
      </c>
      <c r="I16" s="23">
        <v>1.4990000000000001E-4</v>
      </c>
      <c r="J16" s="23">
        <v>3.0649999999999999E-6</v>
      </c>
      <c r="K16" s="23">
        <v>1.5209999999999999</v>
      </c>
      <c r="L16" s="23">
        <v>1.5209999999999999</v>
      </c>
      <c r="M16" s="23">
        <v>6.9100000000000003E-3</v>
      </c>
      <c r="N16" s="23">
        <v>6.9500000000000004E-3</v>
      </c>
      <c r="O16" s="23">
        <v>2.0000000000000002E-5</v>
      </c>
      <c r="P16" s="23">
        <v>2.1189999999999999E-5</v>
      </c>
      <c r="Q16" s="23">
        <v>7.3780000000000002E-5</v>
      </c>
      <c r="R16" s="23">
        <v>2.0499999999999998</v>
      </c>
    </row>
    <row r="17" spans="2:18" x14ac:dyDescent="0.25">
      <c r="B17" s="22">
        <v>9</v>
      </c>
      <c r="C17" s="22" t="s">
        <v>45</v>
      </c>
      <c r="D17" s="22" t="s">
        <v>46</v>
      </c>
      <c r="E17" s="22">
        <v>1</v>
      </c>
      <c r="F17" s="22">
        <v>1.7549999999999999</v>
      </c>
      <c r="G17" s="23">
        <v>6.5560000000000002E-5</v>
      </c>
      <c r="H17" s="23">
        <v>2.5720000000000001E-6</v>
      </c>
      <c r="I17" s="23">
        <v>1.3069999999999998E-4</v>
      </c>
      <c r="J17" s="23">
        <v>2.5219999999999997E-6</v>
      </c>
      <c r="K17" s="23">
        <v>1.538</v>
      </c>
      <c r="L17" s="23">
        <v>1.538</v>
      </c>
      <c r="M17" s="23">
        <v>6.6100000000000004E-3</v>
      </c>
      <c r="N17" s="23">
        <v>6.6400000000000001E-3</v>
      </c>
      <c r="O17" s="23">
        <v>2.0000000000000002E-5</v>
      </c>
      <c r="P17" s="23">
        <v>1.4999999999999999E-5</v>
      </c>
      <c r="Q17" s="23">
        <v>6.3029999999999998E-5</v>
      </c>
      <c r="R17" s="23">
        <v>2.085</v>
      </c>
    </row>
    <row r="18" spans="2:18" x14ac:dyDescent="0.25">
      <c r="B18" s="22">
        <v>11</v>
      </c>
      <c r="C18" s="22" t="s">
        <v>45</v>
      </c>
      <c r="D18" s="22" t="s">
        <v>46</v>
      </c>
      <c r="E18" s="22">
        <v>1</v>
      </c>
      <c r="F18" s="22">
        <v>1.51</v>
      </c>
      <c r="G18" s="23">
        <v>3.1919999999999999E-5</v>
      </c>
      <c r="H18" s="23">
        <v>1.1990000000000001E-6</v>
      </c>
      <c r="I18" s="23">
        <v>5.9559999999999999E-5</v>
      </c>
      <c r="J18" s="23">
        <v>2.4940000000000002E-6</v>
      </c>
      <c r="K18" s="23">
        <v>1.625</v>
      </c>
      <c r="L18" s="23">
        <v>1.625</v>
      </c>
      <c r="M18" s="23">
        <v>6.4800000000000005E-3</v>
      </c>
      <c r="N18" s="23">
        <v>6.5100000000000002E-3</v>
      </c>
      <c r="O18" s="23">
        <v>2.0000000000000002E-5</v>
      </c>
      <c r="P18" s="23">
        <v>4.5560000000000001E-6</v>
      </c>
      <c r="Q18" s="23">
        <v>3.1569999999999998E-5</v>
      </c>
      <c r="R18" s="23">
        <v>2.0920000000000001</v>
      </c>
    </row>
    <row r="19" spans="2:18" x14ac:dyDescent="0.25">
      <c r="B19" s="22">
        <v>12</v>
      </c>
      <c r="C19" s="22" t="s">
        <v>45</v>
      </c>
      <c r="D19" s="22" t="s">
        <v>46</v>
      </c>
      <c r="E19" s="22">
        <v>1</v>
      </c>
      <c r="F19" s="22">
        <v>1.782</v>
      </c>
      <c r="G19" s="23">
        <v>8.8719999999999991E-5</v>
      </c>
      <c r="H19" s="23">
        <v>6.8279999999999997E-6</v>
      </c>
      <c r="I19" s="23">
        <v>1.5109999999999999E-4</v>
      </c>
      <c r="J19" s="23">
        <v>6.9400000000000005E-6</v>
      </c>
      <c r="K19" s="23">
        <v>1.5109999999999999</v>
      </c>
      <c r="L19" s="23">
        <v>1.5109999999999999</v>
      </c>
      <c r="M19" s="23">
        <v>6.3400000000000001E-3</v>
      </c>
      <c r="N19" s="23">
        <v>6.4000000000000003E-3</v>
      </c>
      <c r="O19" s="23">
        <v>3.0000000000000001E-5</v>
      </c>
      <c r="P19" s="23">
        <v>1.5130000000000001E-5</v>
      </c>
      <c r="Q19" s="23">
        <v>9.3400000000000007E-5</v>
      </c>
      <c r="R19" s="23">
        <v>2.1019999999999999</v>
      </c>
    </row>
    <row r="20" spans="2:18" x14ac:dyDescent="0.25">
      <c r="B20" s="22">
        <v>13</v>
      </c>
      <c r="C20" s="22" t="s">
        <v>45</v>
      </c>
      <c r="D20" s="22" t="s">
        <v>46</v>
      </c>
      <c r="E20" s="22">
        <v>1</v>
      </c>
      <c r="F20" s="22">
        <v>1.7809999999999999</v>
      </c>
      <c r="G20" s="23">
        <v>4.1869999999999997E-5</v>
      </c>
      <c r="H20" s="23">
        <v>1.0019999999999999E-6</v>
      </c>
      <c r="I20" s="23">
        <v>8.276E-5</v>
      </c>
      <c r="J20" s="23">
        <v>2.1059999999999998E-6</v>
      </c>
      <c r="K20" s="23">
        <v>1.569</v>
      </c>
      <c r="L20" s="23">
        <v>1.569</v>
      </c>
      <c r="M20" s="23">
        <v>6.28E-3</v>
      </c>
      <c r="N20" s="23">
        <v>6.3300000000000006E-3</v>
      </c>
      <c r="O20" s="23">
        <v>2.0000000000000002E-5</v>
      </c>
      <c r="P20" s="23">
        <v>1.4259999999999999E-5</v>
      </c>
      <c r="Q20" s="23">
        <v>6.6639999999999999E-5</v>
      </c>
      <c r="R20" s="23">
        <v>2.08</v>
      </c>
    </row>
    <row r="21" spans="2:18" x14ac:dyDescent="0.25">
      <c r="B21" s="22">
        <v>15</v>
      </c>
      <c r="C21" s="22" t="s">
        <v>45</v>
      </c>
      <c r="D21" s="22" t="s">
        <v>46</v>
      </c>
      <c r="E21" s="22">
        <v>1</v>
      </c>
      <c r="F21" s="22">
        <v>1.56</v>
      </c>
      <c r="G21" s="23">
        <v>6.5779999999999997E-5</v>
      </c>
      <c r="H21" s="23">
        <v>2.5979999999999999E-6</v>
      </c>
      <c r="I21" s="23">
        <v>1.2529999999999998E-4</v>
      </c>
      <c r="J21" s="23">
        <v>4.7219999999999999E-6</v>
      </c>
      <c r="K21" s="23">
        <v>1.605</v>
      </c>
      <c r="L21" s="23">
        <v>1.605</v>
      </c>
      <c r="M21" s="23">
        <v>6.2300000000000003E-3</v>
      </c>
      <c r="N21" s="23">
        <v>6.28E-3</v>
      </c>
      <c r="O21" s="23">
        <v>2.0000000000000002E-5</v>
      </c>
      <c r="P21" s="23">
        <v>2.5009999999999999E-5</v>
      </c>
      <c r="Q21" s="23">
        <v>1.0609999999999999E-4</v>
      </c>
      <c r="R21" s="23">
        <v>2.0670000000000002</v>
      </c>
    </row>
    <row r="22" spans="2:18" x14ac:dyDescent="0.25">
      <c r="B22" s="22">
        <v>16</v>
      </c>
      <c r="C22" s="22" t="s">
        <v>45</v>
      </c>
      <c r="D22" s="22" t="s">
        <v>46</v>
      </c>
      <c r="E22" s="22">
        <v>1</v>
      </c>
      <c r="F22" s="22">
        <v>1.5820000000000001</v>
      </c>
      <c r="G22" s="23">
        <v>1.0349999999999999E-4</v>
      </c>
      <c r="H22" s="23">
        <v>6.1799999999999993E-6</v>
      </c>
      <c r="I22" s="23">
        <v>1.8980000000000001E-4</v>
      </c>
      <c r="J22" s="23">
        <v>8.9719999999999998E-6</v>
      </c>
      <c r="K22" s="23">
        <v>1.57</v>
      </c>
      <c r="L22" s="23">
        <v>1.57</v>
      </c>
      <c r="M22" s="23">
        <v>6.4700000000000001E-3</v>
      </c>
      <c r="N22" s="23">
        <v>6.4900000000000001E-3</v>
      </c>
      <c r="O22" s="23">
        <v>2.0000000000000002E-5</v>
      </c>
      <c r="P22" s="23">
        <v>2.457E-5</v>
      </c>
      <c r="Q22" s="23">
        <v>1.3339999999999999E-4</v>
      </c>
      <c r="R22" s="23">
        <v>2.024</v>
      </c>
    </row>
    <row r="23" spans="2:18" x14ac:dyDescent="0.25">
      <c r="B23" s="22">
        <v>17</v>
      </c>
      <c r="C23" s="22" t="s">
        <v>45</v>
      </c>
      <c r="D23" s="22" t="s">
        <v>46</v>
      </c>
      <c r="E23" s="22">
        <v>1</v>
      </c>
      <c r="F23" s="22">
        <v>1.585</v>
      </c>
      <c r="G23" s="23">
        <v>1.294E-4</v>
      </c>
      <c r="H23" s="23">
        <v>7.729E-6</v>
      </c>
      <c r="I23" s="23">
        <v>2.2949999999999999E-4</v>
      </c>
      <c r="J23" s="23">
        <v>9.9529999999999994E-6</v>
      </c>
      <c r="K23" s="23">
        <v>1.5249999999999999</v>
      </c>
      <c r="L23" s="23">
        <v>1.5249999999999999</v>
      </c>
      <c r="M23" s="23">
        <v>6.9000000000000008E-3</v>
      </c>
      <c r="N23" s="23">
        <v>6.9400000000000009E-3</v>
      </c>
      <c r="O23" s="23">
        <v>2.0000000000000002E-5</v>
      </c>
      <c r="P23" s="23">
        <v>2.1140000000000001E-5</v>
      </c>
      <c r="Q23" s="23">
        <v>1.315E-4</v>
      </c>
      <c r="R23" s="23">
        <v>2.0649999999999999</v>
      </c>
    </row>
    <row r="24" spans="2:18" x14ac:dyDescent="0.25">
      <c r="B24" s="22">
        <v>19</v>
      </c>
      <c r="C24" s="22" t="s">
        <v>45</v>
      </c>
      <c r="D24" s="22" t="s">
        <v>46</v>
      </c>
      <c r="E24" s="22">
        <v>1</v>
      </c>
      <c r="F24" s="22">
        <v>1.8220000000000001</v>
      </c>
      <c r="G24" s="23">
        <v>5.3380000000000001E-5</v>
      </c>
      <c r="H24" s="23">
        <v>1.1310000000000001E-6</v>
      </c>
      <c r="I24" s="23">
        <v>1.114E-4</v>
      </c>
      <c r="J24" s="23">
        <v>1.838E-6</v>
      </c>
      <c r="K24" s="23">
        <v>1.48</v>
      </c>
      <c r="L24" s="23">
        <v>1.48</v>
      </c>
      <c r="M24" s="23">
        <v>6.5599999999999999E-3</v>
      </c>
      <c r="N24" s="23">
        <v>6.5799999999999999E-3</v>
      </c>
      <c r="O24" s="23">
        <v>3.0000000000000001E-5</v>
      </c>
      <c r="P24" s="23">
        <v>5.8169999999999995E-6</v>
      </c>
      <c r="Q24" s="23">
        <v>5.109E-5</v>
      </c>
      <c r="R24" s="23">
        <v>2.0710000000000002</v>
      </c>
    </row>
    <row r="25" spans="2:18" x14ac:dyDescent="0.25">
      <c r="B25" s="22">
        <v>21</v>
      </c>
      <c r="C25" s="22" t="s">
        <v>45</v>
      </c>
      <c r="D25" s="22" t="s">
        <v>46</v>
      </c>
      <c r="E25" s="22">
        <v>1</v>
      </c>
      <c r="F25" s="22">
        <v>1.5029999999999999</v>
      </c>
      <c r="G25" s="23">
        <v>1.4980000000000001E-4</v>
      </c>
      <c r="H25" s="23">
        <v>7.8140000000000001E-6</v>
      </c>
      <c r="I25" s="23">
        <v>2.5769999999999998E-4</v>
      </c>
      <c r="J25" s="23">
        <v>9.2159999999999995E-6</v>
      </c>
      <c r="K25" s="23">
        <v>1.5249999999999999</v>
      </c>
      <c r="L25" s="23">
        <v>1.5249999999999999</v>
      </c>
      <c r="M25" s="23">
        <v>7.9100000000000004E-3</v>
      </c>
      <c r="N25" s="23">
        <v>7.9600000000000001E-3</v>
      </c>
      <c r="O25" s="23">
        <v>2.0000000000000002E-5</v>
      </c>
      <c r="P25" s="23">
        <v>1.721E-5</v>
      </c>
      <c r="Q25" s="23">
        <v>1.5309999999999998E-4</v>
      </c>
      <c r="R25" s="23">
        <v>2.056</v>
      </c>
    </row>
    <row r="26" spans="2:18" x14ac:dyDescent="0.25">
      <c r="B26" s="22">
        <v>22</v>
      </c>
      <c r="C26" s="22" t="s">
        <v>45</v>
      </c>
      <c r="D26" s="22" t="s">
        <v>46</v>
      </c>
      <c r="E26" s="22">
        <v>1</v>
      </c>
      <c r="F26" s="22">
        <v>1.8120000000000001</v>
      </c>
      <c r="G26" s="23">
        <v>3.8979999999999996E-5</v>
      </c>
      <c r="H26" s="23">
        <v>1.9579999999999997E-6</v>
      </c>
      <c r="I26" s="23">
        <v>7.0819999999999989E-5</v>
      </c>
      <c r="J26" s="23">
        <v>3.4349999999999997E-6</v>
      </c>
      <c r="K26" s="23">
        <v>1.5269999999999999</v>
      </c>
      <c r="L26" s="23">
        <v>1.5269999999999999</v>
      </c>
      <c r="M26" s="23">
        <v>6.1399999999999996E-3</v>
      </c>
      <c r="N26" s="23">
        <v>6.1700000000000001E-3</v>
      </c>
      <c r="O26" s="23">
        <v>2.0000000000000002E-5</v>
      </c>
      <c r="P26" s="23">
        <v>5.6929999999999995E-6</v>
      </c>
      <c r="Q26" s="23">
        <v>3.9979999999999993E-5</v>
      </c>
      <c r="R26" s="23">
        <v>2.117</v>
      </c>
    </row>
    <row r="27" spans="2:18" x14ac:dyDescent="0.25">
      <c r="B27" s="22">
        <v>27</v>
      </c>
      <c r="C27" s="22" t="s">
        <v>45</v>
      </c>
      <c r="D27" s="22" t="s">
        <v>46</v>
      </c>
      <c r="E27" s="22">
        <v>1</v>
      </c>
      <c r="F27" s="22">
        <v>1.5940000000000001</v>
      </c>
      <c r="G27" s="23">
        <v>8.7040000000000007E-5</v>
      </c>
      <c r="H27" s="23">
        <v>4.7469999999999996E-6</v>
      </c>
      <c r="I27" s="23">
        <v>1.6190000000000001E-4</v>
      </c>
      <c r="J27" s="23">
        <v>7.3719999999999999E-6</v>
      </c>
      <c r="K27" s="23">
        <v>1.5640000000000001</v>
      </c>
      <c r="L27" s="23">
        <v>1.5640000000000001</v>
      </c>
      <c r="M27" s="23">
        <v>6.4400000000000004E-3</v>
      </c>
      <c r="N27" s="23">
        <v>6.4800000000000005E-3</v>
      </c>
      <c r="O27" s="23">
        <v>2.0000000000000002E-5</v>
      </c>
      <c r="P27" s="23">
        <v>1.4749999999999999E-5</v>
      </c>
      <c r="Q27" s="23">
        <v>8.7769999999999995E-5</v>
      </c>
      <c r="R27" s="23">
        <v>2.109</v>
      </c>
    </row>
    <row r="28" spans="2:18" x14ac:dyDescent="0.25">
      <c r="B28" s="22">
        <v>28</v>
      </c>
      <c r="C28" s="22" t="s">
        <v>45</v>
      </c>
      <c r="D28" s="22" t="s">
        <v>46</v>
      </c>
      <c r="E28" s="22">
        <v>1</v>
      </c>
      <c r="F28" s="22">
        <v>1.641</v>
      </c>
      <c r="G28" s="23">
        <v>1.838E-4</v>
      </c>
      <c r="H28" s="23">
        <v>1.1099999999999999E-5</v>
      </c>
      <c r="I28" s="23">
        <v>3.1629999999999999E-4</v>
      </c>
      <c r="J28" s="23">
        <v>1.149E-5</v>
      </c>
      <c r="K28" s="23">
        <v>1.466</v>
      </c>
      <c r="L28" s="23">
        <v>1.466</v>
      </c>
      <c r="M28" s="23">
        <v>7.8700000000000003E-3</v>
      </c>
      <c r="N28" s="23">
        <v>7.9299999999999995E-3</v>
      </c>
      <c r="O28" s="23">
        <v>2.0000000000000002E-5</v>
      </c>
      <c r="P28" s="23">
        <v>2.3989999999999999E-5</v>
      </c>
      <c r="Q28" s="23">
        <v>1.8219999999999998E-4</v>
      </c>
      <c r="R28" s="23">
        <v>2.0190000000000001</v>
      </c>
    </row>
    <row r="29" spans="2:18" x14ac:dyDescent="0.25">
      <c r="B29" s="22">
        <v>29</v>
      </c>
      <c r="C29" s="22" t="s">
        <v>45</v>
      </c>
      <c r="D29" s="22" t="s">
        <v>46</v>
      </c>
      <c r="E29" s="22">
        <v>1</v>
      </c>
      <c r="F29" s="22">
        <v>1.7769999999999999</v>
      </c>
      <c r="G29" s="23">
        <v>8.2730000000000002E-5</v>
      </c>
      <c r="H29" s="23">
        <v>5.7640000000000002E-6</v>
      </c>
      <c r="I29" s="23">
        <v>1.3999999999999999E-4</v>
      </c>
      <c r="J29" s="23">
        <v>6.4219999999999997E-6</v>
      </c>
      <c r="K29" s="23">
        <v>1.5029999999999999</v>
      </c>
      <c r="L29" s="23">
        <v>1.5029999999999999</v>
      </c>
      <c r="M29" s="23">
        <v>6.6299999999999996E-3</v>
      </c>
      <c r="N29" s="23">
        <v>6.6500000000000005E-3</v>
      </c>
      <c r="O29" s="23">
        <v>2.0000000000000002E-5</v>
      </c>
      <c r="P29" s="23">
        <v>2.1880000000000001E-4</v>
      </c>
      <c r="Q29" s="23">
        <v>1.9959999999999997E-4</v>
      </c>
      <c r="R29" s="23">
        <v>2.0009999999999999</v>
      </c>
    </row>
    <row r="30" spans="2:18" x14ac:dyDescent="0.25">
      <c r="B30" s="22">
        <v>32</v>
      </c>
      <c r="C30" s="22" t="s">
        <v>45</v>
      </c>
      <c r="D30" s="22" t="s">
        <v>46</v>
      </c>
      <c r="E30" s="22">
        <v>1</v>
      </c>
      <c r="F30" s="22">
        <v>1.8520000000000001</v>
      </c>
      <c r="G30" s="23">
        <v>6.834E-5</v>
      </c>
      <c r="H30" s="23">
        <v>4.2539999999999994E-6</v>
      </c>
      <c r="I30" s="23">
        <v>1.2319999999999999E-4</v>
      </c>
      <c r="J30" s="23">
        <v>6.3809999999999996E-6</v>
      </c>
      <c r="K30" s="23">
        <v>1.478</v>
      </c>
      <c r="L30" s="23">
        <v>1.478</v>
      </c>
      <c r="M30" s="23">
        <v>6.43E-3</v>
      </c>
      <c r="N30" s="23">
        <v>6.45E-3</v>
      </c>
      <c r="O30" s="23">
        <v>2.0000000000000002E-5</v>
      </c>
      <c r="P30" s="23">
        <v>5.7039999999999991E-6</v>
      </c>
      <c r="Q30" s="23">
        <v>5.8020000000000004E-5</v>
      </c>
      <c r="R30" s="23">
        <v>2.0670000000000002</v>
      </c>
    </row>
    <row r="31" spans="2:18" x14ac:dyDescent="0.25">
      <c r="B31" s="22">
        <v>33</v>
      </c>
      <c r="C31" s="22" t="s">
        <v>45</v>
      </c>
      <c r="D31" s="22" t="s">
        <v>46</v>
      </c>
      <c r="E31" s="22">
        <v>1</v>
      </c>
      <c r="F31" s="22">
        <v>1.556</v>
      </c>
      <c r="G31" s="23">
        <v>5.6179999999999994E-5</v>
      </c>
      <c r="H31" s="23">
        <v>1.2099999999999998E-6</v>
      </c>
      <c r="I31" s="23">
        <v>1.1049999999999999E-4</v>
      </c>
      <c r="J31" s="23">
        <v>2.6529999999999998E-6</v>
      </c>
      <c r="K31" s="23">
        <v>1.589</v>
      </c>
      <c r="L31" s="23">
        <v>1.589</v>
      </c>
      <c r="M31" s="23">
        <v>6.5799999999999999E-3</v>
      </c>
      <c r="N31" s="23">
        <v>6.2599999999999999E-3</v>
      </c>
      <c r="O31" s="23">
        <v>2.0000000000000002E-5</v>
      </c>
      <c r="P31" s="23">
        <v>6.4249999999999995E-6</v>
      </c>
      <c r="Q31" s="23">
        <v>3.8999999999999999E-5</v>
      </c>
      <c r="R31" s="23">
        <v>2.0619999999999998</v>
      </c>
    </row>
    <row r="32" spans="2:18" x14ac:dyDescent="0.25">
      <c r="B32" s="22">
        <v>35</v>
      </c>
      <c r="C32" s="22" t="s">
        <v>45</v>
      </c>
      <c r="D32" s="22" t="s">
        <v>46</v>
      </c>
      <c r="E32" s="22">
        <v>1</v>
      </c>
      <c r="F32" s="22">
        <v>1.4890000000000001</v>
      </c>
      <c r="G32" s="23">
        <v>1.3109999999999999E-4</v>
      </c>
      <c r="H32" s="23">
        <v>7.4880000000000001E-6</v>
      </c>
      <c r="I32" s="23">
        <v>2.2029999999999999E-4</v>
      </c>
      <c r="J32" s="23">
        <v>8.2789999999999998E-6</v>
      </c>
      <c r="K32" s="23">
        <v>1.5449999999999999</v>
      </c>
      <c r="L32" s="23">
        <v>1.5449999999999999</v>
      </c>
      <c r="M32" s="23">
        <v>7.3200000000000001E-3</v>
      </c>
      <c r="N32" s="23">
        <v>7.3499999999999998E-3</v>
      </c>
      <c r="O32" s="23">
        <v>2.0000000000000002E-5</v>
      </c>
      <c r="P32" s="23">
        <v>1.7499999999999998E-5</v>
      </c>
      <c r="Q32" s="23">
        <v>1.3359999999999999E-4</v>
      </c>
      <c r="R32" s="23">
        <v>2.113</v>
      </c>
    </row>
    <row r="33" spans="2:18" x14ac:dyDescent="0.25">
      <c r="B33" s="22">
        <v>36</v>
      </c>
      <c r="C33" s="22" t="s">
        <v>45</v>
      </c>
      <c r="D33" s="22" t="s">
        <v>46</v>
      </c>
      <c r="E33" s="22">
        <v>1</v>
      </c>
      <c r="F33" s="22">
        <v>1.82</v>
      </c>
      <c r="G33" s="23">
        <v>7.3559999999999994E-5</v>
      </c>
      <c r="H33" s="23">
        <v>5.7229999999999992E-6</v>
      </c>
      <c r="I33" s="23">
        <v>1.262E-4</v>
      </c>
      <c r="J33" s="23">
        <v>6.9859999999999997E-6</v>
      </c>
      <c r="K33" s="23">
        <v>1.474</v>
      </c>
      <c r="L33" s="23">
        <v>1.474</v>
      </c>
      <c r="M33" s="23">
        <v>6.4900000000000001E-3</v>
      </c>
      <c r="N33" s="23">
        <v>6.5399999999999998E-3</v>
      </c>
      <c r="O33" s="23">
        <v>2.0000000000000002E-5</v>
      </c>
      <c r="P33" s="23">
        <v>1.413E-5</v>
      </c>
      <c r="Q33" s="23">
        <v>7.305E-5</v>
      </c>
      <c r="R33" s="23">
        <v>2.0230000000000001</v>
      </c>
    </row>
    <row r="34" spans="2:18" x14ac:dyDescent="0.25">
      <c r="B34" s="22">
        <v>37</v>
      </c>
      <c r="C34" s="22" t="s">
        <v>45</v>
      </c>
      <c r="D34" s="22" t="s">
        <v>46</v>
      </c>
      <c r="E34" s="22">
        <v>1</v>
      </c>
      <c r="F34" s="22">
        <v>1.7450000000000001</v>
      </c>
      <c r="G34" s="23">
        <v>3.7729999999999993E-5</v>
      </c>
      <c r="H34" s="23">
        <v>9.7560000000000003E-7</v>
      </c>
      <c r="I34" s="23">
        <v>7.3189999999999996E-5</v>
      </c>
      <c r="J34" s="23">
        <v>2.165E-6</v>
      </c>
      <c r="K34" s="23">
        <v>1.5860000000000001</v>
      </c>
      <c r="L34" s="23">
        <v>1.5860000000000001</v>
      </c>
      <c r="M34" s="23">
        <v>6.28E-3</v>
      </c>
      <c r="N34" s="23">
        <v>6.3200000000000001E-3</v>
      </c>
      <c r="O34" s="23">
        <v>2.0000000000000002E-5</v>
      </c>
      <c r="P34" s="23">
        <v>4.0720000000000001E-6</v>
      </c>
      <c r="Q34" s="23">
        <v>3.7840000000000004E-5</v>
      </c>
      <c r="R34" s="23">
        <v>2.149</v>
      </c>
    </row>
    <row r="35" spans="2:18" x14ac:dyDescent="0.25">
      <c r="B35" s="22">
        <v>41</v>
      </c>
      <c r="C35" s="22" t="s">
        <v>45</v>
      </c>
      <c r="D35" s="22" t="s">
        <v>46</v>
      </c>
      <c r="E35" s="22">
        <v>1</v>
      </c>
      <c r="F35" s="22">
        <v>1.764</v>
      </c>
      <c r="G35" s="23">
        <v>7.9590000000000002E-5</v>
      </c>
      <c r="H35" s="23">
        <v>3.7269999999999996E-6</v>
      </c>
      <c r="I35" s="23">
        <v>1.515E-4</v>
      </c>
      <c r="J35" s="23">
        <v>5.8209999999999998E-6</v>
      </c>
      <c r="K35" s="23">
        <v>1.5589999999999999</v>
      </c>
      <c r="L35" s="23">
        <v>1.5589999999999999</v>
      </c>
      <c r="M35" s="23">
        <v>6.2599999999999999E-3</v>
      </c>
      <c r="N35" s="23">
        <v>6.3200000000000001E-3</v>
      </c>
      <c r="O35" s="23">
        <v>2.0000000000000002E-5</v>
      </c>
      <c r="P35" s="23">
        <v>1.4219999999999999E-5</v>
      </c>
      <c r="Q35" s="23">
        <v>8.1500000000000002E-5</v>
      </c>
      <c r="R35" s="23">
        <v>2.1480000000000001</v>
      </c>
    </row>
    <row r="36" spans="2:18" x14ac:dyDescent="0.25">
      <c r="B36" s="22">
        <v>42</v>
      </c>
      <c r="C36" s="22" t="s">
        <v>45</v>
      </c>
      <c r="D36" s="22" t="s">
        <v>46</v>
      </c>
      <c r="E36" s="22">
        <v>1</v>
      </c>
      <c r="F36" s="22">
        <v>1.8640000000000001</v>
      </c>
      <c r="G36" s="23">
        <v>1.7889999999999998E-4</v>
      </c>
      <c r="H36" s="23">
        <v>1.065E-5</v>
      </c>
      <c r="I36" s="23">
        <v>3.1510000000000002E-4</v>
      </c>
      <c r="J36" s="23">
        <v>1.1800000000000001E-5</v>
      </c>
      <c r="K36" s="23">
        <v>1.423</v>
      </c>
      <c r="L36" s="23">
        <v>1.423</v>
      </c>
      <c r="M36" s="23">
        <v>7.1600000000000006E-3</v>
      </c>
      <c r="N36" s="23">
        <v>7.2100000000000003E-3</v>
      </c>
      <c r="O36" s="23">
        <v>2.0000000000000002E-5</v>
      </c>
      <c r="P36" s="23">
        <v>2.3149999999999997E-5</v>
      </c>
      <c r="Q36" s="23">
        <v>3.3059999999999999E-5</v>
      </c>
      <c r="R36" s="23">
        <v>1.8320000000000001</v>
      </c>
    </row>
    <row r="37" spans="2:18" x14ac:dyDescent="0.25">
      <c r="B37" s="22">
        <v>43</v>
      </c>
      <c r="C37" s="22" t="s">
        <v>45</v>
      </c>
      <c r="D37" s="22" t="s">
        <v>46</v>
      </c>
      <c r="E37" s="22">
        <v>1</v>
      </c>
      <c r="F37" s="22">
        <v>1.669</v>
      </c>
      <c r="G37" s="23">
        <v>3.2469999999999999E-5</v>
      </c>
      <c r="H37" s="23">
        <v>9.7970000000000012E-7</v>
      </c>
      <c r="I37" s="23">
        <v>6.3929999999999993E-5</v>
      </c>
      <c r="J37" s="23">
        <v>2.1379999999999997E-6</v>
      </c>
      <c r="K37" s="23">
        <v>1.5669999999999999</v>
      </c>
      <c r="L37" s="23">
        <v>1.5669999999999999</v>
      </c>
      <c r="M37" s="23">
        <v>6.2400000000000008E-3</v>
      </c>
      <c r="N37" s="23">
        <v>6.28E-3</v>
      </c>
      <c r="O37" s="23">
        <v>2.0000000000000002E-5</v>
      </c>
      <c r="P37" s="23">
        <v>1.7370000000000001E-5</v>
      </c>
      <c r="Q37" s="23">
        <v>7.8249999999999991E-5</v>
      </c>
      <c r="R37" s="23">
        <v>2.0070000000000001</v>
      </c>
    </row>
    <row r="38" spans="2:18" x14ac:dyDescent="0.25">
      <c r="B38" s="22">
        <v>44</v>
      </c>
      <c r="C38" s="22" t="s">
        <v>45</v>
      </c>
      <c r="D38" s="22" t="s">
        <v>46</v>
      </c>
      <c r="E38" s="22">
        <v>1</v>
      </c>
      <c r="F38" s="22">
        <v>1.6080000000000001</v>
      </c>
      <c r="G38" s="23">
        <v>7.4779999999999999E-5</v>
      </c>
      <c r="H38" s="23">
        <v>1.1519999999999999E-6</v>
      </c>
      <c r="I38" s="23">
        <v>1.518E-4</v>
      </c>
      <c r="J38" s="23">
        <v>2.3020000000000002E-6</v>
      </c>
      <c r="K38" s="23">
        <v>1.5489999999999999</v>
      </c>
      <c r="L38" s="23">
        <v>1.5489999999999999</v>
      </c>
      <c r="M38" s="23">
        <v>6.79E-3</v>
      </c>
      <c r="N38" s="23">
        <v>6.8300000000000001E-3</v>
      </c>
      <c r="O38" s="23">
        <v>2.0000000000000002E-5</v>
      </c>
      <c r="P38" s="23">
        <v>1.272E-5</v>
      </c>
      <c r="Q38" s="23">
        <v>7.4629999999999995E-5</v>
      </c>
      <c r="R38" s="23">
        <v>2.0499999999999998</v>
      </c>
    </row>
    <row r="39" spans="2:18" x14ac:dyDescent="0.25">
      <c r="B39" s="22">
        <v>48</v>
      </c>
      <c r="C39" s="22" t="s">
        <v>45</v>
      </c>
      <c r="D39" s="22" t="s">
        <v>46</v>
      </c>
      <c r="E39" s="22">
        <v>1</v>
      </c>
      <c r="F39" s="22">
        <v>1.417</v>
      </c>
      <c r="G39" s="23">
        <v>3.8309999999999997E-5</v>
      </c>
      <c r="H39" s="23">
        <v>1.3519999999999999E-6</v>
      </c>
      <c r="I39" s="23">
        <v>7.2970000000000001E-5</v>
      </c>
      <c r="J39" s="23">
        <v>2.8569999999999999E-6</v>
      </c>
      <c r="K39" s="23">
        <v>1.655</v>
      </c>
      <c r="L39" s="23">
        <v>1.655</v>
      </c>
      <c r="M39" s="23">
        <v>6.28E-3</v>
      </c>
      <c r="N39" s="23">
        <v>6.7300000000000007E-3</v>
      </c>
      <c r="O39" s="23">
        <v>2.0000000000000002E-5</v>
      </c>
      <c r="P39" s="23">
        <v>1.732E-5</v>
      </c>
      <c r="Q39" s="23">
        <v>1.2219999999999999E-4</v>
      </c>
      <c r="R39" s="23">
        <v>2.0720000000000001</v>
      </c>
    </row>
    <row r="40" spans="2:18" x14ac:dyDescent="0.25">
      <c r="B40" s="22">
        <v>49</v>
      </c>
      <c r="C40" s="22" t="s">
        <v>45</v>
      </c>
      <c r="D40" s="22" t="s">
        <v>46</v>
      </c>
      <c r="E40" s="22">
        <v>1</v>
      </c>
      <c r="F40" s="22">
        <v>1.5049999999999999</v>
      </c>
      <c r="G40" s="23">
        <v>1.154E-4</v>
      </c>
      <c r="H40" s="23">
        <v>6.1089999999999994E-6</v>
      </c>
      <c r="I40" s="23">
        <v>2.03E-4</v>
      </c>
      <c r="J40" s="23">
        <v>8.5459999999999992E-6</v>
      </c>
      <c r="K40" s="23">
        <v>1.5680000000000001</v>
      </c>
      <c r="L40" s="23">
        <v>1.5680000000000001</v>
      </c>
      <c r="M40" s="23">
        <v>6.8899999999999994E-3</v>
      </c>
      <c r="N40" s="23">
        <v>6.8799999999999998E-3</v>
      </c>
      <c r="O40" s="23">
        <v>2.0000000000000002E-5</v>
      </c>
      <c r="P40" s="23">
        <v>1.6179999999999998E-5</v>
      </c>
      <c r="Q40" s="23">
        <v>1.2159999999999999E-4</v>
      </c>
      <c r="R40" s="23">
        <v>2.109</v>
      </c>
    </row>
    <row r="41" spans="2:18" x14ac:dyDescent="0.25">
      <c r="B41" s="22">
        <v>50</v>
      </c>
      <c r="C41" s="22" t="s">
        <v>45</v>
      </c>
      <c r="D41" s="22" t="s">
        <v>46</v>
      </c>
      <c r="E41" s="22">
        <v>1</v>
      </c>
      <c r="F41" s="22">
        <v>1.77</v>
      </c>
      <c r="G41" s="23">
        <v>7.9870000000000006E-5</v>
      </c>
      <c r="H41" s="23">
        <v>5.524E-6</v>
      </c>
      <c r="I41" s="23">
        <v>1.3619999999999998E-4</v>
      </c>
      <c r="J41" s="23">
        <v>6.3689999999999995E-6</v>
      </c>
      <c r="K41" s="23">
        <v>1.5049999999999999</v>
      </c>
      <c r="L41" s="23">
        <v>1.5049999999999999</v>
      </c>
      <c r="M41" s="23">
        <v>6.6600000000000001E-3</v>
      </c>
      <c r="N41" s="23">
        <v>6.6699999999999997E-3</v>
      </c>
      <c r="O41" s="23">
        <v>2.0000000000000002E-5</v>
      </c>
      <c r="P41" s="23">
        <v>1.2639999999999999E-5</v>
      </c>
      <c r="Q41" s="23">
        <v>8.2909999999999991E-5</v>
      </c>
      <c r="R41" s="23">
        <v>2.1459999999999999</v>
      </c>
    </row>
    <row r="42" spans="2:18" x14ac:dyDescent="0.25">
      <c r="B42" s="22">
        <v>51</v>
      </c>
      <c r="C42" s="22" t="s">
        <v>45</v>
      </c>
      <c r="D42" s="22" t="s">
        <v>46</v>
      </c>
      <c r="E42" s="22">
        <v>1</v>
      </c>
      <c r="F42" s="22">
        <v>1.8120000000000001</v>
      </c>
      <c r="G42" s="23">
        <v>5.8989999999999996E-5</v>
      </c>
      <c r="H42" s="23">
        <v>1.5799999999999999E-6</v>
      </c>
      <c r="I42" s="23">
        <v>1.1609999999999999E-4</v>
      </c>
      <c r="J42" s="23">
        <v>3.1509999999999996E-6</v>
      </c>
      <c r="K42" s="23">
        <v>1.552</v>
      </c>
      <c r="L42" s="23">
        <v>1.552</v>
      </c>
      <c r="M42" s="23">
        <v>6.2599999999999999E-3</v>
      </c>
      <c r="N42" s="23">
        <v>6.2699999999999995E-3</v>
      </c>
      <c r="O42" s="23">
        <v>2.0000000000000002E-5</v>
      </c>
      <c r="P42" s="23">
        <v>5.9659999999999995E-5</v>
      </c>
      <c r="Q42" s="23">
        <v>2.1309999999999998E-4</v>
      </c>
      <c r="R42" s="23">
        <v>2.0070000000000001</v>
      </c>
    </row>
    <row r="43" spans="2:18" x14ac:dyDescent="0.25">
      <c r="B43" s="22">
        <v>52</v>
      </c>
      <c r="C43" s="22" t="s">
        <v>45</v>
      </c>
      <c r="D43" s="22" t="s">
        <v>46</v>
      </c>
      <c r="E43" s="22">
        <v>1</v>
      </c>
      <c r="F43" s="22">
        <v>1.548</v>
      </c>
      <c r="G43" s="23">
        <v>2.084E-4</v>
      </c>
      <c r="H43" s="23">
        <v>1.471E-5</v>
      </c>
      <c r="I43" s="23">
        <v>3.7149999999999998E-4</v>
      </c>
      <c r="J43" s="23">
        <v>1.5439999999999998E-5</v>
      </c>
      <c r="K43" s="23">
        <v>1.5620000000000001</v>
      </c>
      <c r="L43" s="23">
        <v>1.5620000000000001</v>
      </c>
      <c r="M43" s="23">
        <v>7.3099999999999997E-3</v>
      </c>
      <c r="N43" s="23">
        <v>7.3300000000000006E-3</v>
      </c>
      <c r="O43" s="23">
        <v>2.0000000000000002E-5</v>
      </c>
      <c r="P43" s="23">
        <v>1.643E-5</v>
      </c>
      <c r="Q43" s="23">
        <v>1.1849999999999999E-4</v>
      </c>
      <c r="R43" s="23">
        <v>2.11</v>
      </c>
    </row>
    <row r="44" spans="2:18" x14ac:dyDescent="0.25">
      <c r="B44" s="22">
        <v>53</v>
      </c>
      <c r="C44" s="22" t="s">
        <v>45</v>
      </c>
      <c r="D44" s="22" t="s">
        <v>46</v>
      </c>
      <c r="E44" s="22">
        <v>1</v>
      </c>
      <c r="F44" s="22">
        <v>1.4450000000000001</v>
      </c>
      <c r="G44" s="23">
        <v>1.1340000000000001E-4</v>
      </c>
      <c r="H44" s="23">
        <v>6.4500000000000001E-6</v>
      </c>
      <c r="I44" s="23">
        <v>1.8990000000000001E-4</v>
      </c>
      <c r="J44" s="23">
        <v>7.3349999999999992E-6</v>
      </c>
      <c r="K44" s="23">
        <v>1.5780000000000001</v>
      </c>
      <c r="L44" s="23">
        <v>1.5780000000000001</v>
      </c>
      <c r="M44" s="23">
        <v>7.0700000000000008E-3</v>
      </c>
      <c r="N44" s="23">
        <v>7.0899999999999999E-3</v>
      </c>
      <c r="O44" s="23">
        <v>2.0000000000000002E-5</v>
      </c>
      <c r="P44" s="23">
        <v>1.5310000000000001E-5</v>
      </c>
      <c r="Q44" s="23">
        <v>1.1809999999999998E-4</v>
      </c>
      <c r="R44" s="23">
        <v>2.1459999999999999</v>
      </c>
    </row>
    <row r="45" spans="2:18" x14ac:dyDescent="0.25">
      <c r="B45" s="22">
        <v>54</v>
      </c>
      <c r="C45" s="22" t="s">
        <v>45</v>
      </c>
      <c r="D45" s="22" t="s">
        <v>46</v>
      </c>
      <c r="E45" s="22">
        <v>1</v>
      </c>
      <c r="F45" s="22">
        <v>1.835</v>
      </c>
      <c r="G45" s="23">
        <v>3.5770000000000005E-5</v>
      </c>
      <c r="H45" s="23">
        <v>1.1699999999999998E-6</v>
      </c>
      <c r="I45" s="23">
        <v>6.9139999999999992E-5</v>
      </c>
      <c r="J45" s="23">
        <v>2.435E-6</v>
      </c>
      <c r="K45" s="23">
        <v>1.5349999999999999</v>
      </c>
      <c r="L45" s="23">
        <v>1.5349999999999999</v>
      </c>
      <c r="M45" s="23">
        <v>6.1500000000000001E-3</v>
      </c>
      <c r="N45" s="23">
        <v>6.1700000000000001E-3</v>
      </c>
      <c r="O45" s="23">
        <v>2.0000000000000002E-5</v>
      </c>
      <c r="P45" s="23">
        <v>4.9740000000000001E-6</v>
      </c>
      <c r="Q45" s="23">
        <v>3.4249999999999999E-5</v>
      </c>
      <c r="R45" s="23">
        <v>2.077</v>
      </c>
    </row>
    <row r="46" spans="2:18" x14ac:dyDescent="0.25">
      <c r="B46" s="22">
        <v>55</v>
      </c>
      <c r="C46" s="22" t="s">
        <v>45</v>
      </c>
      <c r="D46" s="22" t="s">
        <v>46</v>
      </c>
      <c r="E46" s="22">
        <v>1</v>
      </c>
      <c r="F46" s="22">
        <v>1.726</v>
      </c>
      <c r="G46" s="23">
        <v>1.1659999999999999E-4</v>
      </c>
      <c r="H46" s="23">
        <v>7.7020000000000001E-6</v>
      </c>
      <c r="I46" s="23">
        <v>1.9449999999999998E-4</v>
      </c>
      <c r="J46" s="23">
        <v>7.5259999999999996E-6</v>
      </c>
      <c r="K46" s="23">
        <v>1.492</v>
      </c>
      <c r="L46" s="23">
        <v>1.492</v>
      </c>
      <c r="M46" s="23">
        <v>7.1200000000000005E-3</v>
      </c>
      <c r="N46" s="23">
        <v>7.1500000000000001E-3</v>
      </c>
      <c r="O46" s="23">
        <v>2.0000000000000002E-5</v>
      </c>
      <c r="P46" s="23">
        <v>1.1429999999999999E-5</v>
      </c>
      <c r="Q46" s="23">
        <v>6.0599999999999996E-5</v>
      </c>
      <c r="R46" s="23">
        <v>2.0219999999999998</v>
      </c>
    </row>
    <row r="47" spans="2:18" x14ac:dyDescent="0.25">
      <c r="B47" s="22">
        <v>57</v>
      </c>
      <c r="C47" s="22" t="s">
        <v>45</v>
      </c>
      <c r="D47" s="22" t="s">
        <v>46</v>
      </c>
      <c r="E47" s="22">
        <v>1</v>
      </c>
      <c r="F47" s="22">
        <v>1.589</v>
      </c>
      <c r="G47" s="23">
        <v>5.9229999999999994E-5</v>
      </c>
      <c r="H47" s="23">
        <v>3.7379999999999996E-6</v>
      </c>
      <c r="I47" s="23">
        <v>1.0459999999999999E-4</v>
      </c>
      <c r="J47" s="23">
        <v>5.5149999999999997E-6</v>
      </c>
      <c r="K47" s="23">
        <v>1.5880000000000001</v>
      </c>
      <c r="L47" s="23">
        <v>1.5880000000000001</v>
      </c>
      <c r="M47" s="23">
        <v>6.3499999999999997E-3</v>
      </c>
      <c r="N47" s="23">
        <v>6.3600000000000002E-3</v>
      </c>
      <c r="O47" s="23">
        <v>2.0000000000000002E-5</v>
      </c>
      <c r="P47" s="23">
        <v>5.0929999999999993E-6</v>
      </c>
      <c r="Q47" s="23">
        <v>3.6990000000000003E-5</v>
      </c>
      <c r="R47" s="23">
        <v>2.109</v>
      </c>
    </row>
    <row r="48" spans="2:18" x14ac:dyDescent="0.25">
      <c r="B48" s="22">
        <v>59</v>
      </c>
      <c r="C48" s="22" t="s">
        <v>45</v>
      </c>
      <c r="D48" s="22" t="s">
        <v>46</v>
      </c>
      <c r="E48" s="22">
        <v>1</v>
      </c>
      <c r="F48" s="22">
        <v>1.7909999999999999</v>
      </c>
      <c r="G48" s="23">
        <v>1.7789999999999999E-4</v>
      </c>
      <c r="H48" s="23">
        <v>1.6420000000000002E-5</v>
      </c>
      <c r="I48" s="23">
        <v>3.1569999999999998E-4</v>
      </c>
      <c r="J48" s="23">
        <v>1.5310000000000001E-5</v>
      </c>
      <c r="K48" s="23">
        <v>1.472</v>
      </c>
      <c r="L48" s="23">
        <v>1.472</v>
      </c>
      <c r="M48" s="23">
        <v>6.7999999999999996E-3</v>
      </c>
      <c r="N48" s="23">
        <v>6.7800000000000004E-3</v>
      </c>
      <c r="O48" s="23">
        <v>2.0000000000000002E-5</v>
      </c>
      <c r="P48" s="23">
        <v>2.2759999999999999E-5</v>
      </c>
      <c r="Q48" s="23">
        <v>1.008E-4</v>
      </c>
      <c r="R48" s="23">
        <v>2.0859999999999999</v>
      </c>
    </row>
    <row r="49" spans="2:18" x14ac:dyDescent="0.25">
      <c r="B49" s="22">
        <v>60</v>
      </c>
      <c r="C49" s="22" t="s">
        <v>45</v>
      </c>
      <c r="D49" s="22" t="s">
        <v>46</v>
      </c>
      <c r="E49" s="22">
        <v>1</v>
      </c>
      <c r="F49" s="22">
        <v>1.5129999999999999</v>
      </c>
      <c r="G49" s="23">
        <v>9.3609999999999993E-5</v>
      </c>
      <c r="H49" s="23">
        <v>4.5079999999999999E-6</v>
      </c>
      <c r="I49" s="23">
        <v>1.7459999999999999E-4</v>
      </c>
      <c r="J49" s="23">
        <v>7.4509999999999995E-6</v>
      </c>
      <c r="K49" s="23">
        <v>1.6140000000000001</v>
      </c>
      <c r="L49" s="23">
        <v>1.6140000000000001</v>
      </c>
      <c r="M49" s="23">
        <v>6.4099999999999999E-3</v>
      </c>
      <c r="N49" s="23">
        <v>6.2199999999999998E-3</v>
      </c>
      <c r="O49" s="23">
        <v>2.0000000000000002E-5</v>
      </c>
      <c r="P49" s="23">
        <v>6.2279999999999995E-6</v>
      </c>
      <c r="Q49" s="23">
        <v>3.9289999999999998E-5</v>
      </c>
      <c r="R49" s="23">
        <v>2.06</v>
      </c>
    </row>
    <row r="50" spans="2:18" x14ac:dyDescent="0.25">
      <c r="B50" s="22">
        <v>61</v>
      </c>
      <c r="C50" s="22" t="s">
        <v>45</v>
      </c>
      <c r="D50" s="22" t="s">
        <v>46</v>
      </c>
      <c r="E50" s="22">
        <v>1</v>
      </c>
      <c r="F50" s="22">
        <v>1.5129999999999999</v>
      </c>
      <c r="G50" s="23">
        <v>3.8319999999999999E-5</v>
      </c>
      <c r="H50" s="23">
        <v>1.5769999999999999E-6</v>
      </c>
      <c r="I50" s="23">
        <v>7.1169999999999998E-5</v>
      </c>
      <c r="J50" s="23">
        <v>3.0960000000000001E-6</v>
      </c>
      <c r="K50" s="23">
        <v>1.6</v>
      </c>
      <c r="L50" s="23">
        <v>1.6</v>
      </c>
      <c r="M50" s="23">
        <v>6.4000000000000003E-3</v>
      </c>
      <c r="N50" s="23">
        <v>6.3600000000000002E-3</v>
      </c>
      <c r="O50" s="23">
        <v>3.0000000000000001E-5</v>
      </c>
      <c r="P50" s="23">
        <v>5.905999999999999E-6</v>
      </c>
      <c r="Q50" s="23">
        <v>3.7939999999999999E-5</v>
      </c>
      <c r="R50" s="23">
        <v>2.0910000000000002</v>
      </c>
    </row>
    <row r="51" spans="2:18" x14ac:dyDescent="0.25">
      <c r="B51" s="22">
        <v>63</v>
      </c>
      <c r="C51" s="22" t="s">
        <v>45</v>
      </c>
      <c r="D51" s="22" t="s">
        <v>46</v>
      </c>
      <c r="E51" s="22">
        <v>1</v>
      </c>
      <c r="F51" s="22">
        <v>1.831</v>
      </c>
      <c r="G51" s="23">
        <v>3.4319999999999997E-5</v>
      </c>
      <c r="H51" s="23">
        <v>1.4109999999999999E-6</v>
      </c>
      <c r="I51" s="23">
        <v>6.4700000000000001E-5</v>
      </c>
      <c r="J51" s="23">
        <v>2.745E-6</v>
      </c>
      <c r="K51" s="23">
        <v>1.5409999999999999</v>
      </c>
      <c r="L51" s="23">
        <v>1.5409999999999999</v>
      </c>
      <c r="M51" s="23">
        <v>6.2300000000000003E-3</v>
      </c>
      <c r="N51" s="23">
        <v>6.2599999999999999E-3</v>
      </c>
      <c r="O51" s="23">
        <v>3.0000000000000001E-5</v>
      </c>
      <c r="P51" s="23">
        <v>4.8239999999999999E-6</v>
      </c>
      <c r="Q51" s="23">
        <v>3.3679999999999996E-5</v>
      </c>
      <c r="R51" s="23">
        <v>2.101</v>
      </c>
    </row>
    <row r="52" spans="2:18" x14ac:dyDescent="0.25">
      <c r="B52" s="22">
        <v>64</v>
      </c>
      <c r="C52" s="22" t="s">
        <v>45</v>
      </c>
      <c r="D52" s="22" t="s">
        <v>46</v>
      </c>
      <c r="E52" s="22">
        <v>1</v>
      </c>
      <c r="F52" s="22">
        <v>1.8240000000000001</v>
      </c>
      <c r="G52" s="23">
        <v>3.2939999999999993E-5</v>
      </c>
      <c r="H52" s="23">
        <v>1.4109999999999999E-6</v>
      </c>
      <c r="I52" s="23">
        <v>6.1379999999999998E-5</v>
      </c>
      <c r="J52" s="23">
        <v>2.6789999999999997E-6</v>
      </c>
      <c r="K52" s="23">
        <v>1.528</v>
      </c>
      <c r="L52" s="23">
        <v>1.528</v>
      </c>
      <c r="M52" s="23">
        <v>6.0800000000000003E-3</v>
      </c>
      <c r="N52" s="23">
        <v>6.0999999999999995E-3</v>
      </c>
      <c r="O52" s="23">
        <v>2.0000000000000002E-5</v>
      </c>
      <c r="P52" s="23">
        <v>1.8089999999999998E-5</v>
      </c>
      <c r="Q52" s="23">
        <v>1.0669999999999999E-4</v>
      </c>
      <c r="R52" s="23">
        <v>2.121</v>
      </c>
    </row>
    <row r="53" spans="2:18" x14ac:dyDescent="0.25">
      <c r="B53" s="22">
        <v>68</v>
      </c>
      <c r="C53" s="22" t="s">
        <v>45</v>
      </c>
      <c r="D53" s="22" t="s">
        <v>46</v>
      </c>
      <c r="E53" s="22">
        <v>1</v>
      </c>
      <c r="F53" s="22">
        <v>1.8129999999999999</v>
      </c>
      <c r="G53" s="23">
        <v>3.3889999999999996E-5</v>
      </c>
      <c r="H53" s="23">
        <v>1.4729999999999999E-6</v>
      </c>
      <c r="I53" s="23">
        <v>6.2990000000000005E-5</v>
      </c>
      <c r="J53" s="23">
        <v>2.7549999999999999E-6</v>
      </c>
      <c r="K53" s="23">
        <v>1.5109999999999999</v>
      </c>
      <c r="L53" s="23">
        <v>1.5109999999999999</v>
      </c>
      <c r="M53" s="23">
        <v>6.13E-3</v>
      </c>
      <c r="N53" s="23">
        <v>6.1700000000000001E-3</v>
      </c>
      <c r="O53" s="23">
        <v>2.0000000000000002E-5</v>
      </c>
      <c r="P53" s="23">
        <v>3.2999999999999996E-5</v>
      </c>
      <c r="Q53" s="23">
        <v>1.8619999999999997E-4</v>
      </c>
      <c r="R53" s="23">
        <v>2</v>
      </c>
    </row>
    <row r="54" spans="2:18" x14ac:dyDescent="0.25">
      <c r="B54" s="22">
        <v>69</v>
      </c>
      <c r="C54" s="22" t="s">
        <v>45</v>
      </c>
      <c r="D54" s="22" t="s">
        <v>46</v>
      </c>
      <c r="E54" s="22">
        <v>1</v>
      </c>
      <c r="F54" s="22">
        <v>1.5640000000000001</v>
      </c>
      <c r="G54" s="23">
        <v>1.7809999999999999E-4</v>
      </c>
      <c r="H54" s="23">
        <v>1.0939999999999999E-5</v>
      </c>
      <c r="I54" s="23">
        <v>3.1149999999999998E-4</v>
      </c>
      <c r="J54" s="23">
        <v>1.271E-5</v>
      </c>
      <c r="K54" s="23">
        <v>1.538</v>
      </c>
      <c r="L54" s="23">
        <v>1.538</v>
      </c>
      <c r="M54" s="23">
        <v>7.3899999999999999E-3</v>
      </c>
      <c r="N54" s="23">
        <v>6.2400000000000008E-3</v>
      </c>
      <c r="O54" s="23">
        <v>2.0000000000000002E-5</v>
      </c>
      <c r="P54" s="23">
        <v>6.4279999999999993E-6</v>
      </c>
      <c r="Q54" s="23">
        <v>4.1829999999999998E-5</v>
      </c>
      <c r="R54" s="23">
        <v>2.0819999999999999</v>
      </c>
    </row>
    <row r="55" spans="2:18" x14ac:dyDescent="0.25">
      <c r="B55" s="22">
        <v>70</v>
      </c>
      <c r="C55" s="22" t="s">
        <v>45</v>
      </c>
      <c r="D55" s="22" t="s">
        <v>46</v>
      </c>
      <c r="E55" s="22">
        <v>1</v>
      </c>
      <c r="F55" s="22">
        <v>1.397</v>
      </c>
      <c r="G55" s="23">
        <v>4.0939999999999998E-5</v>
      </c>
      <c r="H55" s="23">
        <v>1.6519999999999998E-6</v>
      </c>
      <c r="I55" s="23">
        <v>7.5749999999999998E-5</v>
      </c>
      <c r="J55" s="23">
        <v>3.3479999999999995E-6</v>
      </c>
      <c r="K55" s="23">
        <v>1.6439999999999999</v>
      </c>
      <c r="L55" s="23">
        <v>1.6439999999999999</v>
      </c>
      <c r="M55" s="23">
        <v>6.3499999999999997E-3</v>
      </c>
      <c r="N55" s="23">
        <v>6.3300000000000006E-3</v>
      </c>
      <c r="O55" s="23">
        <v>2.0000000000000002E-5</v>
      </c>
      <c r="P55" s="23">
        <v>2.391E-5</v>
      </c>
      <c r="Q55" s="23">
        <v>1.4519999999999998E-4</v>
      </c>
      <c r="R55" s="23">
        <v>2.0720000000000001</v>
      </c>
    </row>
    <row r="56" spans="2:18" x14ac:dyDescent="0.25">
      <c r="B56" s="22">
        <v>71</v>
      </c>
      <c r="C56" s="22" t="s">
        <v>45</v>
      </c>
      <c r="D56" s="22" t="s">
        <v>46</v>
      </c>
      <c r="E56" s="22">
        <v>1</v>
      </c>
      <c r="F56" s="22">
        <v>1.508</v>
      </c>
      <c r="G56" s="23">
        <v>1.3969999999999998E-4</v>
      </c>
      <c r="H56" s="23">
        <v>9.4860000000000003E-6</v>
      </c>
      <c r="I56" s="23">
        <v>2.3769999999999998E-4</v>
      </c>
      <c r="J56" s="23">
        <v>1.0179999999999999E-5</v>
      </c>
      <c r="K56" s="23">
        <v>1.6160000000000001</v>
      </c>
      <c r="L56" s="23">
        <v>1.6160000000000001</v>
      </c>
      <c r="M56" s="23">
        <v>6.4600000000000005E-3</v>
      </c>
      <c r="N56" s="23">
        <v>6.4800000000000005E-3</v>
      </c>
      <c r="O56" s="23">
        <v>2.0000000000000002E-5</v>
      </c>
      <c r="P56" s="23">
        <v>2.376E-5</v>
      </c>
      <c r="Q56" s="23">
        <v>1.4459999999999999E-4</v>
      </c>
      <c r="R56" s="23">
        <v>2.1019999999999999</v>
      </c>
    </row>
    <row r="57" spans="2:18" x14ac:dyDescent="0.25">
      <c r="B57" s="22">
        <v>73</v>
      </c>
      <c r="C57" s="22" t="s">
        <v>45</v>
      </c>
      <c r="D57" s="22" t="s">
        <v>46</v>
      </c>
      <c r="E57" s="22">
        <v>1</v>
      </c>
      <c r="F57" s="22">
        <v>1.7869999999999999</v>
      </c>
      <c r="G57" s="23">
        <v>3.6069999999999999E-5</v>
      </c>
      <c r="H57" s="23">
        <v>9.0170000000000009E-7</v>
      </c>
      <c r="I57" s="23">
        <v>7.0840000000000006E-5</v>
      </c>
      <c r="J57" s="23">
        <v>1.967E-6</v>
      </c>
      <c r="K57" s="23">
        <v>1.5720000000000001</v>
      </c>
      <c r="L57" s="23">
        <v>1.5720000000000001</v>
      </c>
      <c r="M57" s="23">
        <v>6.1900000000000002E-3</v>
      </c>
      <c r="N57" s="23">
        <v>6.6100000000000004E-3</v>
      </c>
      <c r="O57" s="23">
        <v>2.0000000000000002E-5</v>
      </c>
      <c r="P57" s="23">
        <v>1.01E-5</v>
      </c>
      <c r="Q57" s="23">
        <v>6.9480000000000006E-5</v>
      </c>
      <c r="R57" s="23">
        <v>2.0579999999999998</v>
      </c>
    </row>
    <row r="58" spans="2:18" x14ac:dyDescent="0.25">
      <c r="B58" s="22">
        <v>75</v>
      </c>
      <c r="C58" s="22" t="s">
        <v>45</v>
      </c>
      <c r="D58" s="22" t="s">
        <v>46</v>
      </c>
      <c r="E58" s="22">
        <v>1</v>
      </c>
      <c r="F58" s="22">
        <v>1.3879999999999999</v>
      </c>
      <c r="G58" s="23">
        <v>1.0619999999999999E-4</v>
      </c>
      <c r="H58" s="23">
        <v>6.6589999999999993E-6</v>
      </c>
      <c r="I58" s="23">
        <v>1.7789999999999999E-4</v>
      </c>
      <c r="J58" s="23">
        <v>6.8039999999999996E-6</v>
      </c>
      <c r="K58" s="23">
        <v>1.6020000000000001</v>
      </c>
      <c r="L58" s="23">
        <v>1.6020000000000001</v>
      </c>
      <c r="M58" s="23">
        <v>6.980000000000001E-3</v>
      </c>
      <c r="N58" s="23">
        <v>7.0000000000000001E-3</v>
      </c>
      <c r="O58" s="23">
        <v>2.0000000000000002E-5</v>
      </c>
      <c r="P58" s="23">
        <v>1.6219999999999997E-5</v>
      </c>
      <c r="Q58" s="23">
        <v>1.149E-4</v>
      </c>
      <c r="R58" s="23">
        <v>2.21</v>
      </c>
    </row>
    <row r="59" spans="2:18" x14ac:dyDescent="0.25">
      <c r="B59" s="22">
        <v>76</v>
      </c>
      <c r="C59" s="22" t="s">
        <v>45</v>
      </c>
      <c r="D59" s="22" t="s">
        <v>46</v>
      </c>
      <c r="E59" s="22">
        <v>1</v>
      </c>
      <c r="F59" s="22">
        <v>1.8680000000000001</v>
      </c>
      <c r="G59" s="23">
        <v>3.7429999999999999E-5</v>
      </c>
      <c r="H59" s="23">
        <v>1.6799999999999998E-6</v>
      </c>
      <c r="I59" s="23">
        <v>7.060999999999999E-5</v>
      </c>
      <c r="J59" s="23">
        <v>3.1199999999999998E-6</v>
      </c>
      <c r="K59" s="23">
        <v>1.498</v>
      </c>
      <c r="L59" s="23">
        <v>1.498</v>
      </c>
      <c r="M59" s="23">
        <v>6.1799999999999997E-3</v>
      </c>
      <c r="N59" s="23">
        <v>6.2300000000000003E-3</v>
      </c>
      <c r="O59" s="23">
        <v>2.0000000000000002E-5</v>
      </c>
      <c r="P59" s="23">
        <v>5.8099999999999996E-5</v>
      </c>
      <c r="Q59" s="23">
        <v>1.5540000000000001E-4</v>
      </c>
      <c r="R59" s="23">
        <v>2.0230000000000001</v>
      </c>
    </row>
    <row r="60" spans="2:18" x14ac:dyDescent="0.25">
      <c r="B60" s="22">
        <v>77</v>
      </c>
      <c r="C60" s="22" t="s">
        <v>45</v>
      </c>
      <c r="D60" s="22" t="s">
        <v>46</v>
      </c>
      <c r="E60" s="22">
        <v>1</v>
      </c>
      <c r="F60" s="22">
        <v>1.6240000000000001</v>
      </c>
      <c r="G60" s="23">
        <v>1.5439999999999999E-4</v>
      </c>
      <c r="H60" s="23">
        <v>1.024E-5</v>
      </c>
      <c r="I60" s="23">
        <v>2.7369999999999998E-4</v>
      </c>
      <c r="J60" s="23">
        <v>1.29E-5</v>
      </c>
      <c r="K60" s="23">
        <v>1.5189999999999999</v>
      </c>
      <c r="L60" s="23">
        <v>1.5189999999999999</v>
      </c>
      <c r="M60" s="23">
        <v>6.7400000000000003E-3</v>
      </c>
      <c r="N60" s="23">
        <v>6.7599999999999995E-3</v>
      </c>
      <c r="O60" s="23">
        <v>2.0000000000000002E-5</v>
      </c>
      <c r="P60" s="23">
        <v>3.4909999999999996E-5</v>
      </c>
      <c r="Q60" s="23">
        <v>1.5859999999999998E-4</v>
      </c>
      <c r="R60" s="23">
        <v>2.0819999999999999</v>
      </c>
    </row>
    <row r="61" spans="2:18" x14ac:dyDescent="0.25">
      <c r="B61" s="22">
        <v>78</v>
      </c>
      <c r="C61" s="22" t="s">
        <v>45</v>
      </c>
      <c r="D61" s="22" t="s">
        <v>46</v>
      </c>
      <c r="E61" s="22">
        <v>1</v>
      </c>
      <c r="F61" s="22">
        <v>1.8280000000000001</v>
      </c>
      <c r="G61" s="23">
        <v>1.616E-4</v>
      </c>
      <c r="H61" s="23">
        <v>1.43E-5</v>
      </c>
      <c r="I61" s="23">
        <v>2.8589999999999996E-4</v>
      </c>
      <c r="J61" s="23">
        <v>1.3880000000000001E-5</v>
      </c>
      <c r="K61" s="23">
        <v>1.468</v>
      </c>
      <c r="L61" s="23">
        <v>1.468</v>
      </c>
      <c r="M61" s="23">
        <v>6.6299999999999996E-3</v>
      </c>
      <c r="N61" s="23">
        <v>6.6600000000000001E-3</v>
      </c>
      <c r="O61" s="23">
        <v>3.0000000000000001E-5</v>
      </c>
      <c r="P61" s="23">
        <v>4.1899999999999995E-5</v>
      </c>
      <c r="Q61" s="23">
        <v>1.5969999999999998E-4</v>
      </c>
      <c r="R61" s="23">
        <v>2.06</v>
      </c>
    </row>
    <row r="62" spans="2:18" x14ac:dyDescent="0.25">
      <c r="B62" s="22">
        <v>79</v>
      </c>
      <c r="C62" s="22" t="s">
        <v>45</v>
      </c>
      <c r="D62" s="22" t="s">
        <v>46</v>
      </c>
      <c r="E62" s="22">
        <v>1</v>
      </c>
      <c r="F62" s="22">
        <v>1.798</v>
      </c>
      <c r="G62" s="23">
        <v>1.5439999999999999E-4</v>
      </c>
      <c r="H62" s="23">
        <v>1.9309999999999996E-5</v>
      </c>
      <c r="I62" s="23">
        <v>2.7399999999999999E-4</v>
      </c>
      <c r="J62" s="23">
        <v>1.3199999999999999E-5</v>
      </c>
      <c r="K62" s="23">
        <v>1.494</v>
      </c>
      <c r="L62" s="23">
        <v>1.494</v>
      </c>
      <c r="M62" s="23">
        <v>6.5500000000000003E-3</v>
      </c>
      <c r="N62" s="23">
        <v>6.5799999999999999E-3</v>
      </c>
      <c r="O62" s="23">
        <v>2.0000000000000002E-5</v>
      </c>
      <c r="P62" s="23">
        <v>6.2210000000000002E-5</v>
      </c>
      <c r="Q62" s="23">
        <v>1.5659999999999998E-4</v>
      </c>
      <c r="R62" s="23">
        <v>2.0720000000000001</v>
      </c>
    </row>
    <row r="63" spans="2:18" x14ac:dyDescent="0.25">
      <c r="B63" s="22">
        <v>81</v>
      </c>
      <c r="C63" s="22" t="s">
        <v>45</v>
      </c>
      <c r="D63" s="22" t="s">
        <v>46</v>
      </c>
      <c r="E63" s="22">
        <v>1</v>
      </c>
      <c r="F63" s="22">
        <v>1.839</v>
      </c>
      <c r="G63" s="23">
        <v>5.0869999999999992E-5</v>
      </c>
      <c r="H63" s="23">
        <v>1.57E-6</v>
      </c>
      <c r="I63" s="23">
        <v>9.6799999999999995E-5</v>
      </c>
      <c r="J63" s="23">
        <v>3.0539999999999999E-6</v>
      </c>
      <c r="K63" s="23">
        <v>1.508</v>
      </c>
      <c r="L63" s="23">
        <v>1.508</v>
      </c>
      <c r="M63" s="23">
        <v>6.43E-3</v>
      </c>
      <c r="N63" s="23">
        <v>6.4600000000000005E-3</v>
      </c>
      <c r="O63" s="23">
        <v>2.0000000000000002E-5</v>
      </c>
      <c r="P63" s="23">
        <v>5.0119999999999996E-6</v>
      </c>
      <c r="Q63" s="23">
        <v>5.0909999999999992E-5</v>
      </c>
      <c r="R63" s="23">
        <v>2.1030000000000002</v>
      </c>
    </row>
    <row r="64" spans="2:18" x14ac:dyDescent="0.25">
      <c r="B64" s="22">
        <v>82</v>
      </c>
      <c r="C64" s="22" t="s">
        <v>45</v>
      </c>
      <c r="D64" s="22" t="s">
        <v>46</v>
      </c>
      <c r="E64" s="22">
        <v>1</v>
      </c>
      <c r="F64" s="22">
        <v>1.8169999999999999</v>
      </c>
      <c r="G64" s="23">
        <v>3.4090000000000001E-5</v>
      </c>
      <c r="H64" s="23">
        <v>1.5459999999999999E-6</v>
      </c>
      <c r="I64" s="23">
        <v>6.2529999999999999E-5</v>
      </c>
      <c r="J64" s="23">
        <v>2.92E-6</v>
      </c>
      <c r="K64" s="23">
        <v>1.51</v>
      </c>
      <c r="L64" s="23">
        <v>1.51</v>
      </c>
      <c r="M64" s="23">
        <v>6.1799999999999997E-3</v>
      </c>
      <c r="N64" s="23">
        <v>6.2300000000000003E-3</v>
      </c>
      <c r="O64" s="23">
        <v>2.0000000000000002E-5</v>
      </c>
      <c r="P64" s="23">
        <v>8.9559999999999986E-6</v>
      </c>
      <c r="Q64" s="23">
        <v>6.1489999999999996E-5</v>
      </c>
      <c r="R64" s="23">
        <v>2.1160000000000001</v>
      </c>
    </row>
    <row r="65" spans="2:18" x14ac:dyDescent="0.25">
      <c r="B65" s="22">
        <v>84</v>
      </c>
      <c r="C65" s="22" t="s">
        <v>45</v>
      </c>
      <c r="D65" s="22" t="s">
        <v>46</v>
      </c>
      <c r="E65" s="22">
        <v>1</v>
      </c>
      <c r="F65" s="22">
        <v>1.827</v>
      </c>
      <c r="G65" s="23">
        <v>4.0280000000000001E-5</v>
      </c>
      <c r="H65" s="23">
        <v>2.1779999999999997E-6</v>
      </c>
      <c r="I65" s="23">
        <v>7.3209999999999985E-5</v>
      </c>
      <c r="J65" s="23">
        <v>3.6169999999999998E-6</v>
      </c>
      <c r="K65" s="23">
        <v>1.5029999999999999</v>
      </c>
      <c r="L65" s="23">
        <v>1.5029999999999999</v>
      </c>
      <c r="M65" s="23">
        <v>6.2900000000000005E-3</v>
      </c>
      <c r="N65" s="23">
        <v>6.3400000000000001E-3</v>
      </c>
      <c r="O65" s="23">
        <v>2.0000000000000002E-5</v>
      </c>
      <c r="P65" s="23">
        <v>6.0970000000000002E-6</v>
      </c>
      <c r="Q65" s="23">
        <v>4.0619999999999994E-5</v>
      </c>
      <c r="R65" s="23">
        <v>2.1190000000000002</v>
      </c>
    </row>
    <row r="66" spans="2:18" x14ac:dyDescent="0.25">
      <c r="B66" s="22">
        <v>85</v>
      </c>
      <c r="C66" s="22" t="s">
        <v>45</v>
      </c>
      <c r="D66" s="22" t="s">
        <v>46</v>
      </c>
      <c r="E66" s="22">
        <v>1</v>
      </c>
      <c r="F66" s="22">
        <v>1.724</v>
      </c>
      <c r="G66" s="23">
        <v>1.18E-4</v>
      </c>
      <c r="H66" s="23">
        <v>5.2560000000000002E-6</v>
      </c>
      <c r="I66" s="23">
        <v>2.2379999999999999E-4</v>
      </c>
      <c r="J66" s="23">
        <v>5.8440000000000003E-6</v>
      </c>
      <c r="K66" s="23">
        <v>1.5189999999999999</v>
      </c>
      <c r="L66" s="23">
        <v>1.5189999999999999</v>
      </c>
      <c r="M66" s="23">
        <v>7.2699999999999996E-3</v>
      </c>
      <c r="N66" s="23">
        <v>6.28E-3</v>
      </c>
      <c r="O66" s="23">
        <v>2.0000000000000002E-5</v>
      </c>
      <c r="P66" s="23">
        <v>8.5039999999999985E-6</v>
      </c>
      <c r="Q66" s="23">
        <v>4.9799999999999998E-5</v>
      </c>
      <c r="R66" s="23">
        <v>2.073</v>
      </c>
    </row>
    <row r="67" spans="2:18" x14ac:dyDescent="0.25">
      <c r="B67" s="22">
        <v>88</v>
      </c>
      <c r="C67" s="22" t="s">
        <v>45</v>
      </c>
      <c r="D67" s="22" t="s">
        <v>46</v>
      </c>
      <c r="E67" s="22">
        <v>1</v>
      </c>
      <c r="F67" s="22">
        <v>1.821</v>
      </c>
      <c r="G67" s="23">
        <v>1.1559999999999999E-5</v>
      </c>
      <c r="H67" s="23">
        <v>4.6160000000000006E-7</v>
      </c>
      <c r="I67" s="23">
        <v>2.4949999999999997E-5</v>
      </c>
      <c r="J67" s="23">
        <v>9.9920000000000011E-7</v>
      </c>
      <c r="K67" s="23">
        <v>1.5589999999999999</v>
      </c>
      <c r="L67" s="23">
        <v>1.5589999999999999</v>
      </c>
      <c r="M67" s="23">
        <v>5.5599999999999998E-3</v>
      </c>
      <c r="N67" s="23">
        <v>5.5700000000000003E-3</v>
      </c>
      <c r="O67" s="23">
        <v>2.0000000000000002E-5</v>
      </c>
      <c r="P67" s="23">
        <v>2.1429999999999996E-6</v>
      </c>
      <c r="Q67" s="23">
        <v>1.1429999999999999E-5</v>
      </c>
      <c r="R67" s="23">
        <v>2.0449999999999999</v>
      </c>
    </row>
    <row r="68" spans="2:18" x14ac:dyDescent="0.25">
      <c r="B68" s="22">
        <v>89</v>
      </c>
      <c r="C68" s="22" t="s">
        <v>45</v>
      </c>
      <c r="D68" s="22" t="s">
        <v>46</v>
      </c>
      <c r="E68" s="22">
        <v>1</v>
      </c>
      <c r="F68" s="22">
        <v>1.756</v>
      </c>
      <c r="G68" s="23">
        <v>1.6980000000000001E-4</v>
      </c>
      <c r="H68" s="23">
        <v>9.8640000000000008E-6</v>
      </c>
      <c r="I68" s="23">
        <v>3.0719999999999999E-4</v>
      </c>
      <c r="J68" s="23">
        <v>1.1229999999999999E-5</v>
      </c>
      <c r="K68" s="23">
        <v>1.4239999999999999</v>
      </c>
      <c r="L68" s="23">
        <v>1.4239999999999999</v>
      </c>
      <c r="M68" s="23">
        <v>7.5500000000000003E-3</v>
      </c>
      <c r="N68" s="23">
        <v>6.2400000000000008E-3</v>
      </c>
      <c r="O68" s="23">
        <v>2.0000000000000002E-5</v>
      </c>
      <c r="P68" s="23">
        <v>6.4299999999999994E-6</v>
      </c>
      <c r="Q68" s="23">
        <v>4.0549999999999996E-5</v>
      </c>
      <c r="R68" s="23">
        <v>2.0720000000000001</v>
      </c>
    </row>
    <row r="69" spans="2:18" x14ac:dyDescent="0.25">
      <c r="B69" s="22">
        <v>95</v>
      </c>
      <c r="C69" s="22" t="s">
        <v>45</v>
      </c>
      <c r="D69" s="22" t="s">
        <v>46</v>
      </c>
      <c r="E69" s="22">
        <v>1</v>
      </c>
      <c r="F69" s="22">
        <v>1.4379999999999999</v>
      </c>
      <c r="G69" s="23">
        <v>1.2779999999999999E-4</v>
      </c>
      <c r="H69" s="23">
        <v>6.9889999999999995E-6</v>
      </c>
      <c r="I69" s="23">
        <v>2.1359999999999999E-4</v>
      </c>
      <c r="J69" s="23">
        <v>7.4080000000000001E-6</v>
      </c>
      <c r="K69" s="23">
        <v>1.5549999999999999</v>
      </c>
      <c r="L69" s="23">
        <v>1.5549999999999999</v>
      </c>
      <c r="M69" s="23">
        <v>7.7499999999999999E-3</v>
      </c>
      <c r="N69" s="23">
        <v>6.77E-3</v>
      </c>
      <c r="O69" s="23">
        <v>2.0000000000000002E-5</v>
      </c>
      <c r="P69" s="23">
        <v>1.9609999999999997E-5</v>
      </c>
      <c r="Q69" s="23">
        <v>7.3650000000000001E-5</v>
      </c>
      <c r="R69" s="23">
        <v>1.9910000000000001</v>
      </c>
    </row>
    <row r="70" spans="2:18" x14ac:dyDescent="0.25">
      <c r="B70" s="22">
        <v>103</v>
      </c>
      <c r="C70" s="22" t="s">
        <v>45</v>
      </c>
      <c r="D70" s="22" t="s">
        <v>46</v>
      </c>
      <c r="E70" s="22">
        <v>1</v>
      </c>
      <c r="F70" s="22">
        <v>1.597</v>
      </c>
      <c r="G70" s="23">
        <v>1.529E-4</v>
      </c>
      <c r="H70" s="23">
        <v>1.1219999999999999E-5</v>
      </c>
      <c r="I70" s="23">
        <v>2.742E-4</v>
      </c>
      <c r="J70" s="23">
        <v>1.2269999999999999E-5</v>
      </c>
      <c r="K70" s="23">
        <v>1.5669999999999999</v>
      </c>
      <c r="L70" s="23">
        <v>1.5669999999999999</v>
      </c>
      <c r="M70" s="23">
        <v>6.7599999999999995E-3</v>
      </c>
      <c r="N70" s="23">
        <v>6.8100000000000001E-3</v>
      </c>
      <c r="O70" s="23">
        <v>2.0000000000000002E-5</v>
      </c>
      <c r="P70" s="23">
        <v>5.1689999999999995E-5</v>
      </c>
      <c r="Q70" s="23">
        <v>1.618E-4</v>
      </c>
      <c r="R70" s="23">
        <v>2.0840000000000001</v>
      </c>
    </row>
    <row r="71" spans="2:18" x14ac:dyDescent="0.25">
      <c r="B71" s="22">
        <v>108</v>
      </c>
      <c r="C71" s="22" t="s">
        <v>45</v>
      </c>
      <c r="D71" s="22" t="s">
        <v>46</v>
      </c>
      <c r="E71" s="22">
        <v>1</v>
      </c>
      <c r="F71" s="22">
        <v>1.593</v>
      </c>
      <c r="G71" s="23">
        <v>9.9999999999999991E-5</v>
      </c>
      <c r="H71" s="23">
        <v>5.6559999999999997E-6</v>
      </c>
      <c r="I71" s="23">
        <v>1.795E-4</v>
      </c>
      <c r="J71" s="23">
        <v>8.4849999999999992E-6</v>
      </c>
      <c r="K71" s="23">
        <v>1.5529999999999999</v>
      </c>
      <c r="L71" s="23">
        <v>1.5529999999999999</v>
      </c>
      <c r="M71" s="23">
        <v>6.5000000000000006E-3</v>
      </c>
      <c r="N71" s="23">
        <v>6.5300000000000002E-3</v>
      </c>
      <c r="O71" s="23">
        <v>2.0000000000000002E-5</v>
      </c>
      <c r="P71" s="23">
        <v>1.158E-4</v>
      </c>
      <c r="Q71" s="23">
        <v>1.6190000000000001E-4</v>
      </c>
      <c r="R71" s="23">
        <v>2.0339999999999998</v>
      </c>
    </row>
    <row r="72" spans="2:18" x14ac:dyDescent="0.25">
      <c r="B72" s="22">
        <v>110</v>
      </c>
      <c r="C72" s="22" t="s">
        <v>45</v>
      </c>
      <c r="D72" s="22" t="s">
        <v>46</v>
      </c>
      <c r="E72" s="22">
        <v>1</v>
      </c>
      <c r="F72" s="22">
        <v>1.49</v>
      </c>
      <c r="G72" s="23">
        <v>4.7979999999999998E-5</v>
      </c>
      <c r="H72" s="23">
        <v>6.3E-7</v>
      </c>
      <c r="I72" s="23">
        <v>9.6959999999999993E-5</v>
      </c>
      <c r="J72" s="23">
        <v>1.544E-6</v>
      </c>
      <c r="K72" s="23">
        <v>1.6379999999999999</v>
      </c>
      <c r="L72" s="23">
        <v>1.6379999999999999</v>
      </c>
      <c r="M72" s="23">
        <v>6.3800000000000003E-3</v>
      </c>
      <c r="N72" s="23">
        <v>6.4000000000000003E-3</v>
      </c>
      <c r="O72" s="23">
        <v>2.0000000000000002E-5</v>
      </c>
      <c r="P72" s="23">
        <v>3.4959999999999996E-6</v>
      </c>
      <c r="Q72" s="23">
        <v>4.727E-5</v>
      </c>
      <c r="R72" s="23">
        <v>2.15</v>
      </c>
    </row>
    <row r="73" spans="2:18" x14ac:dyDescent="0.25">
      <c r="B73" s="22">
        <v>116</v>
      </c>
      <c r="C73" s="22" t="s">
        <v>45</v>
      </c>
      <c r="D73" s="22" t="s">
        <v>46</v>
      </c>
      <c r="E73" s="22">
        <v>1</v>
      </c>
      <c r="F73" s="22">
        <v>1.867</v>
      </c>
      <c r="G73" s="23">
        <v>3.909E-5</v>
      </c>
      <c r="H73" s="23">
        <v>1.4159999999999999E-6</v>
      </c>
      <c r="I73" s="23">
        <v>7.436E-5</v>
      </c>
      <c r="J73" s="23">
        <v>2.7419999999999998E-6</v>
      </c>
      <c r="K73" s="23">
        <v>1.546</v>
      </c>
      <c r="L73" s="23">
        <v>1.546</v>
      </c>
      <c r="M73" s="23">
        <v>6.0999999999999995E-3</v>
      </c>
      <c r="N73" s="23">
        <v>6.2900000000000005E-3</v>
      </c>
      <c r="O73" s="23">
        <v>2.0000000000000002E-5</v>
      </c>
      <c r="P73" s="23">
        <v>2.0929999999999998E-5</v>
      </c>
      <c r="Q73" s="23">
        <v>1.019E-4</v>
      </c>
      <c r="R73" s="23">
        <v>2.0920000000000001</v>
      </c>
    </row>
    <row r="74" spans="2:18" x14ac:dyDescent="0.25">
      <c r="B74" s="22">
        <v>118</v>
      </c>
      <c r="C74" s="22" t="s">
        <v>45</v>
      </c>
      <c r="D74" s="22" t="s">
        <v>46</v>
      </c>
      <c r="E74" s="22">
        <v>1</v>
      </c>
      <c r="F74" s="22">
        <v>1.284</v>
      </c>
      <c r="G74" s="23">
        <v>3.5079999999999996E-5</v>
      </c>
      <c r="H74" s="23">
        <v>1.054E-6</v>
      </c>
      <c r="I74" s="23">
        <v>6.8499999999999998E-5</v>
      </c>
      <c r="J74" s="23">
        <v>2.4559999999999999E-6</v>
      </c>
      <c r="K74" s="23">
        <v>1.6839999999999999</v>
      </c>
      <c r="L74" s="23">
        <v>1.6839999999999999</v>
      </c>
      <c r="M74" s="23">
        <v>6.3400000000000001E-3</v>
      </c>
      <c r="N74" s="23">
        <v>6.3499999999999997E-3</v>
      </c>
      <c r="O74" s="23">
        <v>3.0000000000000001E-5</v>
      </c>
      <c r="P74" s="23">
        <v>4.7759999999999997E-6</v>
      </c>
      <c r="Q74" s="23">
        <v>3.4979999999999994E-5</v>
      </c>
      <c r="R74" s="23">
        <v>2.141</v>
      </c>
    </row>
    <row r="75" spans="2:18" x14ac:dyDescent="0.25">
      <c r="B75" s="22">
        <v>124</v>
      </c>
      <c r="C75" s="22" t="s">
        <v>45</v>
      </c>
      <c r="D75" s="22" t="s">
        <v>46</v>
      </c>
      <c r="E75" s="22">
        <v>1</v>
      </c>
      <c r="F75" s="22">
        <v>1.8620000000000001</v>
      </c>
      <c r="G75" s="23">
        <v>1.395E-4</v>
      </c>
      <c r="H75" s="23">
        <v>1.049E-5</v>
      </c>
      <c r="I75" s="23">
        <v>2.396E-4</v>
      </c>
      <c r="J75" s="23">
        <v>1.0189999999999999E-5</v>
      </c>
      <c r="K75" s="23">
        <v>1.48</v>
      </c>
      <c r="L75" s="23">
        <v>1.48</v>
      </c>
      <c r="M75" s="23">
        <v>6.4800000000000005E-3</v>
      </c>
      <c r="N75" s="23">
        <v>6.5100000000000002E-3</v>
      </c>
      <c r="O75" s="23">
        <v>3.0000000000000001E-5</v>
      </c>
      <c r="P75" s="23">
        <v>2.1440000000000001E-5</v>
      </c>
      <c r="Q75" s="23">
        <v>1.3899999999999999E-4</v>
      </c>
      <c r="R75" s="23">
        <v>2.0230000000000001</v>
      </c>
    </row>
    <row r="76" spans="2:18" x14ac:dyDescent="0.25">
      <c r="B76" s="22">
        <v>129</v>
      </c>
      <c r="C76" s="22" t="s">
        <v>45</v>
      </c>
      <c r="D76" s="22" t="s">
        <v>46</v>
      </c>
      <c r="E76" s="22">
        <v>1</v>
      </c>
      <c r="F76" s="22">
        <v>1.4750000000000001</v>
      </c>
      <c r="G76" s="23">
        <v>6.7099999999999991E-5</v>
      </c>
      <c r="H76" s="23">
        <v>4.1199999999999995E-6</v>
      </c>
      <c r="I76" s="23">
        <v>1.1679999999999999E-4</v>
      </c>
      <c r="J76" s="23">
        <v>6.1959999999999996E-6</v>
      </c>
      <c r="K76" s="23">
        <v>1.625</v>
      </c>
      <c r="L76" s="23">
        <v>1.625</v>
      </c>
      <c r="M76" s="23">
        <v>6.4099999999999999E-3</v>
      </c>
      <c r="N76" s="23">
        <v>6.4400000000000004E-3</v>
      </c>
      <c r="O76" s="23">
        <v>2.0000000000000002E-5</v>
      </c>
      <c r="P76" s="23">
        <v>2.1289999999999998E-5</v>
      </c>
      <c r="Q76" s="23">
        <v>1.1949999999999999E-4</v>
      </c>
      <c r="R76" s="23">
        <v>2.0950000000000002</v>
      </c>
    </row>
    <row r="77" spans="2:18" x14ac:dyDescent="0.25">
      <c r="B77" s="22">
        <v>130</v>
      </c>
      <c r="C77" s="22" t="s">
        <v>45</v>
      </c>
      <c r="D77" s="22" t="s">
        <v>46</v>
      </c>
      <c r="E77" s="22">
        <v>1</v>
      </c>
      <c r="F77" s="22">
        <v>1.333</v>
      </c>
      <c r="G77" s="23">
        <v>1.1759999999999999E-4</v>
      </c>
      <c r="H77" s="23">
        <v>7.9959999999999993E-6</v>
      </c>
      <c r="I77" s="23">
        <v>1.9619999999999997E-4</v>
      </c>
      <c r="J77" s="23">
        <v>8.0289999999999989E-6</v>
      </c>
      <c r="K77" s="23">
        <v>1.635</v>
      </c>
      <c r="L77" s="23">
        <v>1.635</v>
      </c>
      <c r="M77" s="23">
        <v>6.6100000000000004E-3</v>
      </c>
      <c r="N77" s="23">
        <v>6.2000000000000006E-3</v>
      </c>
      <c r="O77" s="23">
        <v>2.0000000000000002E-5</v>
      </c>
      <c r="P77" s="23">
        <v>1.5909999999999998E-5</v>
      </c>
      <c r="Q77" s="23">
        <v>7.6009999999999999E-5</v>
      </c>
      <c r="R77" s="23">
        <v>2.1040000000000001</v>
      </c>
    </row>
    <row r="78" spans="2:18" x14ac:dyDescent="0.25">
      <c r="B78" s="22">
        <v>131</v>
      </c>
      <c r="C78" s="22" t="s">
        <v>45</v>
      </c>
      <c r="D78" s="22" t="s">
        <v>46</v>
      </c>
      <c r="E78" s="22">
        <v>1</v>
      </c>
      <c r="F78" s="22">
        <v>1.63</v>
      </c>
      <c r="G78" s="23">
        <v>7.2559999999999996E-5</v>
      </c>
      <c r="H78" s="23">
        <v>3.1209999999999998E-6</v>
      </c>
      <c r="I78" s="23">
        <v>1.4109999999999999E-4</v>
      </c>
      <c r="J78" s="23">
        <v>4.989E-6</v>
      </c>
      <c r="K78" s="23">
        <v>1.59</v>
      </c>
      <c r="L78" s="23">
        <v>1.59</v>
      </c>
      <c r="M78" s="23">
        <v>6.3099999999999996E-3</v>
      </c>
      <c r="N78" s="23">
        <v>6.3200000000000001E-3</v>
      </c>
      <c r="O78" s="23">
        <v>3.0000000000000001E-5</v>
      </c>
      <c r="P78" s="23">
        <v>1.34E-5</v>
      </c>
      <c r="Q78" s="23">
        <v>7.3360000000000002E-5</v>
      </c>
      <c r="R78" s="23">
        <v>2.145</v>
      </c>
    </row>
    <row r="79" spans="2:18" x14ac:dyDescent="0.25">
      <c r="B79" s="22">
        <v>135</v>
      </c>
      <c r="C79" s="22" t="s">
        <v>45</v>
      </c>
      <c r="D79" s="22" t="s">
        <v>46</v>
      </c>
      <c r="E79" s="22">
        <v>1</v>
      </c>
      <c r="F79" s="22">
        <v>1.4790000000000001</v>
      </c>
      <c r="G79" s="23">
        <v>5.5819999999999997E-5</v>
      </c>
      <c r="H79" s="23">
        <v>6.9110000000000004E-7</v>
      </c>
      <c r="I79" s="23">
        <v>1.175E-4</v>
      </c>
      <c r="J79" s="23">
        <v>1.7179999999999999E-6</v>
      </c>
      <c r="K79" s="23">
        <v>1.625</v>
      </c>
      <c r="L79" s="23">
        <v>1.625</v>
      </c>
      <c r="M79" s="23">
        <v>6.5300000000000002E-3</v>
      </c>
      <c r="N79" s="23">
        <v>6.5799999999999999E-3</v>
      </c>
      <c r="O79" s="23">
        <v>2.0000000000000002E-5</v>
      </c>
      <c r="P79" s="23">
        <v>5.1669999999999998E-6</v>
      </c>
      <c r="Q79" s="23">
        <v>4.1299999999999994E-5</v>
      </c>
      <c r="R79" s="23">
        <v>2.1030000000000002</v>
      </c>
    </row>
    <row r="80" spans="2:18" x14ac:dyDescent="0.25">
      <c r="B80" s="22">
        <v>141</v>
      </c>
      <c r="C80" s="22" t="s">
        <v>45</v>
      </c>
      <c r="D80" s="22" t="s">
        <v>46</v>
      </c>
      <c r="E80" s="22">
        <v>1</v>
      </c>
      <c r="F80" s="22">
        <v>1.575</v>
      </c>
      <c r="G80" s="23">
        <v>6.8700000000000003E-5</v>
      </c>
      <c r="H80" s="23">
        <v>3.4799999999999997E-6</v>
      </c>
      <c r="I80" s="23">
        <v>1.2689999999999999E-4</v>
      </c>
      <c r="J80" s="23">
        <v>5.9219999999999994E-6</v>
      </c>
      <c r="K80" s="23">
        <v>1.569</v>
      </c>
      <c r="L80" s="23">
        <v>1.569</v>
      </c>
      <c r="M80" s="23">
        <v>6.4900000000000001E-3</v>
      </c>
      <c r="N80" s="23">
        <v>6.5000000000000006E-3</v>
      </c>
      <c r="O80" s="23">
        <v>2.0000000000000002E-5</v>
      </c>
      <c r="P80" s="23">
        <v>7.2799999999999998E-6</v>
      </c>
      <c r="Q80" s="23">
        <v>4.7709999999999996E-5</v>
      </c>
      <c r="R80" s="23">
        <v>2.093</v>
      </c>
    </row>
    <row r="81" spans="2:18" x14ac:dyDescent="0.25">
      <c r="B81" s="22">
        <v>148</v>
      </c>
      <c r="C81" s="22" t="s">
        <v>45</v>
      </c>
      <c r="D81" s="22" t="s">
        <v>46</v>
      </c>
      <c r="E81" s="22">
        <v>1</v>
      </c>
      <c r="F81" s="22">
        <v>1.8180000000000001</v>
      </c>
      <c r="G81" s="23">
        <v>7.5099999999999996E-5</v>
      </c>
      <c r="H81" s="23">
        <v>4.8349999999999994E-6</v>
      </c>
      <c r="I81" s="23">
        <v>1.3339999999999999E-4</v>
      </c>
      <c r="J81" s="23">
        <v>6.7489999999999992E-6</v>
      </c>
      <c r="K81" s="23">
        <v>1.4670000000000001</v>
      </c>
      <c r="L81" s="23">
        <v>1.4670000000000001</v>
      </c>
      <c r="M81" s="23">
        <v>6.5399999999999998E-3</v>
      </c>
      <c r="N81" s="23">
        <v>6.6E-3</v>
      </c>
      <c r="O81" s="23">
        <v>2.0000000000000002E-5</v>
      </c>
      <c r="P81" s="23">
        <v>1.1579999999999999E-5</v>
      </c>
      <c r="Q81" s="23">
        <v>7.6420000000000004E-5</v>
      </c>
      <c r="R81" s="23">
        <v>2.1160000000000001</v>
      </c>
    </row>
    <row r="82" spans="2:18" x14ac:dyDescent="0.25">
      <c r="B82" s="22">
        <v>152</v>
      </c>
      <c r="C82" s="22" t="s">
        <v>45</v>
      </c>
      <c r="D82" s="22" t="s">
        <v>46</v>
      </c>
      <c r="E82" s="22">
        <v>1</v>
      </c>
      <c r="F82" s="22">
        <v>1.7949999999999999</v>
      </c>
      <c r="G82" s="23">
        <v>8.7599999999999988E-5</v>
      </c>
      <c r="H82" s="23">
        <v>5.6429999999999992E-6</v>
      </c>
      <c r="I82" s="23">
        <v>1.5309999999999998E-4</v>
      </c>
      <c r="J82" s="23">
        <v>7.2569999999999993E-6</v>
      </c>
      <c r="K82" s="23">
        <v>1.4890000000000001</v>
      </c>
      <c r="L82" s="23">
        <v>1.4890000000000001</v>
      </c>
      <c r="M82" s="23">
        <v>6.5399999999999998E-3</v>
      </c>
      <c r="N82" s="23">
        <v>6.6E-3</v>
      </c>
      <c r="O82" s="23">
        <v>2.0000000000000002E-5</v>
      </c>
      <c r="P82" s="23">
        <v>1.2869999999999999E-5</v>
      </c>
      <c r="Q82" s="23">
        <v>9.0019999999999995E-5</v>
      </c>
      <c r="R82" s="23">
        <v>2.117</v>
      </c>
    </row>
    <row r="83" spans="2:18" x14ac:dyDescent="0.25">
      <c r="B83" s="22">
        <v>158</v>
      </c>
      <c r="C83" s="22" t="s">
        <v>45</v>
      </c>
      <c r="D83" s="22" t="s">
        <v>46</v>
      </c>
      <c r="E83" s="22">
        <v>1</v>
      </c>
      <c r="F83" s="22">
        <v>1.788</v>
      </c>
      <c r="G83" s="23">
        <v>4.4709999999999997E-5</v>
      </c>
      <c r="H83" s="23">
        <v>1.4750000000000001E-6</v>
      </c>
      <c r="I83" s="23">
        <v>8.6760000000000003E-5</v>
      </c>
      <c r="J83" s="23">
        <v>2.9100000000000001E-6</v>
      </c>
      <c r="K83" s="23">
        <v>1.546</v>
      </c>
      <c r="L83" s="23">
        <v>1.546</v>
      </c>
      <c r="M83" s="23">
        <v>6.2500000000000003E-3</v>
      </c>
      <c r="N83" s="23">
        <v>6.2599999999999999E-3</v>
      </c>
      <c r="O83" s="23">
        <v>3.0000000000000001E-5</v>
      </c>
      <c r="P83" s="23">
        <v>5.7859999999999993E-6</v>
      </c>
      <c r="Q83" s="23">
        <v>1.4419999999999998E-4</v>
      </c>
      <c r="R83" s="23">
        <v>1.802</v>
      </c>
    </row>
    <row r="84" spans="2:18" x14ac:dyDescent="0.25">
      <c r="B84" s="22">
        <v>161</v>
      </c>
      <c r="C84" s="22" t="s">
        <v>45</v>
      </c>
      <c r="D84" s="22" t="s">
        <v>46</v>
      </c>
      <c r="E84" s="22">
        <v>1</v>
      </c>
      <c r="F84" s="22">
        <v>1.5389999999999999</v>
      </c>
      <c r="G84" s="23">
        <v>5.6659999999999996E-5</v>
      </c>
      <c r="H84" s="23">
        <v>2.418E-6</v>
      </c>
      <c r="I84" s="23">
        <v>1.082E-4</v>
      </c>
      <c r="J84" s="23">
        <v>4.4729999999999994E-6</v>
      </c>
      <c r="K84" s="23">
        <v>1.621</v>
      </c>
      <c r="L84" s="23">
        <v>1.621</v>
      </c>
      <c r="M84" s="23">
        <v>6.2699999999999995E-3</v>
      </c>
      <c r="N84" s="23">
        <v>6.3099999999999996E-3</v>
      </c>
      <c r="O84" s="23">
        <v>2.0000000000000002E-5</v>
      </c>
      <c r="P84" s="23">
        <v>8.6989999999999992E-6</v>
      </c>
      <c r="Q84" s="23">
        <v>5.6569999999999995E-5</v>
      </c>
      <c r="R84" s="23">
        <v>2.1709999999999998</v>
      </c>
    </row>
    <row r="85" spans="2:18" x14ac:dyDescent="0.25">
      <c r="B85" s="22">
        <v>162</v>
      </c>
      <c r="C85" s="22" t="s">
        <v>45</v>
      </c>
      <c r="D85" s="22" t="s">
        <v>46</v>
      </c>
      <c r="E85" s="22">
        <v>1</v>
      </c>
      <c r="F85" s="22">
        <v>1.806</v>
      </c>
      <c r="G85" s="23">
        <v>1.7259999999999999E-4</v>
      </c>
      <c r="H85" s="23">
        <v>1.008E-5</v>
      </c>
      <c r="I85" s="23">
        <v>3.076E-4</v>
      </c>
      <c r="J85" s="23">
        <v>1.146E-5</v>
      </c>
      <c r="K85" s="23">
        <v>1.4119999999999999</v>
      </c>
      <c r="L85" s="23">
        <v>1.4119999999999999</v>
      </c>
      <c r="M85" s="23">
        <v>7.3300000000000006E-3</v>
      </c>
      <c r="N85" s="23">
        <v>7.3600000000000002E-3</v>
      </c>
      <c r="O85" s="23">
        <v>2.0000000000000002E-5</v>
      </c>
      <c r="P85" s="23">
        <v>2.3350000000000002E-5</v>
      </c>
      <c r="Q85" s="23">
        <v>1.7449999999999999E-4</v>
      </c>
      <c r="R85" s="23">
        <v>1.99</v>
      </c>
    </row>
    <row r="86" spans="2:18" x14ac:dyDescent="0.25">
      <c r="B86" s="22">
        <v>164</v>
      </c>
      <c r="C86" s="22" t="s">
        <v>45</v>
      </c>
      <c r="D86" s="22" t="s">
        <v>46</v>
      </c>
      <c r="E86" s="22">
        <v>1</v>
      </c>
      <c r="F86" s="22">
        <v>1.82</v>
      </c>
      <c r="G86" s="23">
        <v>4.6609999999999996E-5</v>
      </c>
      <c r="H86" s="23">
        <v>1.9769999999999999E-6</v>
      </c>
      <c r="I86" s="23">
        <v>8.7579999999999998E-5</v>
      </c>
      <c r="J86" s="23">
        <v>3.5549999999999998E-6</v>
      </c>
      <c r="K86" s="23">
        <v>1.5620000000000001</v>
      </c>
      <c r="L86" s="23">
        <v>1.5620000000000001</v>
      </c>
      <c r="M86" s="23">
        <v>6.0899999999999999E-3</v>
      </c>
      <c r="N86" s="23">
        <v>7.1200000000000005E-3</v>
      </c>
      <c r="O86" s="23">
        <v>2.0000000000000002E-5</v>
      </c>
      <c r="P86" s="23">
        <v>2.022E-5</v>
      </c>
      <c r="Q86" s="23">
        <v>1.4230000000000002E-4</v>
      </c>
      <c r="R86" s="23">
        <v>2.0369999999999999</v>
      </c>
    </row>
    <row r="87" spans="2:18" x14ac:dyDescent="0.25">
      <c r="B87" s="22">
        <v>165</v>
      </c>
      <c r="C87" s="22" t="s">
        <v>45</v>
      </c>
      <c r="D87" s="22" t="s">
        <v>46</v>
      </c>
      <c r="E87" s="22">
        <v>1</v>
      </c>
      <c r="F87" s="22">
        <v>1.5109999999999999</v>
      </c>
      <c r="G87" s="23">
        <v>1.3889999999999999E-4</v>
      </c>
      <c r="H87" s="23">
        <v>7.4699999999999996E-6</v>
      </c>
      <c r="I87" s="23">
        <v>2.42E-4</v>
      </c>
      <c r="J87" s="23">
        <v>9.574999999999999E-6</v>
      </c>
      <c r="K87" s="23">
        <v>1.538</v>
      </c>
      <c r="L87" s="23">
        <v>1.538</v>
      </c>
      <c r="M87" s="23">
        <v>7.2000000000000007E-3</v>
      </c>
      <c r="N87" s="23">
        <v>7.2699999999999996E-3</v>
      </c>
      <c r="O87" s="23">
        <v>2.0000000000000002E-5</v>
      </c>
      <c r="P87" s="23">
        <v>4.6609999999999991E-6</v>
      </c>
      <c r="Q87" s="23">
        <v>3.485E-5</v>
      </c>
      <c r="R87" s="23">
        <v>2.1070000000000002</v>
      </c>
    </row>
    <row r="88" spans="2:18" x14ac:dyDescent="0.25">
      <c r="B88" s="22">
        <v>169</v>
      </c>
      <c r="C88" s="22" t="s">
        <v>45</v>
      </c>
      <c r="D88" s="22" t="s">
        <v>46</v>
      </c>
      <c r="E88" s="22">
        <v>1</v>
      </c>
      <c r="F88" s="22">
        <v>1.5409999999999999</v>
      </c>
      <c r="G88" s="23">
        <v>1.169E-4</v>
      </c>
      <c r="H88" s="23">
        <v>2.83E-6</v>
      </c>
      <c r="I88" s="23">
        <v>2.2909999999999999E-4</v>
      </c>
      <c r="J88" s="23">
        <v>3.6110000000000002E-6</v>
      </c>
      <c r="K88" s="23">
        <v>1.5209999999999999</v>
      </c>
      <c r="L88" s="23">
        <v>1.5209999999999999</v>
      </c>
      <c r="M88" s="23">
        <v>7.6900000000000007E-3</v>
      </c>
      <c r="N88" s="23">
        <v>7.7800000000000005E-3</v>
      </c>
      <c r="O88" s="23">
        <v>2.0000000000000002E-5</v>
      </c>
      <c r="P88" s="23">
        <v>1.8489999999999997E-5</v>
      </c>
      <c r="Q88" s="23">
        <v>1.199E-4</v>
      </c>
      <c r="R88" s="23">
        <v>2.0190000000000001</v>
      </c>
    </row>
    <row r="89" spans="2:18" x14ac:dyDescent="0.25">
      <c r="B89" s="22">
        <v>171</v>
      </c>
      <c r="C89" s="22" t="s">
        <v>45</v>
      </c>
      <c r="D89" s="22" t="s">
        <v>46</v>
      </c>
      <c r="E89" s="22">
        <v>1</v>
      </c>
      <c r="F89" s="22">
        <v>1.5580000000000001</v>
      </c>
      <c r="G89" s="23">
        <v>1.8269999999999997E-4</v>
      </c>
      <c r="H89" s="23">
        <v>1.1239999999999999E-5</v>
      </c>
      <c r="I89" s="23">
        <v>3.2039999999999998E-4</v>
      </c>
      <c r="J89" s="23">
        <v>1.273E-5</v>
      </c>
      <c r="K89" s="23">
        <v>1.5329999999999999</v>
      </c>
      <c r="L89" s="23">
        <v>1.5329999999999999</v>
      </c>
      <c r="M89" s="23">
        <v>7.5300000000000002E-3</v>
      </c>
      <c r="N89" s="23">
        <v>7.5700000000000003E-3</v>
      </c>
      <c r="O89" s="23">
        <v>2.0000000000000002E-5</v>
      </c>
      <c r="P89" s="23">
        <v>2.8070000000000001E-5</v>
      </c>
      <c r="Q89" s="23">
        <v>1.8709999999999999E-4</v>
      </c>
      <c r="R89" s="23">
        <v>2.04</v>
      </c>
    </row>
    <row r="90" spans="2:18" x14ac:dyDescent="0.25">
      <c r="B90" s="22">
        <v>173</v>
      </c>
      <c r="C90" s="22" t="s">
        <v>45</v>
      </c>
      <c r="D90" s="22" t="s">
        <v>46</v>
      </c>
      <c r="E90" s="22">
        <v>1</v>
      </c>
      <c r="F90" s="22">
        <v>1.4419999999999999</v>
      </c>
      <c r="G90" s="23">
        <v>3.8739999999999998E-5</v>
      </c>
      <c r="H90" s="23">
        <v>1.6939999999999998E-6</v>
      </c>
      <c r="I90" s="23">
        <v>6.9250000000000003E-5</v>
      </c>
      <c r="J90" s="23">
        <v>3.2399999999999999E-6</v>
      </c>
      <c r="K90" s="23">
        <v>1.6659999999999999</v>
      </c>
      <c r="L90" s="23">
        <v>1.6659999999999999</v>
      </c>
      <c r="M90" s="23">
        <v>6.2699999999999995E-3</v>
      </c>
      <c r="N90" s="23">
        <v>7.3600000000000002E-3</v>
      </c>
      <c r="O90" s="23">
        <v>2.0000000000000002E-5</v>
      </c>
      <c r="P90" s="23">
        <v>1.8829999999999998E-5</v>
      </c>
      <c r="Q90" s="23">
        <v>1.4919999999999999E-4</v>
      </c>
      <c r="R90" s="23">
        <v>2.036</v>
      </c>
    </row>
    <row r="91" spans="2:18" x14ac:dyDescent="0.25">
      <c r="B91" s="22">
        <v>177</v>
      </c>
      <c r="C91" s="22" t="s">
        <v>45</v>
      </c>
      <c r="D91" s="22" t="s">
        <v>46</v>
      </c>
      <c r="E91" s="22">
        <v>1</v>
      </c>
      <c r="F91" s="22">
        <v>1.393</v>
      </c>
      <c r="G91" s="23">
        <v>1.003E-4</v>
      </c>
      <c r="H91" s="23">
        <v>4.7079999999999996E-6</v>
      </c>
      <c r="I91" s="23">
        <v>1.8349999999999999E-4</v>
      </c>
      <c r="J91" s="23">
        <v>8.0709999999999995E-6</v>
      </c>
      <c r="K91" s="23">
        <v>1.615</v>
      </c>
      <c r="L91" s="23">
        <v>1.615</v>
      </c>
      <c r="M91" s="23">
        <v>6.5399999999999998E-3</v>
      </c>
      <c r="N91" s="23">
        <v>6.3499999999999997E-3</v>
      </c>
      <c r="O91" s="23">
        <v>2.0000000000000002E-5</v>
      </c>
      <c r="P91" s="23">
        <v>8.1240000000000005E-6</v>
      </c>
      <c r="Q91" s="23">
        <v>4.7459999999999996E-5</v>
      </c>
      <c r="R91" s="23">
        <v>2.0640000000000001</v>
      </c>
    </row>
    <row r="92" spans="2:18" x14ac:dyDescent="0.25">
      <c r="B92" s="22">
        <v>180</v>
      </c>
      <c r="C92" s="22" t="s">
        <v>45</v>
      </c>
      <c r="D92" s="22" t="s">
        <v>46</v>
      </c>
      <c r="E92" s="22">
        <v>1</v>
      </c>
      <c r="F92" s="22">
        <v>1.843</v>
      </c>
      <c r="G92" s="23">
        <v>3.8090000000000003E-5</v>
      </c>
      <c r="H92" s="23">
        <v>2.2109999999999997E-6</v>
      </c>
      <c r="I92" s="23">
        <v>6.6519999999999993E-5</v>
      </c>
      <c r="J92" s="23">
        <v>3.3050000000000001E-6</v>
      </c>
      <c r="K92" s="23">
        <v>1.496</v>
      </c>
      <c r="L92" s="23">
        <v>1.496</v>
      </c>
      <c r="M92" s="23">
        <v>6.2900000000000005E-3</v>
      </c>
      <c r="N92" s="23">
        <v>6.2900000000000005E-3</v>
      </c>
      <c r="O92" s="23">
        <v>2.0000000000000002E-5</v>
      </c>
      <c r="P92" s="23">
        <v>4.2769999999999999E-5</v>
      </c>
      <c r="Q92" s="23">
        <v>7.8489999999999989E-5</v>
      </c>
      <c r="R92" s="23">
        <v>1.9390000000000001</v>
      </c>
    </row>
    <row r="93" spans="2:18" x14ac:dyDescent="0.25">
      <c r="B93" s="22">
        <v>187</v>
      </c>
      <c r="C93" s="22" t="s">
        <v>45</v>
      </c>
      <c r="D93" s="22" t="s">
        <v>46</v>
      </c>
      <c r="E93" s="22">
        <v>1</v>
      </c>
      <c r="F93" s="22">
        <v>1.6930000000000001</v>
      </c>
      <c r="G93" s="23">
        <v>1.0709999999999999E-4</v>
      </c>
      <c r="H93" s="23">
        <v>7.1539999999999996E-6</v>
      </c>
      <c r="I93" s="23">
        <v>1.7869999999999998E-4</v>
      </c>
      <c r="J93" s="23">
        <v>6.7869999999999996E-6</v>
      </c>
      <c r="K93" s="23">
        <v>1.492</v>
      </c>
      <c r="L93" s="23">
        <v>1.492</v>
      </c>
      <c r="M93" s="23">
        <v>7.5900000000000004E-3</v>
      </c>
      <c r="N93" s="23">
        <v>7.6100000000000004E-3</v>
      </c>
      <c r="O93" s="23">
        <v>2.0000000000000002E-5</v>
      </c>
      <c r="P93" s="23">
        <v>1.4960000000000001E-5</v>
      </c>
      <c r="Q93" s="23">
        <v>1.1129999999999999E-4</v>
      </c>
      <c r="R93" s="23">
        <v>2.1</v>
      </c>
    </row>
    <row r="94" spans="2:18" x14ac:dyDescent="0.25">
      <c r="B94" s="22">
        <v>189</v>
      </c>
      <c r="C94" s="22" t="s">
        <v>45</v>
      </c>
      <c r="D94" s="22" t="s">
        <v>46</v>
      </c>
      <c r="E94" s="22">
        <v>1</v>
      </c>
      <c r="F94" s="22">
        <v>1.8580000000000001</v>
      </c>
      <c r="G94" s="23">
        <v>6.4029999999999995E-5</v>
      </c>
      <c r="H94" s="23">
        <v>3.2879999999999997E-6</v>
      </c>
      <c r="I94" s="23">
        <v>1.204E-4</v>
      </c>
      <c r="J94" s="23">
        <v>5.3189999999999994E-6</v>
      </c>
      <c r="K94" s="23">
        <v>1.522</v>
      </c>
      <c r="L94" s="23">
        <v>1.522</v>
      </c>
      <c r="M94" s="23">
        <v>6.1399999999999996E-3</v>
      </c>
      <c r="N94" s="23">
        <v>6.2400000000000008E-3</v>
      </c>
      <c r="O94" s="23">
        <v>2.0000000000000002E-5</v>
      </c>
      <c r="P94" s="23">
        <v>1.0550000000000001E-5</v>
      </c>
      <c r="Q94" s="23">
        <v>7.0680000000000008E-5</v>
      </c>
      <c r="R94" s="23">
        <v>2.105</v>
      </c>
    </row>
    <row r="95" spans="2:18" x14ac:dyDescent="0.25">
      <c r="B95" s="22">
        <v>190</v>
      </c>
      <c r="C95" s="22" t="s">
        <v>45</v>
      </c>
      <c r="D95" s="22" t="s">
        <v>46</v>
      </c>
      <c r="E95" s="22">
        <v>1</v>
      </c>
      <c r="F95" s="22">
        <v>1.411</v>
      </c>
      <c r="G95" s="23">
        <v>6.793999999999999E-5</v>
      </c>
      <c r="H95" s="23">
        <v>2.1449999999999998E-6</v>
      </c>
      <c r="I95" s="23">
        <v>1.3180000000000001E-4</v>
      </c>
      <c r="J95" s="23">
        <v>4.2069999999999997E-6</v>
      </c>
      <c r="K95" s="23">
        <v>1.653</v>
      </c>
      <c r="L95" s="23">
        <v>1.653</v>
      </c>
      <c r="M95" s="23">
        <v>6.3899999999999998E-3</v>
      </c>
      <c r="N95" s="23">
        <v>6.1600000000000005E-3</v>
      </c>
      <c r="O95" s="23">
        <v>3.0000000000000001E-5</v>
      </c>
      <c r="P95" s="23">
        <v>4.1340000000000006E-6</v>
      </c>
      <c r="Q95" s="23">
        <v>3.5599999999999998E-5</v>
      </c>
      <c r="R95" s="23">
        <v>2.125</v>
      </c>
    </row>
    <row r="96" spans="2:18" x14ac:dyDescent="0.25">
      <c r="B96" s="22">
        <v>194</v>
      </c>
      <c r="C96" s="22" t="s">
        <v>45</v>
      </c>
      <c r="D96" s="22" t="s">
        <v>46</v>
      </c>
      <c r="E96" s="22">
        <v>1</v>
      </c>
      <c r="F96" s="22">
        <v>1.81</v>
      </c>
      <c r="G96" s="23">
        <v>6.1130000000000006E-5</v>
      </c>
      <c r="H96" s="23">
        <v>1.4219999999999999E-6</v>
      </c>
      <c r="I96" s="23">
        <v>1.248E-4</v>
      </c>
      <c r="J96" s="23">
        <v>2.0360000000000001E-6</v>
      </c>
      <c r="K96" s="23">
        <v>1.4610000000000001</v>
      </c>
      <c r="L96" s="23">
        <v>1.4610000000000001</v>
      </c>
      <c r="M96" s="23">
        <v>6.6900000000000006E-3</v>
      </c>
      <c r="N96" s="23">
        <v>6.1700000000000001E-3</v>
      </c>
      <c r="O96" s="23">
        <v>2.0000000000000002E-5</v>
      </c>
      <c r="P96" s="23">
        <v>4.8679999999999998E-6</v>
      </c>
      <c r="Q96" s="23">
        <v>3.5519999999999999E-5</v>
      </c>
      <c r="R96" s="23">
        <v>2.0979999999999999</v>
      </c>
    </row>
    <row r="97" spans="2:18" x14ac:dyDescent="0.25">
      <c r="B97" s="22">
        <v>195</v>
      </c>
      <c r="C97" s="22" t="s">
        <v>45</v>
      </c>
      <c r="D97" s="22" t="s">
        <v>46</v>
      </c>
      <c r="E97" s="22">
        <v>1</v>
      </c>
      <c r="F97" s="22">
        <v>1.343</v>
      </c>
      <c r="G97" s="23">
        <v>3.4499999999999998E-5</v>
      </c>
      <c r="H97" s="23">
        <v>1.1289999999999999E-6</v>
      </c>
      <c r="I97" s="23">
        <v>6.669E-5</v>
      </c>
      <c r="J97" s="23">
        <v>2.559E-6</v>
      </c>
      <c r="K97" s="23">
        <v>1.679</v>
      </c>
      <c r="L97" s="23">
        <v>1.679</v>
      </c>
      <c r="M97" s="23">
        <v>6.3099999999999996E-3</v>
      </c>
      <c r="N97" s="23">
        <v>6.3099999999999996E-3</v>
      </c>
      <c r="O97" s="23">
        <v>2.0000000000000002E-5</v>
      </c>
      <c r="P97" s="23">
        <v>4.8659999999999997E-6</v>
      </c>
      <c r="Q97" s="23">
        <v>3.4659999999999997E-5</v>
      </c>
      <c r="R97" s="23">
        <v>2.1280000000000001</v>
      </c>
    </row>
    <row r="98" spans="2:18" x14ac:dyDescent="0.25">
      <c r="B98" s="22">
        <v>200</v>
      </c>
      <c r="C98" s="22" t="s">
        <v>45</v>
      </c>
      <c r="D98" s="22" t="s">
        <v>46</v>
      </c>
      <c r="E98" s="22">
        <v>1</v>
      </c>
      <c r="F98" s="22">
        <v>1.829</v>
      </c>
      <c r="G98" s="23">
        <v>7.7939999999999989E-5</v>
      </c>
      <c r="H98" s="23">
        <v>5.8359999999999997E-6</v>
      </c>
      <c r="I98" s="23">
        <v>1.326E-4</v>
      </c>
      <c r="J98" s="23">
        <v>6.9820000000000002E-6</v>
      </c>
      <c r="K98" s="23">
        <v>1.488</v>
      </c>
      <c r="L98" s="23">
        <v>1.488</v>
      </c>
      <c r="M98" s="23">
        <v>6.5100000000000002E-3</v>
      </c>
      <c r="N98" s="23">
        <v>6.2300000000000003E-3</v>
      </c>
      <c r="O98" s="23">
        <v>2.0000000000000002E-5</v>
      </c>
      <c r="P98" s="23">
        <v>1.7809999999999997E-5</v>
      </c>
      <c r="Q98" s="23">
        <v>1.004E-4</v>
      </c>
      <c r="R98" s="23">
        <v>2.077</v>
      </c>
    </row>
    <row r="99" spans="2:18" x14ac:dyDescent="0.25">
      <c r="B99" s="22">
        <v>202</v>
      </c>
      <c r="C99" s="22" t="s">
        <v>45</v>
      </c>
      <c r="D99" s="22" t="s">
        <v>46</v>
      </c>
      <c r="E99" s="22">
        <v>1</v>
      </c>
      <c r="F99" s="22">
        <v>1.845</v>
      </c>
      <c r="G99" s="23">
        <v>5.1199999999999998E-5</v>
      </c>
      <c r="H99" s="23">
        <v>3.3579999999999999E-6</v>
      </c>
      <c r="I99" s="23">
        <v>8.8700000000000001E-5</v>
      </c>
      <c r="J99" s="23">
        <v>4.4889999999999997E-6</v>
      </c>
      <c r="K99" s="23">
        <v>1.502</v>
      </c>
      <c r="L99" s="23">
        <v>1.502</v>
      </c>
      <c r="M99" s="23">
        <v>6.3E-3</v>
      </c>
      <c r="N99" s="23">
        <v>6.3300000000000006E-3</v>
      </c>
      <c r="O99" s="23">
        <v>3.0000000000000001E-5</v>
      </c>
      <c r="P99" s="23">
        <v>8.5690000000000005E-6</v>
      </c>
      <c r="Q99" s="23">
        <v>5.1430000000000001E-5</v>
      </c>
      <c r="R99" s="23">
        <v>2.1150000000000002</v>
      </c>
    </row>
    <row r="100" spans="2:18" x14ac:dyDescent="0.25">
      <c r="B100" s="22">
        <v>208</v>
      </c>
      <c r="C100" s="22" t="s">
        <v>45</v>
      </c>
      <c r="D100" s="22" t="s">
        <v>46</v>
      </c>
      <c r="E100" s="22">
        <v>1</v>
      </c>
      <c r="F100" s="22">
        <v>1.7869999999999999</v>
      </c>
      <c r="G100" s="23">
        <v>3.8090000000000003E-5</v>
      </c>
      <c r="H100" s="23">
        <v>9.2180000000000001E-7</v>
      </c>
      <c r="I100" s="23">
        <v>7.4950000000000006E-5</v>
      </c>
      <c r="J100" s="23">
        <v>2.1560000000000002E-6</v>
      </c>
      <c r="K100" s="23">
        <v>1.5449999999999999</v>
      </c>
      <c r="L100" s="23">
        <v>1.5449999999999999</v>
      </c>
      <c r="M100" s="23">
        <v>6.3700000000000007E-3</v>
      </c>
      <c r="N100" s="23">
        <v>6.3899999999999998E-3</v>
      </c>
      <c r="O100" s="23">
        <v>2.0000000000000002E-5</v>
      </c>
      <c r="P100" s="23">
        <v>2.3709999999999998E-5</v>
      </c>
      <c r="Q100" s="23">
        <v>1.0549999999999999E-4</v>
      </c>
      <c r="R100" s="23">
        <v>2.1070000000000002</v>
      </c>
    </row>
    <row r="101" spans="2:18" x14ac:dyDescent="0.25">
      <c r="B101" s="22">
        <v>209</v>
      </c>
      <c r="C101" s="22" t="s">
        <v>45</v>
      </c>
      <c r="D101" s="22" t="s">
        <v>46</v>
      </c>
      <c r="E101" s="22">
        <v>1</v>
      </c>
      <c r="F101" s="22">
        <v>1.4770000000000001</v>
      </c>
      <c r="G101" s="23">
        <v>1.003E-4</v>
      </c>
      <c r="H101" s="23">
        <v>4.5410000000000002E-6</v>
      </c>
      <c r="I101" s="23">
        <v>1.853E-4</v>
      </c>
      <c r="J101" s="23">
        <v>7.8110000000000003E-6</v>
      </c>
      <c r="K101" s="23">
        <v>1.6180000000000001</v>
      </c>
      <c r="L101" s="23">
        <v>1.6180000000000001</v>
      </c>
      <c r="M101" s="23">
        <v>6.4700000000000001E-3</v>
      </c>
      <c r="N101" s="23">
        <v>6.4800000000000005E-3</v>
      </c>
      <c r="O101" s="23">
        <v>2.0000000000000002E-5</v>
      </c>
      <c r="P101" s="23">
        <v>1.7839999999999999E-5</v>
      </c>
      <c r="Q101" s="23">
        <v>1.025E-4</v>
      </c>
      <c r="R101" s="23">
        <v>2.1019999999999999</v>
      </c>
    </row>
    <row r="102" spans="2:18" x14ac:dyDescent="0.25">
      <c r="B102" s="22">
        <v>211</v>
      </c>
      <c r="C102" s="22" t="s">
        <v>45</v>
      </c>
      <c r="D102" s="22" t="s">
        <v>46</v>
      </c>
      <c r="E102" s="22">
        <v>1</v>
      </c>
      <c r="F102" s="22">
        <v>1.474</v>
      </c>
      <c r="G102" s="23">
        <v>8.551E-5</v>
      </c>
      <c r="H102" s="23">
        <v>3.1199999999999998E-6</v>
      </c>
      <c r="I102" s="23">
        <v>1.6230000000000001E-4</v>
      </c>
      <c r="J102" s="23">
        <v>5.48E-6</v>
      </c>
      <c r="K102" s="23">
        <v>1.6240000000000001</v>
      </c>
      <c r="L102" s="23">
        <v>1.6240000000000001</v>
      </c>
      <c r="M102" s="23">
        <v>6.3800000000000003E-3</v>
      </c>
      <c r="N102" s="23">
        <v>6.4000000000000003E-3</v>
      </c>
      <c r="O102" s="23">
        <v>2.0000000000000002E-5</v>
      </c>
      <c r="P102" s="23">
        <v>1.8640000000000001E-5</v>
      </c>
      <c r="Q102" s="23">
        <v>8.7409999999999992E-5</v>
      </c>
      <c r="R102" s="23">
        <v>2.141</v>
      </c>
    </row>
    <row r="103" spans="2:18" x14ac:dyDescent="0.25">
      <c r="B103" s="22">
        <v>212</v>
      </c>
      <c r="C103" s="22" t="s">
        <v>45</v>
      </c>
      <c r="D103" s="22" t="s">
        <v>46</v>
      </c>
      <c r="E103" s="22">
        <v>1</v>
      </c>
      <c r="F103" s="22">
        <v>1.7849999999999999</v>
      </c>
      <c r="G103" s="23">
        <v>3.3889999999999996E-5</v>
      </c>
      <c r="H103" s="23">
        <v>1.1379999999999999E-6</v>
      </c>
      <c r="I103" s="23">
        <v>6.5430000000000002E-5</v>
      </c>
      <c r="J103" s="23">
        <v>2.3499999999999999E-6</v>
      </c>
      <c r="K103" s="23">
        <v>1.5329999999999999</v>
      </c>
      <c r="L103" s="23">
        <v>1.5329999999999999</v>
      </c>
      <c r="M103" s="23">
        <v>6.2900000000000005E-3</v>
      </c>
      <c r="N103" s="23">
        <v>6.3200000000000001E-3</v>
      </c>
      <c r="O103" s="23">
        <v>3.0000000000000001E-5</v>
      </c>
      <c r="P103" s="23">
        <v>3.3590000000000002E-5</v>
      </c>
      <c r="Q103" s="23">
        <v>1.8559999999999998E-4</v>
      </c>
      <c r="R103" s="23">
        <v>1.952</v>
      </c>
    </row>
    <row r="104" spans="2:18" x14ac:dyDescent="0.25">
      <c r="B104" s="22">
        <v>217</v>
      </c>
      <c r="C104" s="22" t="s">
        <v>45</v>
      </c>
      <c r="D104" s="22" t="s">
        <v>46</v>
      </c>
      <c r="E104" s="22">
        <v>1</v>
      </c>
      <c r="F104" s="22">
        <v>1.3089999999999999</v>
      </c>
      <c r="G104" s="23">
        <v>5.4899999999999993E-5</v>
      </c>
      <c r="H104" s="23">
        <v>2.6689999999999998E-6</v>
      </c>
      <c r="I104" s="23">
        <v>9.4930000000000001E-5</v>
      </c>
      <c r="J104" s="23">
        <v>4.4859999999999999E-6</v>
      </c>
      <c r="K104" s="23">
        <v>1.655</v>
      </c>
      <c r="L104" s="23">
        <v>1.655</v>
      </c>
      <c r="M104" s="23">
        <v>6.4700000000000001E-3</v>
      </c>
      <c r="N104" s="23">
        <v>6.3200000000000001E-3</v>
      </c>
      <c r="O104" s="23">
        <v>2.0000000000000002E-5</v>
      </c>
      <c r="P104" s="23">
        <v>7.2459999999999997E-6</v>
      </c>
      <c r="Q104" s="23">
        <v>4.5170000000000003E-5</v>
      </c>
      <c r="R104" s="23">
        <v>2.0529999999999999</v>
      </c>
    </row>
    <row r="105" spans="2:18" x14ac:dyDescent="0.25">
      <c r="B105" s="22">
        <v>219</v>
      </c>
      <c r="C105" s="22" t="s">
        <v>45</v>
      </c>
      <c r="D105" s="22" t="s">
        <v>46</v>
      </c>
      <c r="E105" s="22">
        <v>1</v>
      </c>
      <c r="F105" s="22">
        <v>1.5940000000000001</v>
      </c>
      <c r="G105" s="23">
        <v>1.7929999999999999E-4</v>
      </c>
      <c r="H105" s="23">
        <v>1.046E-5</v>
      </c>
      <c r="I105" s="23">
        <v>3.233E-4</v>
      </c>
      <c r="J105" s="23">
        <v>1.2470000000000001E-5</v>
      </c>
      <c r="K105" s="23">
        <v>1.5860000000000001</v>
      </c>
      <c r="L105" s="23">
        <v>1.5860000000000001</v>
      </c>
      <c r="M105" s="23">
        <v>6.9900000000000006E-3</v>
      </c>
      <c r="N105" s="23">
        <v>7.0099999999999997E-3</v>
      </c>
      <c r="O105" s="23">
        <v>3.0000000000000001E-5</v>
      </c>
      <c r="P105" s="23">
        <v>3.2289999999999997E-5</v>
      </c>
      <c r="Q105" s="23">
        <v>1.8459999999999999E-4</v>
      </c>
      <c r="R105" s="23">
        <v>2.0979999999999999</v>
      </c>
    </row>
    <row r="106" spans="2:18" x14ac:dyDescent="0.25">
      <c r="B106" s="22">
        <v>223</v>
      </c>
      <c r="C106" s="22" t="s">
        <v>45</v>
      </c>
      <c r="D106" s="22" t="s">
        <v>46</v>
      </c>
      <c r="E106" s="22">
        <v>1</v>
      </c>
      <c r="F106" s="22">
        <v>1.512</v>
      </c>
      <c r="G106" s="23">
        <v>3.6069999999999999E-5</v>
      </c>
      <c r="H106" s="23">
        <v>1.0109999999999999E-6</v>
      </c>
      <c r="I106" s="23">
        <v>6.9999999999999994E-5</v>
      </c>
      <c r="J106" s="23">
        <v>2.463E-6</v>
      </c>
      <c r="K106" s="23">
        <v>1.633</v>
      </c>
      <c r="L106" s="23">
        <v>1.633</v>
      </c>
      <c r="M106" s="23">
        <v>6.2500000000000003E-3</v>
      </c>
      <c r="N106" s="23">
        <v>6.2599999999999999E-3</v>
      </c>
      <c r="O106" s="23">
        <v>2.0000000000000002E-5</v>
      </c>
      <c r="P106" s="23">
        <v>4.7329999999999994E-6</v>
      </c>
      <c r="Q106" s="23">
        <v>3.6759999999999994E-5</v>
      </c>
      <c r="R106" s="23">
        <v>2.14</v>
      </c>
    </row>
    <row r="107" spans="2:18" x14ac:dyDescent="0.25">
      <c r="B107" s="22">
        <v>225</v>
      </c>
      <c r="C107" s="22" t="s">
        <v>45</v>
      </c>
      <c r="D107" s="22" t="s">
        <v>46</v>
      </c>
      <c r="E107" s="22">
        <v>1</v>
      </c>
      <c r="F107" s="22">
        <v>1.571</v>
      </c>
      <c r="G107" s="23">
        <v>1.008E-4</v>
      </c>
      <c r="H107" s="23">
        <v>5.7469999999999994E-6</v>
      </c>
      <c r="I107" s="23">
        <v>1.8029999999999999E-4</v>
      </c>
      <c r="J107" s="23">
        <v>8.5559999999999991E-6</v>
      </c>
      <c r="K107" s="23">
        <v>1.5389999999999999</v>
      </c>
      <c r="L107" s="23">
        <v>1.5389999999999999</v>
      </c>
      <c r="M107" s="23">
        <v>6.6699999999999997E-3</v>
      </c>
      <c r="N107" s="23">
        <v>6.6800000000000002E-3</v>
      </c>
      <c r="O107" s="23">
        <v>2.0000000000000002E-5</v>
      </c>
      <c r="P107" s="23">
        <v>1.613E-5</v>
      </c>
      <c r="Q107" s="23">
        <v>5.3139999999999996E-5</v>
      </c>
      <c r="R107" s="23">
        <v>1.7849999999999999</v>
      </c>
    </row>
    <row r="108" spans="2:18" x14ac:dyDescent="0.25">
      <c r="B108" s="22">
        <v>227</v>
      </c>
      <c r="C108" s="22" t="s">
        <v>45</v>
      </c>
      <c r="D108" s="22" t="s">
        <v>46</v>
      </c>
      <c r="E108" s="22">
        <v>1</v>
      </c>
      <c r="F108" s="22">
        <v>1.579</v>
      </c>
      <c r="G108" s="23">
        <v>5.7939999999999998E-5</v>
      </c>
      <c r="H108" s="23">
        <v>3.3699999999999999E-6</v>
      </c>
      <c r="I108" s="23">
        <v>1.002E-4</v>
      </c>
      <c r="J108" s="23">
        <v>4.8219999999999997E-6</v>
      </c>
      <c r="K108" s="23">
        <v>1.58</v>
      </c>
      <c r="L108" s="23">
        <v>1.58</v>
      </c>
      <c r="M108" s="23">
        <v>6.4099999999999999E-3</v>
      </c>
      <c r="N108" s="23">
        <v>6.4200000000000004E-3</v>
      </c>
      <c r="O108" s="23">
        <v>2.0000000000000002E-5</v>
      </c>
      <c r="P108" s="23">
        <v>9.3889999999999994E-6</v>
      </c>
      <c r="Q108" s="23">
        <v>5.9209999999999997E-5</v>
      </c>
      <c r="R108" s="23">
        <v>2.1269999999999998</v>
      </c>
    </row>
    <row r="109" spans="2:18" x14ac:dyDescent="0.25">
      <c r="B109" s="22">
        <v>239</v>
      </c>
      <c r="C109" s="22" t="s">
        <v>45</v>
      </c>
      <c r="D109" s="22" t="s">
        <v>46</v>
      </c>
      <c r="E109" s="22">
        <v>1</v>
      </c>
      <c r="F109" s="22">
        <v>1.633</v>
      </c>
      <c r="G109" s="23">
        <v>7.483E-5</v>
      </c>
      <c r="H109" s="23">
        <v>1.0449999999999999E-6</v>
      </c>
      <c r="I109" s="23">
        <v>1.549E-4</v>
      </c>
      <c r="J109" s="23">
        <v>1.7799999999999999E-6</v>
      </c>
      <c r="K109" s="23">
        <v>1.5029999999999999</v>
      </c>
      <c r="L109" s="23">
        <v>1.5029999999999999</v>
      </c>
      <c r="M109" s="23">
        <v>6.980000000000001E-3</v>
      </c>
      <c r="N109" s="23">
        <v>6.980000000000001E-3</v>
      </c>
      <c r="O109" s="23">
        <v>2.0000000000000002E-5</v>
      </c>
      <c r="P109" s="23">
        <v>1.365E-5</v>
      </c>
      <c r="Q109" s="23">
        <v>7.6509999999999998E-5</v>
      </c>
      <c r="R109" s="23">
        <v>2.0209999999999999</v>
      </c>
    </row>
    <row r="110" spans="2:18" x14ac:dyDescent="0.25">
      <c r="B110" s="22">
        <v>243</v>
      </c>
      <c r="C110" s="22" t="s">
        <v>45</v>
      </c>
      <c r="D110" s="22" t="s">
        <v>46</v>
      </c>
      <c r="E110" s="22">
        <v>1</v>
      </c>
      <c r="F110" s="22">
        <v>1.6220000000000001</v>
      </c>
      <c r="G110" s="23">
        <v>1.7099999999999998E-4</v>
      </c>
      <c r="H110" s="23">
        <v>8.4209999999999995E-6</v>
      </c>
      <c r="I110" s="23">
        <v>3.1039999999999996E-4</v>
      </c>
      <c r="J110" s="23">
        <v>1.0869999999999999E-5</v>
      </c>
      <c r="K110" s="23">
        <v>1.468</v>
      </c>
      <c r="L110" s="23">
        <v>1.468</v>
      </c>
      <c r="M110" s="23">
        <v>7.5900000000000004E-3</v>
      </c>
      <c r="N110" s="23">
        <v>7.6E-3</v>
      </c>
      <c r="O110" s="23">
        <v>3.0000000000000001E-5</v>
      </c>
      <c r="P110" s="23">
        <v>2.3960000000000001E-5</v>
      </c>
      <c r="Q110" s="23">
        <v>1.74E-4</v>
      </c>
      <c r="R110" s="23">
        <v>1.9950000000000001</v>
      </c>
    </row>
    <row r="111" spans="2:18" x14ac:dyDescent="0.25">
      <c r="B111" s="22">
        <v>245</v>
      </c>
      <c r="C111" s="22" t="s">
        <v>45</v>
      </c>
      <c r="D111" s="22" t="s">
        <v>46</v>
      </c>
      <c r="E111" s="22">
        <v>1</v>
      </c>
      <c r="F111" s="22">
        <v>1.7509999999999999</v>
      </c>
      <c r="G111" s="23">
        <v>1.3209999999999999E-4</v>
      </c>
      <c r="H111" s="23">
        <v>8.1159999999999999E-6</v>
      </c>
      <c r="I111" s="23">
        <v>2.2969999999999997E-4</v>
      </c>
      <c r="J111" s="23">
        <v>9.6489999999999986E-6</v>
      </c>
      <c r="K111" s="23">
        <v>1.474</v>
      </c>
      <c r="L111" s="23">
        <v>1.474</v>
      </c>
      <c r="M111" s="23">
        <v>6.980000000000001E-3</v>
      </c>
      <c r="N111" s="23">
        <v>6.9900000000000006E-3</v>
      </c>
      <c r="O111" s="23">
        <v>2.0000000000000002E-5</v>
      </c>
      <c r="P111" s="23">
        <v>4.0910000000000003E-6</v>
      </c>
      <c r="Q111" s="23">
        <v>5.4659999999999995E-5</v>
      </c>
      <c r="R111" s="23">
        <v>2.1160000000000001</v>
      </c>
    </row>
    <row r="112" spans="2:18" x14ac:dyDescent="0.25">
      <c r="B112" s="22">
        <v>246</v>
      </c>
      <c r="C112" s="22" t="s">
        <v>45</v>
      </c>
      <c r="D112" s="22" t="s">
        <v>46</v>
      </c>
      <c r="E112" s="22">
        <v>1</v>
      </c>
      <c r="F112" s="22">
        <v>1.464</v>
      </c>
      <c r="G112" s="23">
        <v>5.2809999999999998E-5</v>
      </c>
      <c r="H112" s="23">
        <v>6.1600000000000001E-7</v>
      </c>
      <c r="I112" s="23">
        <v>1.0899999999999999E-4</v>
      </c>
      <c r="J112" s="23">
        <v>1.643E-6</v>
      </c>
      <c r="K112" s="23">
        <v>1.6359999999999999</v>
      </c>
      <c r="L112" s="23">
        <v>1.6359999999999999</v>
      </c>
      <c r="M112" s="23">
        <v>6.4800000000000005E-3</v>
      </c>
      <c r="N112" s="23">
        <v>6.5000000000000006E-3</v>
      </c>
      <c r="O112" s="23">
        <v>2.0000000000000002E-5</v>
      </c>
      <c r="P112" s="23">
        <v>5.0979999999999993E-6</v>
      </c>
      <c r="Q112" s="23">
        <v>4.1170000000000001E-5</v>
      </c>
      <c r="R112" s="23">
        <v>2.125</v>
      </c>
    </row>
    <row r="113" spans="2:18" x14ac:dyDescent="0.25">
      <c r="B113" s="22">
        <v>248</v>
      </c>
      <c r="C113" s="22" t="s">
        <v>45</v>
      </c>
      <c r="D113" s="22" t="s">
        <v>46</v>
      </c>
      <c r="E113" s="22">
        <v>1</v>
      </c>
      <c r="F113" s="22">
        <v>1.8260000000000001</v>
      </c>
      <c r="G113" s="23">
        <v>5.8520000000000002E-5</v>
      </c>
      <c r="H113" s="23">
        <v>3.8979999999999998E-6</v>
      </c>
      <c r="I113" s="23">
        <v>1.0159999999999999E-4</v>
      </c>
      <c r="J113" s="23">
        <v>5.1699999999999996E-6</v>
      </c>
      <c r="K113" s="23">
        <v>1.5169999999999999</v>
      </c>
      <c r="L113" s="23">
        <v>1.5169999999999999</v>
      </c>
      <c r="M113" s="23">
        <v>6.2000000000000006E-3</v>
      </c>
      <c r="N113" s="23">
        <v>6.3200000000000001E-3</v>
      </c>
      <c r="O113" s="23">
        <v>2.0000000000000002E-5</v>
      </c>
      <c r="P113" s="23">
        <v>9.6499999999999991E-6</v>
      </c>
      <c r="Q113" s="23">
        <v>5.9389999999999999E-5</v>
      </c>
      <c r="R113" s="23">
        <v>2.1230000000000002</v>
      </c>
    </row>
    <row r="114" spans="2:18" x14ac:dyDescent="0.25">
      <c r="B114" s="22">
        <v>250</v>
      </c>
      <c r="C114" s="22" t="s">
        <v>45</v>
      </c>
      <c r="D114" s="22" t="s">
        <v>46</v>
      </c>
      <c r="E114" s="22">
        <v>1</v>
      </c>
      <c r="F114" s="22">
        <v>1.486</v>
      </c>
      <c r="G114" s="23">
        <v>3.6539999999999999E-5</v>
      </c>
      <c r="H114" s="23">
        <v>1.5399999999999999E-6</v>
      </c>
      <c r="I114" s="23">
        <v>6.656E-5</v>
      </c>
      <c r="J114" s="23">
        <v>3.0929999999999999E-6</v>
      </c>
      <c r="K114" s="23">
        <v>1.627</v>
      </c>
      <c r="L114" s="23">
        <v>1.627</v>
      </c>
      <c r="M114" s="23">
        <v>6.2900000000000005E-3</v>
      </c>
      <c r="N114" s="23">
        <v>6.2900000000000005E-3</v>
      </c>
      <c r="O114" s="23">
        <v>2.0000000000000002E-5</v>
      </c>
      <c r="P114" s="23">
        <v>5.5860000000000004E-6</v>
      </c>
      <c r="Q114" s="23">
        <v>3.6549999999999994E-5</v>
      </c>
      <c r="R114" s="23">
        <v>2.1040000000000001</v>
      </c>
    </row>
    <row r="115" spans="2:18" x14ac:dyDescent="0.25">
      <c r="B115" s="22">
        <v>251</v>
      </c>
      <c r="C115" s="22" t="s">
        <v>45</v>
      </c>
      <c r="D115" s="22" t="s">
        <v>46</v>
      </c>
      <c r="E115" s="22">
        <v>1</v>
      </c>
      <c r="F115" s="22">
        <v>1.8839999999999999</v>
      </c>
      <c r="G115" s="23">
        <v>4.1E-5</v>
      </c>
      <c r="H115" s="23">
        <v>1.823E-6</v>
      </c>
      <c r="I115" s="23">
        <v>7.3519999999999987E-5</v>
      </c>
      <c r="J115" s="23">
        <v>3.1369999999999998E-6</v>
      </c>
      <c r="K115" s="23">
        <v>1.492</v>
      </c>
      <c r="L115" s="23">
        <v>1.492</v>
      </c>
      <c r="M115" s="23">
        <v>6.1500000000000001E-3</v>
      </c>
      <c r="N115" s="23">
        <v>6.1700000000000001E-3</v>
      </c>
      <c r="O115" s="23">
        <v>2.0000000000000002E-5</v>
      </c>
      <c r="P115" s="23">
        <v>5.4549999999999994E-6</v>
      </c>
      <c r="Q115" s="23">
        <v>4.1459999999999999E-5</v>
      </c>
      <c r="R115" s="23">
        <v>2.113</v>
      </c>
    </row>
    <row r="116" spans="2:18" x14ac:dyDescent="0.25">
      <c r="B116" s="22">
        <v>252</v>
      </c>
      <c r="C116" s="22" t="s">
        <v>45</v>
      </c>
      <c r="D116" s="22" t="s">
        <v>46</v>
      </c>
      <c r="E116" s="22">
        <v>1</v>
      </c>
      <c r="F116" s="22">
        <v>1.79</v>
      </c>
      <c r="G116" s="23">
        <v>8.9029999999999993E-5</v>
      </c>
      <c r="H116" s="23">
        <v>7.1379999999999993E-6</v>
      </c>
      <c r="I116" s="23">
        <v>1.5080000000000001E-4</v>
      </c>
      <c r="J116" s="23">
        <v>7.7069999999999992E-6</v>
      </c>
      <c r="K116" s="23">
        <v>1.4910000000000001</v>
      </c>
      <c r="L116" s="23">
        <v>1.4910000000000001</v>
      </c>
      <c r="M116" s="23">
        <v>6.45E-3</v>
      </c>
      <c r="N116" s="23">
        <v>6.4700000000000001E-3</v>
      </c>
      <c r="O116" s="23">
        <v>2.0000000000000002E-5</v>
      </c>
      <c r="P116" s="23">
        <v>1.7219999999999998E-5</v>
      </c>
      <c r="Q116" s="23">
        <v>9.0109999999999989E-5</v>
      </c>
      <c r="R116" s="23">
        <v>2.0529999999999999</v>
      </c>
    </row>
    <row r="117" spans="2:18" x14ac:dyDescent="0.25">
      <c r="B117" s="22">
        <v>253</v>
      </c>
      <c r="C117" s="22" t="s">
        <v>45</v>
      </c>
      <c r="D117" s="22" t="s">
        <v>46</v>
      </c>
      <c r="E117" s="22">
        <v>1</v>
      </c>
      <c r="F117" s="22">
        <v>1.772</v>
      </c>
      <c r="G117" s="23">
        <v>3.4919999999999998E-5</v>
      </c>
      <c r="H117" s="23">
        <v>1.181E-6</v>
      </c>
      <c r="I117" s="23">
        <v>6.7909999999999992E-5</v>
      </c>
      <c r="J117" s="23">
        <v>2.3939999999999999E-6</v>
      </c>
      <c r="K117" s="23">
        <v>1.538</v>
      </c>
      <c r="L117" s="23">
        <v>1.538</v>
      </c>
      <c r="M117" s="23">
        <v>6.2100000000000002E-3</v>
      </c>
      <c r="N117" s="23">
        <v>6.2400000000000008E-3</v>
      </c>
      <c r="O117" s="23">
        <v>2.0000000000000002E-5</v>
      </c>
      <c r="P117" s="23">
        <v>4.4290000000000003E-6</v>
      </c>
      <c r="Q117" s="23">
        <v>3.5579999999999995E-5</v>
      </c>
      <c r="R117" s="23">
        <v>2.1320000000000001</v>
      </c>
    </row>
    <row r="118" spans="2:18" x14ac:dyDescent="0.25">
      <c r="B118" s="22">
        <v>257</v>
      </c>
      <c r="C118" s="22" t="s">
        <v>45</v>
      </c>
      <c r="D118" s="22" t="s">
        <v>46</v>
      </c>
      <c r="E118" s="22">
        <v>1</v>
      </c>
      <c r="F118" s="22">
        <v>1.6759999999999999</v>
      </c>
      <c r="G118" s="23">
        <v>4.4609999999999995E-5</v>
      </c>
      <c r="H118" s="23">
        <v>2.0219999999999999E-6</v>
      </c>
      <c r="I118" s="23">
        <v>8.1519999999999992E-5</v>
      </c>
      <c r="J118" s="23">
        <v>3.4639999999999998E-6</v>
      </c>
      <c r="K118" s="23">
        <v>1.53</v>
      </c>
      <c r="L118" s="23">
        <v>1.53</v>
      </c>
      <c r="M118" s="23">
        <v>6.43E-3</v>
      </c>
      <c r="N118" s="23">
        <v>6.4200000000000004E-3</v>
      </c>
      <c r="O118" s="23">
        <v>2.0000000000000002E-5</v>
      </c>
      <c r="P118" s="23">
        <v>1.6879999999999998E-5</v>
      </c>
      <c r="Q118" s="23">
        <v>1.192E-4</v>
      </c>
      <c r="R118" s="23">
        <v>2.0939999999999999</v>
      </c>
    </row>
    <row r="119" spans="2:18" x14ac:dyDescent="0.25">
      <c r="B119" s="22">
        <v>258</v>
      </c>
      <c r="C119" s="22" t="s">
        <v>45</v>
      </c>
      <c r="D119" s="22" t="s">
        <v>46</v>
      </c>
      <c r="E119" s="22">
        <v>1</v>
      </c>
      <c r="F119" s="22">
        <v>1.4850000000000001</v>
      </c>
      <c r="G119" s="23">
        <v>1.1559999999999999E-4</v>
      </c>
      <c r="H119" s="23">
        <v>6.2960000000000004E-6</v>
      </c>
      <c r="I119" s="23">
        <v>1.975E-4</v>
      </c>
      <c r="J119" s="23">
        <v>7.9649999999999991E-6</v>
      </c>
      <c r="K119" s="23">
        <v>1.5680000000000001</v>
      </c>
      <c r="L119" s="23">
        <v>1.5680000000000001</v>
      </c>
      <c r="M119" s="23">
        <v>7.0800000000000004E-3</v>
      </c>
      <c r="N119" s="23">
        <v>7.0999999999999995E-3</v>
      </c>
      <c r="O119" s="23">
        <v>2.0000000000000002E-5</v>
      </c>
      <c r="P119" s="23">
        <v>2.2479999999999998E-5</v>
      </c>
      <c r="Q119" s="23">
        <v>8.7289999999999999E-5</v>
      </c>
      <c r="R119" s="23">
        <v>2.105</v>
      </c>
    </row>
    <row r="120" spans="2:18" x14ac:dyDescent="0.25">
      <c r="B120" s="22">
        <v>259</v>
      </c>
      <c r="C120" s="22" t="s">
        <v>45</v>
      </c>
      <c r="D120" s="22" t="s">
        <v>46</v>
      </c>
      <c r="E120" s="22">
        <v>1</v>
      </c>
      <c r="F120" s="22">
        <v>1.43</v>
      </c>
      <c r="G120" s="23">
        <v>8.3379999999999991E-5</v>
      </c>
      <c r="H120" s="23">
        <v>3.2429999999999997E-6</v>
      </c>
      <c r="I120" s="23">
        <v>1.5859999999999998E-4</v>
      </c>
      <c r="J120" s="23">
        <v>5.8839999999999999E-6</v>
      </c>
      <c r="K120" s="23">
        <v>1.641</v>
      </c>
      <c r="L120" s="23">
        <v>1.641</v>
      </c>
      <c r="M120" s="23">
        <v>6.3600000000000002E-3</v>
      </c>
      <c r="N120" s="23">
        <v>6.3700000000000007E-3</v>
      </c>
      <c r="O120" s="23">
        <v>3.0000000000000001E-5</v>
      </c>
      <c r="P120" s="23">
        <v>1.7479999999999999E-5</v>
      </c>
      <c r="Q120" s="23">
        <v>8.5409999999999997E-5</v>
      </c>
      <c r="R120" s="23">
        <v>2.149</v>
      </c>
    </row>
    <row r="121" spans="2:18" x14ac:dyDescent="0.25">
      <c r="B121" s="22">
        <v>262</v>
      </c>
      <c r="C121" s="22" t="s">
        <v>45</v>
      </c>
      <c r="D121" s="22" t="s">
        <v>46</v>
      </c>
      <c r="E121" s="22">
        <v>1</v>
      </c>
      <c r="F121" s="22">
        <v>1.5129999999999999</v>
      </c>
      <c r="G121" s="23">
        <v>4.0829999999999994E-5</v>
      </c>
      <c r="H121" s="23">
        <v>1.9069999999999999E-6</v>
      </c>
      <c r="I121" s="23">
        <v>7.2540000000000007E-5</v>
      </c>
      <c r="J121" s="23">
        <v>3.4359999999999998E-6</v>
      </c>
      <c r="K121" s="23">
        <v>1.603</v>
      </c>
      <c r="L121" s="23">
        <v>1.603</v>
      </c>
      <c r="M121" s="23">
        <v>6.4900000000000001E-3</v>
      </c>
      <c r="N121" s="23">
        <v>6.5100000000000002E-3</v>
      </c>
      <c r="O121" s="23">
        <v>2.0000000000000002E-5</v>
      </c>
      <c r="P121" s="23">
        <v>6.277999999999999E-6</v>
      </c>
      <c r="Q121" s="23">
        <v>1.0119999999999999E-4</v>
      </c>
      <c r="R121" s="23">
        <v>1.7949999999999999</v>
      </c>
    </row>
    <row r="122" spans="2:18" x14ac:dyDescent="0.25">
      <c r="B122" s="22">
        <v>263</v>
      </c>
      <c r="C122" s="22" t="s">
        <v>45</v>
      </c>
      <c r="D122" s="22" t="s">
        <v>46</v>
      </c>
      <c r="E122" s="22">
        <v>1</v>
      </c>
      <c r="F122" s="22">
        <v>1.633</v>
      </c>
      <c r="G122" s="23">
        <v>9.8590000000000003E-5</v>
      </c>
      <c r="H122" s="23">
        <v>5.4759999999999997E-6</v>
      </c>
      <c r="I122" s="23">
        <v>1.9219999999999998E-4</v>
      </c>
      <c r="J122" s="23">
        <v>4.3369999999999993E-6</v>
      </c>
      <c r="K122" s="23">
        <v>1.522</v>
      </c>
      <c r="L122" s="23">
        <v>1.522</v>
      </c>
      <c r="M122" s="23">
        <v>7.2000000000000007E-3</v>
      </c>
      <c r="N122" s="23">
        <v>7.2100000000000003E-3</v>
      </c>
      <c r="O122" s="23">
        <v>2.0000000000000002E-5</v>
      </c>
      <c r="P122" s="23">
        <v>2.457E-5</v>
      </c>
      <c r="Q122" s="23">
        <v>1.047E-4</v>
      </c>
      <c r="R122" s="23">
        <v>2.0579999999999998</v>
      </c>
    </row>
    <row r="123" spans="2:18" x14ac:dyDescent="0.25">
      <c r="B123" s="22">
        <v>265</v>
      </c>
      <c r="C123" s="22" t="s">
        <v>45</v>
      </c>
      <c r="D123" s="22" t="s">
        <v>46</v>
      </c>
      <c r="E123" s="22">
        <v>1</v>
      </c>
      <c r="F123" s="22">
        <v>1.4350000000000001</v>
      </c>
      <c r="G123" s="23">
        <v>6.3940000000000001E-5</v>
      </c>
      <c r="H123" s="23">
        <v>6.0379999999999994E-7</v>
      </c>
      <c r="I123" s="23">
        <v>1.3459999999999999E-4</v>
      </c>
      <c r="J123" s="23">
        <v>1.5309999999999998E-6</v>
      </c>
      <c r="K123" s="23">
        <v>1.627</v>
      </c>
      <c r="L123" s="23">
        <v>1.627</v>
      </c>
      <c r="M123" s="23">
        <v>6.5700000000000003E-3</v>
      </c>
      <c r="N123" s="23">
        <v>6.5900000000000004E-3</v>
      </c>
      <c r="O123" s="23">
        <v>2.0000000000000002E-5</v>
      </c>
      <c r="P123" s="23">
        <v>1.136E-5</v>
      </c>
      <c r="Q123" s="23">
        <v>6.2779999999999992E-5</v>
      </c>
      <c r="R123" s="23">
        <v>2.0760000000000001</v>
      </c>
    </row>
    <row r="124" spans="2:18" x14ac:dyDescent="0.25">
      <c r="B124" s="22">
        <v>267</v>
      </c>
      <c r="C124" s="22" t="s">
        <v>45</v>
      </c>
      <c r="D124" s="22" t="s">
        <v>46</v>
      </c>
      <c r="E124" s="22">
        <v>1</v>
      </c>
      <c r="F124" s="22">
        <v>1.3580000000000001</v>
      </c>
      <c r="G124" s="23">
        <v>3.3469999999999996E-5</v>
      </c>
      <c r="H124" s="23">
        <v>7.2900000000000003E-7</v>
      </c>
      <c r="I124" s="23">
        <v>6.5359999999999998E-5</v>
      </c>
      <c r="J124" s="23">
        <v>1.9850000000000001E-6</v>
      </c>
      <c r="K124" s="23">
        <v>1.66</v>
      </c>
      <c r="L124" s="23">
        <v>1.66</v>
      </c>
      <c r="M124" s="23">
        <v>6.3499999999999997E-3</v>
      </c>
      <c r="N124" s="23">
        <v>6.3700000000000007E-3</v>
      </c>
      <c r="O124" s="23">
        <v>2.0000000000000002E-5</v>
      </c>
      <c r="P124" s="23">
        <v>3.6699999999999996E-6</v>
      </c>
      <c r="Q124" s="23">
        <v>3.3579999999999994E-5</v>
      </c>
      <c r="R124" s="23">
        <v>2.1139999999999999</v>
      </c>
    </row>
    <row r="125" spans="2:18" x14ac:dyDescent="0.25">
      <c r="B125" s="22">
        <v>268</v>
      </c>
      <c r="C125" s="22" t="s">
        <v>45</v>
      </c>
      <c r="D125" s="22" t="s">
        <v>46</v>
      </c>
      <c r="E125" s="22">
        <v>1</v>
      </c>
      <c r="F125" s="22">
        <v>1.72</v>
      </c>
      <c r="G125" s="23">
        <v>1.54E-4</v>
      </c>
      <c r="H125" s="23">
        <v>1.0919999999999999E-5</v>
      </c>
      <c r="I125" s="23">
        <v>2.697E-4</v>
      </c>
      <c r="J125" s="23">
        <v>1.1039999999999999E-5</v>
      </c>
      <c r="K125" s="23">
        <v>1.484</v>
      </c>
      <c r="L125" s="23">
        <v>1.484</v>
      </c>
      <c r="M125" s="23">
        <v>7.3700000000000007E-3</v>
      </c>
      <c r="N125" s="23">
        <v>7.4400000000000004E-3</v>
      </c>
      <c r="O125" s="23">
        <v>2.0000000000000002E-5</v>
      </c>
      <c r="P125" s="23">
        <v>2.3649999999999999E-5</v>
      </c>
      <c r="Q125" s="23">
        <v>1.55E-4</v>
      </c>
      <c r="R125" s="23">
        <v>2.02</v>
      </c>
    </row>
    <row r="126" spans="2:18" x14ac:dyDescent="0.25">
      <c r="B126" s="22">
        <v>269</v>
      </c>
      <c r="C126" s="22" t="s">
        <v>45</v>
      </c>
      <c r="D126" s="22" t="s">
        <v>46</v>
      </c>
      <c r="E126" s="22">
        <v>1</v>
      </c>
      <c r="F126" s="22">
        <v>1.837</v>
      </c>
      <c r="G126" s="23">
        <v>6.9549999999999996E-5</v>
      </c>
      <c r="H126" s="23">
        <v>4.143E-6</v>
      </c>
      <c r="I126" s="23">
        <v>1.2959999999999998E-4</v>
      </c>
      <c r="J126" s="23">
        <v>6.2759999999999997E-6</v>
      </c>
      <c r="K126" s="23">
        <v>1.514</v>
      </c>
      <c r="L126" s="23">
        <v>1.514</v>
      </c>
      <c r="M126" s="23">
        <v>6.1100000000000008E-3</v>
      </c>
      <c r="N126" s="23">
        <v>6.1399999999999996E-3</v>
      </c>
      <c r="O126" s="23">
        <v>2.0000000000000002E-5</v>
      </c>
      <c r="P126" s="23">
        <v>1.238E-5</v>
      </c>
      <c r="Q126" s="23">
        <v>7.2109999999999999E-5</v>
      </c>
      <c r="R126" s="23">
        <v>2.125</v>
      </c>
    </row>
  </sheetData>
  <sheetProtection algorithmName="SHA-512" hashValue="qk6cCLnSaJANLaQnS7Zlg7Y9jmNwTzVOjguMc/2whJoxCO5VAKByVFCtiPwTSr3hsVrKmx/jIbyr/s9vsPxHBQ==" saltValue="GFBwchzAc1jYZMUJqWSXWg==" spinCount="100000" sheet="1" objects="1" scenarios="1" sort="0" autoFilter="0"/>
  <autoFilter ref="A10:R126" xr:uid="{0B1C2CAC-3908-43D1-ACC8-E26A6AD65E5F}"/>
  <mergeCells count="13">
    <mergeCell ref="A1:F1"/>
    <mergeCell ref="K1:L1"/>
    <mergeCell ref="M1:N1"/>
    <mergeCell ref="A2:B2"/>
    <mergeCell ref="C2:D2"/>
    <mergeCell ref="E2:F2"/>
    <mergeCell ref="H2:R2"/>
    <mergeCell ref="A3:B3"/>
    <mergeCell ref="C3:D3"/>
    <mergeCell ref="E3:F3"/>
    <mergeCell ref="H3:R3"/>
    <mergeCell ref="A4:G4"/>
    <mergeCell ref="H4:R4"/>
  </mergeCells>
  <conditionalFormatting sqref="A11:A79">
    <cfRule type="duplicateValues" dxfId="34" priority="11"/>
  </conditionalFormatting>
  <conditionalFormatting sqref="A3:G3">
    <cfRule type="cellIs" dxfId="33" priority="1" operator="equal">
      <formula>0</formula>
    </cfRule>
  </conditionalFormatting>
  <conditionalFormatting sqref="B10">
    <cfRule type="cellIs" dxfId="32" priority="10" operator="equal">
      <formula>"All Pass"</formula>
    </cfRule>
  </conditionalFormatting>
  <conditionalFormatting sqref="B11:B79">
    <cfRule type="duplicateValues" dxfId="31" priority="12"/>
  </conditionalFormatting>
  <conditionalFormatting sqref="C11:C1874">
    <cfRule type="containsBlanks" dxfId="30" priority="6">
      <formula>LEN(TRIM(C11))=0</formula>
    </cfRule>
    <cfRule type="cellIs" dxfId="29" priority="7" operator="equal">
      <formula>"ALL PASS"</formula>
    </cfRule>
    <cfRule type="cellIs" dxfId="28" priority="8" stopIfTrue="1" operator="equal">
      <formula>"ND"</formula>
    </cfRule>
    <cfRule type="cellIs" dxfId="27" priority="9" operator="notEqual">
      <formula>"ALL PASS"</formula>
    </cfRule>
  </conditionalFormatting>
  <conditionalFormatting sqref="E11:E1874">
    <cfRule type="cellIs" dxfId="26" priority="3" stopIfTrue="1" operator="equal">
      <formula>99</formula>
    </cfRule>
    <cfRule type="cellIs" dxfId="25" priority="4" operator="between">
      <formula>2</formula>
      <formula>98</formula>
    </cfRule>
    <cfRule type="cellIs" dxfId="24" priority="5" operator="equal">
      <formula>1</formula>
    </cfRule>
  </conditionalFormatting>
  <conditionalFormatting sqref="O1:R1">
    <cfRule type="containsBlanks" dxfId="23" priority="2">
      <formula>LEN(TRIM(O1))=0</formula>
    </cfRule>
  </conditionalFormatting>
  <hyperlinks>
    <hyperlink ref="H1" location="INDEX!A1" display="RETURN TO INDEX" xr:uid="{B57B22E1-BC22-4906-9120-E9A3565AD4E4}"/>
    <hyperlink ref="H1:I1" location="INDEX!A1" display="RETURN TO INDEX" xr:uid="{D9E6FDF5-9AD3-4CC9-9CE4-364895B8FE8A}"/>
    <hyperlink ref="M1" location="'SCREENING STATUS'!A1" display="SCREENING STATUS" xr:uid="{3395C7AD-B68B-4412-A55D-341403E94846}"/>
    <hyperlink ref="J1" location="SUMMARY!A1" display="SUMMARY" xr:uid="{D7F6FFEA-E683-4785-BF52-09F56739B38B}"/>
    <hyperlink ref="K1" location="'SCREENING STATUS'!A1" display="SCREENING STATUS" xr:uid="{0832DFCC-69A5-415E-B2B4-86628D64D85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3159-8BBB-4E85-9341-307A996C9489}">
  <sheetPr>
    <tabColor theme="4" tint="-0.249977111117893"/>
  </sheetPr>
  <dimension ref="A1:H129"/>
  <sheetViews>
    <sheetView zoomScale="95" zoomScaleNormal="95" workbookViewId="0">
      <pane xSplit="3" ySplit="13" topLeftCell="D14" activePane="bottomRight" state="frozen"/>
      <selection sqref="A1:E1"/>
      <selection pane="topRight" sqref="A1:E1"/>
      <selection pane="bottomLeft" sqref="A1:E1"/>
      <selection pane="bottomRight" sqref="A1:G1"/>
    </sheetView>
  </sheetViews>
  <sheetFormatPr defaultColWidth="0" defaultRowHeight="15" zeroHeight="1" x14ac:dyDescent="0.25"/>
  <cols>
    <col min="1" max="1" width="18.85546875" customWidth="1"/>
    <col min="2" max="2" width="12.28515625" style="6" customWidth="1"/>
    <col min="3" max="3" width="13.5703125" style="6" customWidth="1"/>
    <col min="4" max="4" width="5.5703125" style="6" customWidth="1"/>
    <col min="5" max="5" width="3.85546875" style="6" customWidth="1"/>
    <col min="6" max="7" width="18.85546875" customWidth="1"/>
    <col min="8" max="8" width="30.42578125" customWidth="1"/>
  </cols>
  <sheetData>
    <row r="1" spans="1:8" ht="24" x14ac:dyDescent="0.25">
      <c r="A1" s="78" t="s">
        <v>47</v>
      </c>
      <c r="B1" s="78"/>
      <c r="C1" s="78"/>
      <c r="D1" s="84" t="s">
        <v>1</v>
      </c>
      <c r="E1" s="84"/>
      <c r="F1" s="84"/>
      <c r="G1" s="84"/>
      <c r="H1" s="3" t="s">
        <v>2</v>
      </c>
    </row>
    <row r="2" spans="1:8" ht="15.75" x14ac:dyDescent="0.25">
      <c r="A2" s="73" t="s">
        <v>100</v>
      </c>
      <c r="B2" s="73"/>
      <c r="C2" s="73" t="s">
        <v>101</v>
      </c>
      <c r="D2" s="73"/>
      <c r="E2" s="73" t="s">
        <v>102</v>
      </c>
      <c r="F2" s="73"/>
      <c r="G2" s="7" t="s">
        <v>103</v>
      </c>
      <c r="H2" s="7"/>
    </row>
    <row r="3" spans="1:8" ht="23.25" customHeight="1" x14ac:dyDescent="0.25">
      <c r="A3" s="85" t="s">
        <v>104</v>
      </c>
      <c r="B3" s="85"/>
      <c r="C3" s="85" t="s">
        <v>104</v>
      </c>
      <c r="D3" s="85"/>
      <c r="E3" s="85" t="s">
        <v>105</v>
      </c>
      <c r="F3" s="85"/>
      <c r="G3" s="38">
        <v>2406</v>
      </c>
      <c r="H3" s="7"/>
    </row>
    <row r="4" spans="1:8" ht="24" x14ac:dyDescent="0.25">
      <c r="A4" s="80" t="s">
        <v>68</v>
      </c>
      <c r="B4" s="81"/>
      <c r="C4" s="81"/>
      <c r="D4" s="81"/>
      <c r="E4" s="81"/>
      <c r="F4" s="81"/>
      <c r="G4" s="81"/>
      <c r="H4" s="81"/>
    </row>
    <row r="5" spans="1:8" ht="24" x14ac:dyDescent="0.25">
      <c r="A5" s="74" t="s">
        <v>69</v>
      </c>
      <c r="B5" s="75"/>
      <c r="C5" s="75"/>
      <c r="D5" s="75"/>
      <c r="E5" s="75"/>
      <c r="F5" s="75"/>
      <c r="G5" s="75"/>
      <c r="H5" s="75"/>
    </row>
    <row r="6" spans="1:8" ht="24" x14ac:dyDescent="0.25">
      <c r="A6" s="74" t="s">
        <v>8</v>
      </c>
      <c r="B6" s="75"/>
      <c r="C6" s="75"/>
      <c r="D6" s="75"/>
      <c r="E6" s="75"/>
      <c r="F6" s="75"/>
      <c r="G6" s="75"/>
      <c r="H6" s="75"/>
    </row>
    <row r="7" spans="1:8" ht="24" x14ac:dyDescent="0.4">
      <c r="A7" s="82" t="str">
        <f>IF($B$8=$B$9,"PASS","FAIL")</f>
        <v>PASS</v>
      </c>
      <c r="B7" s="83"/>
      <c r="C7" s="83"/>
      <c r="D7" s="83"/>
      <c r="E7" s="83"/>
      <c r="F7" s="83"/>
      <c r="G7" s="83"/>
      <c r="H7" s="83"/>
    </row>
    <row r="8" spans="1:8" x14ac:dyDescent="0.25">
      <c r="A8" s="8" t="s">
        <v>9</v>
      </c>
      <c r="B8" s="9">
        <f>COUNTA(C$14:C$2000)-COUNTIF(C14:C$2000,"ND")</f>
        <v>116</v>
      </c>
      <c r="C8" s="10"/>
      <c r="D8" s="11"/>
      <c r="E8" s="11"/>
      <c r="F8" s="12"/>
      <c r="G8" s="12"/>
      <c r="H8" s="13"/>
    </row>
    <row r="9" spans="1:8" x14ac:dyDescent="0.25">
      <c r="A9" s="14" t="s">
        <v>10</v>
      </c>
      <c r="B9" s="15">
        <f>COUNTIF(C14:C$2000,"All Pass")</f>
        <v>116</v>
      </c>
      <c r="C9" s="16"/>
      <c r="D9" s="16"/>
      <c r="E9" s="16"/>
      <c r="F9" s="17" t="s">
        <v>11</v>
      </c>
      <c r="G9" s="17" t="s">
        <v>70</v>
      </c>
      <c r="H9" s="18" t="s">
        <v>71</v>
      </c>
    </row>
    <row r="10" spans="1:8" x14ac:dyDescent="0.25">
      <c r="A10" s="14" t="s">
        <v>20</v>
      </c>
      <c r="B10" s="15">
        <f>COUNTIF(C14:C$2000,"ND")</f>
        <v>0</v>
      </c>
      <c r="C10" s="16"/>
      <c r="D10" s="16"/>
      <c r="E10" s="16"/>
      <c r="F10" s="17" t="s">
        <v>21</v>
      </c>
      <c r="G10" s="17" t="s">
        <v>25</v>
      </c>
      <c r="H10" s="18" t="s">
        <v>26</v>
      </c>
    </row>
    <row r="11" spans="1:8" x14ac:dyDescent="0.25">
      <c r="A11" s="14" t="s">
        <v>28</v>
      </c>
      <c r="B11" s="15">
        <f>B8-B9</f>
        <v>0</v>
      </c>
      <c r="C11" s="16"/>
      <c r="D11" s="16"/>
      <c r="E11" s="16"/>
      <c r="F11" s="17" t="s">
        <v>29</v>
      </c>
      <c r="G11" s="17" t="s">
        <v>34</v>
      </c>
      <c r="H11" s="18" t="s">
        <v>72</v>
      </c>
    </row>
    <row r="12" spans="1:8" x14ac:dyDescent="0.25">
      <c r="A12" s="16" t="s">
        <v>38</v>
      </c>
      <c r="B12" s="16" t="s">
        <v>39</v>
      </c>
      <c r="C12" s="16" t="s">
        <v>40</v>
      </c>
      <c r="D12" s="16" t="s">
        <v>41</v>
      </c>
      <c r="E12" s="16" t="s">
        <v>42</v>
      </c>
      <c r="F12" s="17" t="s">
        <v>73</v>
      </c>
      <c r="G12" s="17"/>
      <c r="H12" s="19"/>
    </row>
    <row r="13" spans="1:8" x14ac:dyDescent="0.25">
      <c r="A13" s="29"/>
      <c r="B13" s="30"/>
      <c r="C13" s="31"/>
      <c r="D13" s="31"/>
      <c r="E13" s="32"/>
      <c r="F13" s="33"/>
      <c r="G13" s="34"/>
      <c r="H13" s="35"/>
    </row>
    <row r="14" spans="1:8" x14ac:dyDescent="0.25">
      <c r="B14" s="22">
        <v>1</v>
      </c>
      <c r="C14" s="22" t="s">
        <v>45</v>
      </c>
      <c r="D14" s="22"/>
      <c r="E14" s="22">
        <v>1</v>
      </c>
      <c r="F14" s="22">
        <v>2.9569999999999999</v>
      </c>
      <c r="G14" s="23">
        <v>1.5720000000000001</v>
      </c>
      <c r="H14" s="23">
        <v>1.5720000000000001</v>
      </c>
    </row>
    <row r="15" spans="1:8" x14ac:dyDescent="0.25">
      <c r="B15" s="22">
        <v>2</v>
      </c>
      <c r="C15" s="22" t="s">
        <v>45</v>
      </c>
      <c r="D15" s="22"/>
      <c r="E15" s="22">
        <v>1</v>
      </c>
      <c r="F15" s="22">
        <v>2.8450000000000002</v>
      </c>
      <c r="G15" s="23">
        <v>1.5649999999999999</v>
      </c>
      <c r="H15" s="23">
        <v>1.5649999999999999</v>
      </c>
    </row>
    <row r="16" spans="1:8" x14ac:dyDescent="0.25">
      <c r="B16" s="22">
        <v>3</v>
      </c>
      <c r="C16" s="22" t="s">
        <v>45</v>
      </c>
      <c r="D16" s="22"/>
      <c r="E16" s="22">
        <v>1</v>
      </c>
      <c r="F16" s="22">
        <v>2.99</v>
      </c>
      <c r="G16" s="23">
        <v>1.5960000000000001</v>
      </c>
      <c r="H16" s="23">
        <v>1.5960000000000001</v>
      </c>
    </row>
    <row r="17" spans="2:8" x14ac:dyDescent="0.25">
      <c r="B17" s="22">
        <v>4</v>
      </c>
      <c r="C17" s="22" t="s">
        <v>45</v>
      </c>
      <c r="D17" s="22"/>
      <c r="E17" s="22">
        <v>1</v>
      </c>
      <c r="F17" s="22">
        <v>2.968</v>
      </c>
      <c r="G17" s="23">
        <v>1.571</v>
      </c>
      <c r="H17" s="23">
        <v>1.571</v>
      </c>
    </row>
    <row r="18" spans="2:8" x14ac:dyDescent="0.25">
      <c r="B18" s="22">
        <v>7</v>
      </c>
      <c r="C18" s="22" t="s">
        <v>45</v>
      </c>
      <c r="D18" s="22"/>
      <c r="E18" s="22">
        <v>1</v>
      </c>
      <c r="F18" s="22">
        <v>2.9860000000000002</v>
      </c>
      <c r="G18" s="23">
        <v>1.56</v>
      </c>
      <c r="H18" s="23">
        <v>1.56</v>
      </c>
    </row>
    <row r="19" spans="2:8" x14ac:dyDescent="0.25">
      <c r="B19" s="22">
        <v>8</v>
      </c>
      <c r="C19" s="22" t="s">
        <v>45</v>
      </c>
      <c r="D19" s="22"/>
      <c r="E19" s="22">
        <v>1</v>
      </c>
      <c r="F19" s="22">
        <v>2.8519999999999999</v>
      </c>
      <c r="G19" s="23">
        <v>1.6439999999999999</v>
      </c>
      <c r="H19" s="23">
        <v>1.6439999999999999</v>
      </c>
    </row>
    <row r="20" spans="2:8" x14ac:dyDescent="0.25">
      <c r="B20" s="22">
        <v>9</v>
      </c>
      <c r="C20" s="22" t="s">
        <v>45</v>
      </c>
      <c r="D20" s="22"/>
      <c r="E20" s="22">
        <v>1</v>
      </c>
      <c r="F20" s="22">
        <v>2.8730000000000002</v>
      </c>
      <c r="G20" s="23">
        <v>1.6359999999999999</v>
      </c>
      <c r="H20" s="23">
        <v>1.6359999999999999</v>
      </c>
    </row>
    <row r="21" spans="2:8" x14ac:dyDescent="0.25">
      <c r="B21" s="22">
        <v>11</v>
      </c>
      <c r="C21" s="22" t="s">
        <v>45</v>
      </c>
      <c r="D21" s="22"/>
      <c r="E21" s="22">
        <v>1</v>
      </c>
      <c r="F21" s="22">
        <v>2.9009999999999998</v>
      </c>
      <c r="G21" s="23">
        <v>1.5429999999999999</v>
      </c>
      <c r="H21" s="23">
        <v>1.5429999999999999</v>
      </c>
    </row>
    <row r="22" spans="2:8" x14ac:dyDescent="0.25">
      <c r="B22" s="22">
        <v>12</v>
      </c>
      <c r="C22" s="22" t="s">
        <v>45</v>
      </c>
      <c r="D22" s="22"/>
      <c r="E22" s="22">
        <v>1</v>
      </c>
      <c r="F22" s="22">
        <v>3.008</v>
      </c>
      <c r="G22" s="23">
        <v>1.552</v>
      </c>
      <c r="H22" s="23">
        <v>1.552</v>
      </c>
    </row>
    <row r="23" spans="2:8" x14ac:dyDescent="0.25">
      <c r="B23" s="22">
        <v>13</v>
      </c>
      <c r="C23" s="22" t="s">
        <v>45</v>
      </c>
      <c r="D23" s="22"/>
      <c r="E23" s="22">
        <v>1</v>
      </c>
      <c r="F23" s="22">
        <v>2.879</v>
      </c>
      <c r="G23" s="23">
        <v>1.61</v>
      </c>
      <c r="H23" s="23">
        <v>1.61</v>
      </c>
    </row>
    <row r="24" spans="2:8" x14ac:dyDescent="0.25">
      <c r="B24" s="22">
        <v>15</v>
      </c>
      <c r="C24" s="22" t="s">
        <v>45</v>
      </c>
      <c r="D24" s="22"/>
      <c r="E24" s="22">
        <v>1</v>
      </c>
      <c r="F24" s="22">
        <v>2.9849999999999999</v>
      </c>
      <c r="G24" s="23">
        <v>1.625</v>
      </c>
      <c r="H24" s="23">
        <v>1.625</v>
      </c>
    </row>
    <row r="25" spans="2:8" x14ac:dyDescent="0.25">
      <c r="B25" s="22">
        <v>16</v>
      </c>
      <c r="C25" s="22" t="s">
        <v>45</v>
      </c>
      <c r="D25" s="22"/>
      <c r="E25" s="22">
        <v>1</v>
      </c>
      <c r="F25" s="22">
        <v>2.9430000000000001</v>
      </c>
      <c r="G25" s="23">
        <v>1.5860000000000001</v>
      </c>
      <c r="H25" s="23">
        <v>1.5860000000000001</v>
      </c>
    </row>
    <row r="26" spans="2:8" x14ac:dyDescent="0.25">
      <c r="B26" s="22">
        <v>17</v>
      </c>
      <c r="C26" s="22" t="s">
        <v>45</v>
      </c>
      <c r="D26" s="22"/>
      <c r="E26" s="22">
        <v>1</v>
      </c>
      <c r="F26" s="22">
        <v>2.8439999999999999</v>
      </c>
      <c r="G26" s="23">
        <v>1.5549999999999999</v>
      </c>
      <c r="H26" s="23">
        <v>1.5549999999999999</v>
      </c>
    </row>
    <row r="27" spans="2:8" x14ac:dyDescent="0.25">
      <c r="B27" s="22">
        <v>19</v>
      </c>
      <c r="C27" s="22" t="s">
        <v>45</v>
      </c>
      <c r="D27" s="22"/>
      <c r="E27" s="22">
        <v>1</v>
      </c>
      <c r="F27" s="22">
        <v>3.0550000000000002</v>
      </c>
      <c r="G27" s="23">
        <v>1.552</v>
      </c>
      <c r="H27" s="23">
        <v>1.552</v>
      </c>
    </row>
    <row r="28" spans="2:8" x14ac:dyDescent="0.25">
      <c r="B28" s="22">
        <v>21</v>
      </c>
      <c r="C28" s="22" t="s">
        <v>45</v>
      </c>
      <c r="D28" s="22"/>
      <c r="E28" s="22">
        <v>1</v>
      </c>
      <c r="F28" s="22">
        <v>2.669</v>
      </c>
      <c r="G28" s="23">
        <v>1.585</v>
      </c>
      <c r="H28" s="23">
        <v>1.585</v>
      </c>
    </row>
    <row r="29" spans="2:8" x14ac:dyDescent="0.25">
      <c r="B29" s="22">
        <v>22</v>
      </c>
      <c r="C29" s="22" t="s">
        <v>45</v>
      </c>
      <c r="D29" s="22"/>
      <c r="E29" s="22">
        <v>1</v>
      </c>
      <c r="F29" s="22">
        <v>2.9649999999999999</v>
      </c>
      <c r="G29" s="23">
        <v>1.5580000000000001</v>
      </c>
      <c r="H29" s="23">
        <v>1.5580000000000001</v>
      </c>
    </row>
    <row r="30" spans="2:8" x14ac:dyDescent="0.25">
      <c r="B30" s="22">
        <v>27</v>
      </c>
      <c r="C30" s="22" t="s">
        <v>45</v>
      </c>
      <c r="D30" s="22"/>
      <c r="E30" s="22">
        <v>1</v>
      </c>
      <c r="F30" s="22">
        <v>2.9510000000000001</v>
      </c>
      <c r="G30" s="23">
        <v>1.587</v>
      </c>
      <c r="H30" s="23">
        <v>1.587</v>
      </c>
    </row>
    <row r="31" spans="2:8" x14ac:dyDescent="0.25">
      <c r="B31" s="22">
        <v>28</v>
      </c>
      <c r="C31" s="22" t="s">
        <v>45</v>
      </c>
      <c r="D31" s="22"/>
      <c r="E31" s="22">
        <v>1</v>
      </c>
      <c r="F31" s="22">
        <v>2.7719999999999998</v>
      </c>
      <c r="G31" s="23">
        <v>1.5720000000000001</v>
      </c>
      <c r="H31" s="23">
        <v>1.5720000000000001</v>
      </c>
    </row>
    <row r="32" spans="2:8" x14ac:dyDescent="0.25">
      <c r="B32" s="22">
        <v>29</v>
      </c>
      <c r="C32" s="22" t="s">
        <v>45</v>
      </c>
      <c r="D32" s="22"/>
      <c r="E32" s="22">
        <v>1</v>
      </c>
      <c r="F32" s="22">
        <v>2.9020000000000001</v>
      </c>
      <c r="G32" s="23">
        <v>1.583</v>
      </c>
      <c r="H32" s="23">
        <v>1.583</v>
      </c>
    </row>
    <row r="33" spans="2:8" x14ac:dyDescent="0.25">
      <c r="B33" s="22">
        <v>32</v>
      </c>
      <c r="C33" s="22" t="s">
        <v>45</v>
      </c>
      <c r="D33" s="22"/>
      <c r="E33" s="22">
        <v>1</v>
      </c>
      <c r="F33" s="22">
        <v>2.9409999999999998</v>
      </c>
      <c r="G33" s="23">
        <v>1.5629999999999999</v>
      </c>
      <c r="H33" s="23">
        <v>1.5629999999999999</v>
      </c>
    </row>
    <row r="34" spans="2:8" x14ac:dyDescent="0.25">
      <c r="B34" s="22">
        <v>33</v>
      </c>
      <c r="C34" s="22" t="s">
        <v>45</v>
      </c>
      <c r="D34" s="22"/>
      <c r="E34" s="22">
        <v>1</v>
      </c>
      <c r="F34" s="22">
        <v>2.9609999999999999</v>
      </c>
      <c r="G34" s="23">
        <v>1.5720000000000001</v>
      </c>
      <c r="H34" s="23">
        <v>1.5720000000000001</v>
      </c>
    </row>
    <row r="35" spans="2:8" x14ac:dyDescent="0.25">
      <c r="B35" s="22">
        <v>35</v>
      </c>
      <c r="C35" s="22" t="s">
        <v>45</v>
      </c>
      <c r="D35" s="22"/>
      <c r="E35" s="22">
        <v>1</v>
      </c>
      <c r="F35" s="22">
        <v>2.8370000000000002</v>
      </c>
      <c r="G35" s="23">
        <v>1.5820000000000001</v>
      </c>
      <c r="H35" s="23">
        <v>1.5820000000000001</v>
      </c>
    </row>
    <row r="36" spans="2:8" x14ac:dyDescent="0.25">
      <c r="B36" s="22">
        <v>36</v>
      </c>
      <c r="C36" s="22" t="s">
        <v>45</v>
      </c>
      <c r="D36" s="22"/>
      <c r="E36" s="22">
        <v>1</v>
      </c>
      <c r="F36" s="22">
        <v>2.883</v>
      </c>
      <c r="G36" s="23">
        <v>1.512</v>
      </c>
      <c r="H36" s="23">
        <v>1.512</v>
      </c>
    </row>
    <row r="37" spans="2:8" x14ac:dyDescent="0.25">
      <c r="B37" s="22">
        <v>37</v>
      </c>
      <c r="C37" s="22" t="s">
        <v>45</v>
      </c>
      <c r="D37" s="22"/>
      <c r="E37" s="22">
        <v>1</v>
      </c>
      <c r="F37" s="22">
        <v>2.8820000000000001</v>
      </c>
      <c r="G37" s="23">
        <v>1.6080000000000001</v>
      </c>
      <c r="H37" s="23">
        <v>1.6080000000000001</v>
      </c>
    </row>
    <row r="38" spans="2:8" x14ac:dyDescent="0.25">
      <c r="B38" s="22">
        <v>41</v>
      </c>
      <c r="C38" s="22" t="s">
        <v>45</v>
      </c>
      <c r="D38" s="22"/>
      <c r="E38" s="22">
        <v>1</v>
      </c>
      <c r="F38" s="22">
        <v>2.9319999999999999</v>
      </c>
      <c r="G38" s="23">
        <v>1.671</v>
      </c>
      <c r="H38" s="23">
        <v>1.671</v>
      </c>
    </row>
    <row r="39" spans="2:8" x14ac:dyDescent="0.25">
      <c r="B39" s="22">
        <v>42</v>
      </c>
      <c r="C39" s="22" t="s">
        <v>45</v>
      </c>
      <c r="D39" s="22"/>
      <c r="E39" s="22">
        <v>1</v>
      </c>
      <c r="F39" s="22">
        <v>2.863</v>
      </c>
      <c r="G39" s="23">
        <v>1.5089999999999999</v>
      </c>
      <c r="H39" s="23">
        <v>1.5089999999999999</v>
      </c>
    </row>
    <row r="40" spans="2:8" x14ac:dyDescent="0.25">
      <c r="B40" s="22">
        <v>43</v>
      </c>
      <c r="C40" s="22" t="s">
        <v>45</v>
      </c>
      <c r="D40" s="22"/>
      <c r="E40" s="22">
        <v>1</v>
      </c>
      <c r="F40" s="22">
        <v>3.0049999999999999</v>
      </c>
      <c r="G40" s="23">
        <v>1.5920000000000001</v>
      </c>
      <c r="H40" s="23">
        <v>1.5920000000000001</v>
      </c>
    </row>
    <row r="41" spans="2:8" x14ac:dyDescent="0.25">
      <c r="B41" s="22">
        <v>44</v>
      </c>
      <c r="C41" s="22" t="s">
        <v>45</v>
      </c>
      <c r="D41" s="22"/>
      <c r="E41" s="22">
        <v>1</v>
      </c>
      <c r="F41" s="22">
        <v>2.9470000000000001</v>
      </c>
      <c r="G41" s="23">
        <v>1.6220000000000001</v>
      </c>
      <c r="H41" s="23">
        <v>1.6220000000000001</v>
      </c>
    </row>
    <row r="42" spans="2:8" x14ac:dyDescent="0.25">
      <c r="B42" s="22">
        <v>48</v>
      </c>
      <c r="C42" s="22" t="s">
        <v>45</v>
      </c>
      <c r="D42" s="22"/>
      <c r="E42" s="22">
        <v>1</v>
      </c>
      <c r="F42" s="22">
        <v>2.9790000000000001</v>
      </c>
      <c r="G42" s="23">
        <v>1.5649999999999999</v>
      </c>
      <c r="H42" s="23">
        <v>1.5649999999999999</v>
      </c>
    </row>
    <row r="43" spans="2:8" x14ac:dyDescent="0.25">
      <c r="B43" s="22">
        <v>49</v>
      </c>
      <c r="C43" s="22" t="s">
        <v>45</v>
      </c>
      <c r="D43" s="22"/>
      <c r="E43" s="22">
        <v>1</v>
      </c>
      <c r="F43" s="22">
        <v>2.9079999999999999</v>
      </c>
      <c r="G43" s="23">
        <v>1.5669999999999999</v>
      </c>
      <c r="H43" s="23">
        <v>1.5669999999999999</v>
      </c>
    </row>
    <row r="44" spans="2:8" x14ac:dyDescent="0.25">
      <c r="B44" s="22">
        <v>50</v>
      </c>
      <c r="C44" s="22" t="s">
        <v>45</v>
      </c>
      <c r="D44" s="22"/>
      <c r="E44" s="22">
        <v>1</v>
      </c>
      <c r="F44" s="22">
        <v>2.8940000000000001</v>
      </c>
      <c r="G44" s="23">
        <v>1.5680000000000001</v>
      </c>
      <c r="H44" s="23">
        <v>1.5680000000000001</v>
      </c>
    </row>
    <row r="45" spans="2:8" x14ac:dyDescent="0.25">
      <c r="B45" s="22">
        <v>51</v>
      </c>
      <c r="C45" s="22" t="s">
        <v>45</v>
      </c>
      <c r="D45" s="22"/>
      <c r="E45" s="22">
        <v>1</v>
      </c>
      <c r="F45" s="22">
        <v>3.0590000000000002</v>
      </c>
      <c r="G45" s="23">
        <v>1.639</v>
      </c>
      <c r="H45" s="23">
        <v>1.639</v>
      </c>
    </row>
    <row r="46" spans="2:8" x14ac:dyDescent="0.25">
      <c r="B46" s="22">
        <v>52</v>
      </c>
      <c r="C46" s="22" t="s">
        <v>45</v>
      </c>
      <c r="D46" s="22"/>
      <c r="E46" s="22">
        <v>1</v>
      </c>
      <c r="F46" s="22">
        <v>2.8450000000000002</v>
      </c>
      <c r="G46" s="23">
        <v>1.647</v>
      </c>
      <c r="H46" s="23">
        <v>1.647</v>
      </c>
    </row>
    <row r="47" spans="2:8" x14ac:dyDescent="0.25">
      <c r="B47" s="22">
        <v>53</v>
      </c>
      <c r="C47" s="22" t="s">
        <v>45</v>
      </c>
      <c r="D47" s="22"/>
      <c r="E47" s="22">
        <v>1</v>
      </c>
      <c r="F47" s="22">
        <v>2.8420000000000001</v>
      </c>
      <c r="G47" s="23">
        <v>1.591</v>
      </c>
      <c r="H47" s="23">
        <v>1.591</v>
      </c>
    </row>
    <row r="48" spans="2:8" x14ac:dyDescent="0.25">
      <c r="B48" s="22">
        <v>54</v>
      </c>
      <c r="C48" s="22" t="s">
        <v>45</v>
      </c>
      <c r="D48" s="22"/>
      <c r="E48" s="22">
        <v>1</v>
      </c>
      <c r="F48" s="22">
        <v>2.9830000000000001</v>
      </c>
      <c r="G48" s="23">
        <v>1.5820000000000001</v>
      </c>
      <c r="H48" s="23">
        <v>1.5820000000000001</v>
      </c>
    </row>
    <row r="49" spans="2:8" x14ac:dyDescent="0.25">
      <c r="B49" s="22">
        <v>55</v>
      </c>
      <c r="C49" s="22" t="s">
        <v>45</v>
      </c>
      <c r="D49" s="22"/>
      <c r="E49" s="22">
        <v>1</v>
      </c>
      <c r="F49" s="22">
        <v>2.8149999999999999</v>
      </c>
      <c r="G49" s="23">
        <v>1.5780000000000001</v>
      </c>
      <c r="H49" s="23">
        <v>1.5780000000000001</v>
      </c>
    </row>
    <row r="50" spans="2:8" x14ac:dyDescent="0.25">
      <c r="B50" s="22">
        <v>57</v>
      </c>
      <c r="C50" s="22" t="s">
        <v>45</v>
      </c>
      <c r="D50" s="22"/>
      <c r="E50" s="22">
        <v>1</v>
      </c>
      <c r="F50" s="22">
        <v>2.9750000000000001</v>
      </c>
      <c r="G50" s="23">
        <v>1.526</v>
      </c>
      <c r="H50" s="23">
        <v>1.526</v>
      </c>
    </row>
    <row r="51" spans="2:8" x14ac:dyDescent="0.25">
      <c r="B51" s="22">
        <v>59</v>
      </c>
      <c r="C51" s="22" t="s">
        <v>45</v>
      </c>
      <c r="D51" s="22"/>
      <c r="E51" s="22">
        <v>1</v>
      </c>
      <c r="F51" s="22">
        <v>2.8820000000000001</v>
      </c>
      <c r="G51" s="23">
        <v>1.577</v>
      </c>
      <c r="H51" s="23">
        <v>1.577</v>
      </c>
    </row>
    <row r="52" spans="2:8" x14ac:dyDescent="0.25">
      <c r="B52" s="22">
        <v>60</v>
      </c>
      <c r="C52" s="22" t="s">
        <v>45</v>
      </c>
      <c r="D52" s="22"/>
      <c r="E52" s="22">
        <v>1</v>
      </c>
      <c r="F52" s="22">
        <v>3.02</v>
      </c>
      <c r="G52" s="23">
        <v>1.649</v>
      </c>
      <c r="H52" s="23">
        <v>1.649</v>
      </c>
    </row>
    <row r="53" spans="2:8" x14ac:dyDescent="0.25">
      <c r="B53" s="22">
        <v>61</v>
      </c>
      <c r="C53" s="22" t="s">
        <v>45</v>
      </c>
      <c r="D53" s="22"/>
      <c r="E53" s="22">
        <v>1</v>
      </c>
      <c r="F53" s="22">
        <v>3.048</v>
      </c>
      <c r="G53" s="23">
        <v>1.5549999999999999</v>
      </c>
      <c r="H53" s="23">
        <v>1.5549999999999999</v>
      </c>
    </row>
    <row r="54" spans="2:8" x14ac:dyDescent="0.25">
      <c r="B54" s="22">
        <v>63</v>
      </c>
      <c r="C54" s="22" t="s">
        <v>45</v>
      </c>
      <c r="D54" s="22"/>
      <c r="E54" s="22">
        <v>1</v>
      </c>
      <c r="F54" s="22">
        <v>3</v>
      </c>
      <c r="G54" s="23">
        <v>1.571</v>
      </c>
      <c r="H54" s="23">
        <v>1.571</v>
      </c>
    </row>
    <row r="55" spans="2:8" x14ac:dyDescent="0.25">
      <c r="B55" s="22">
        <v>64</v>
      </c>
      <c r="C55" s="22" t="s">
        <v>45</v>
      </c>
      <c r="D55" s="22"/>
      <c r="E55" s="22">
        <v>1</v>
      </c>
      <c r="F55" s="22">
        <v>3.02</v>
      </c>
      <c r="G55" s="23">
        <v>1.57</v>
      </c>
      <c r="H55" s="23">
        <v>1.57</v>
      </c>
    </row>
    <row r="56" spans="2:8" x14ac:dyDescent="0.25">
      <c r="B56" s="22">
        <v>68</v>
      </c>
      <c r="C56" s="22" t="s">
        <v>45</v>
      </c>
      <c r="D56" s="22"/>
      <c r="E56" s="22">
        <v>1</v>
      </c>
      <c r="F56" s="22">
        <v>2.96</v>
      </c>
      <c r="G56" s="23">
        <v>1.5669999999999999</v>
      </c>
      <c r="H56" s="23">
        <v>1.5669999999999999</v>
      </c>
    </row>
    <row r="57" spans="2:8" x14ac:dyDescent="0.25">
      <c r="B57" s="22">
        <v>69</v>
      </c>
      <c r="C57" s="22" t="s">
        <v>45</v>
      </c>
      <c r="D57" s="22"/>
      <c r="E57" s="22">
        <v>1</v>
      </c>
      <c r="F57" s="22">
        <v>2.8340000000000001</v>
      </c>
      <c r="G57" s="23">
        <v>1.573</v>
      </c>
      <c r="H57" s="23">
        <v>1.573</v>
      </c>
    </row>
    <row r="58" spans="2:8" x14ac:dyDescent="0.25">
      <c r="B58" s="22">
        <v>70</v>
      </c>
      <c r="C58" s="22" t="s">
        <v>45</v>
      </c>
      <c r="D58" s="22"/>
      <c r="E58" s="22">
        <v>1</v>
      </c>
      <c r="F58" s="22">
        <v>3.0179999999999998</v>
      </c>
      <c r="G58" s="23">
        <v>1.5660000000000001</v>
      </c>
      <c r="H58" s="23">
        <v>1.5660000000000001</v>
      </c>
    </row>
    <row r="59" spans="2:8" x14ac:dyDescent="0.25">
      <c r="B59" s="22">
        <v>71</v>
      </c>
      <c r="C59" s="22" t="s">
        <v>45</v>
      </c>
      <c r="D59" s="22"/>
      <c r="E59" s="22">
        <v>1</v>
      </c>
      <c r="F59" s="22">
        <v>2.984</v>
      </c>
      <c r="G59" s="23">
        <v>1.552</v>
      </c>
      <c r="H59" s="23">
        <v>1.552</v>
      </c>
    </row>
    <row r="60" spans="2:8" x14ac:dyDescent="0.25">
      <c r="B60" s="22">
        <v>73</v>
      </c>
      <c r="C60" s="22" t="s">
        <v>45</v>
      </c>
      <c r="D60" s="22"/>
      <c r="E60" s="22">
        <v>1</v>
      </c>
      <c r="F60" s="22">
        <v>2.9849999999999999</v>
      </c>
      <c r="G60" s="23">
        <v>1.601</v>
      </c>
      <c r="H60" s="23">
        <v>1.601</v>
      </c>
    </row>
    <row r="61" spans="2:8" x14ac:dyDescent="0.25">
      <c r="B61" s="22">
        <v>75</v>
      </c>
      <c r="C61" s="22" t="s">
        <v>45</v>
      </c>
      <c r="D61" s="22"/>
      <c r="E61" s="22">
        <v>1</v>
      </c>
      <c r="F61" s="22">
        <v>2.7090000000000001</v>
      </c>
      <c r="G61" s="23">
        <v>1.5780000000000001</v>
      </c>
      <c r="H61" s="23">
        <v>1.5780000000000001</v>
      </c>
    </row>
    <row r="62" spans="2:8" x14ac:dyDescent="0.25">
      <c r="B62" s="22">
        <v>76</v>
      </c>
      <c r="C62" s="22" t="s">
        <v>45</v>
      </c>
      <c r="D62" s="22"/>
      <c r="E62" s="22">
        <v>1</v>
      </c>
      <c r="F62" s="22">
        <v>2.9420000000000002</v>
      </c>
      <c r="G62" s="23">
        <v>1.552</v>
      </c>
      <c r="H62" s="23">
        <v>1.552</v>
      </c>
    </row>
    <row r="63" spans="2:8" x14ac:dyDescent="0.25">
      <c r="B63" s="22">
        <v>77</v>
      </c>
      <c r="C63" s="22" t="s">
        <v>45</v>
      </c>
      <c r="D63" s="22"/>
      <c r="E63" s="22">
        <v>1</v>
      </c>
      <c r="F63" s="22">
        <v>2.9470000000000001</v>
      </c>
      <c r="G63" s="23">
        <v>1.5549999999999999</v>
      </c>
      <c r="H63" s="23">
        <v>1.5549999999999999</v>
      </c>
    </row>
    <row r="64" spans="2:8" x14ac:dyDescent="0.25">
      <c r="B64" s="22">
        <v>78</v>
      </c>
      <c r="C64" s="22" t="s">
        <v>45</v>
      </c>
      <c r="D64" s="22"/>
      <c r="E64" s="22">
        <v>1</v>
      </c>
      <c r="F64" s="22">
        <v>2.8730000000000002</v>
      </c>
      <c r="G64" s="23">
        <v>1.5640000000000001</v>
      </c>
      <c r="H64" s="23">
        <v>1.5640000000000001</v>
      </c>
    </row>
    <row r="65" spans="2:8" x14ac:dyDescent="0.25">
      <c r="B65" s="22">
        <v>79</v>
      </c>
      <c r="C65" s="22" t="s">
        <v>45</v>
      </c>
      <c r="D65" s="22"/>
      <c r="E65" s="22">
        <v>1</v>
      </c>
      <c r="F65" s="22">
        <v>2.8410000000000002</v>
      </c>
      <c r="G65" s="23">
        <v>1.607</v>
      </c>
      <c r="H65" s="23">
        <v>1.607</v>
      </c>
    </row>
    <row r="66" spans="2:8" x14ac:dyDescent="0.25">
      <c r="B66" s="22">
        <v>81</v>
      </c>
      <c r="C66" s="22" t="s">
        <v>45</v>
      </c>
      <c r="D66" s="22"/>
      <c r="E66" s="22">
        <v>1</v>
      </c>
      <c r="F66" s="22">
        <v>3.032</v>
      </c>
      <c r="G66" s="23">
        <v>1.552</v>
      </c>
      <c r="H66" s="23">
        <v>1.552</v>
      </c>
    </row>
    <row r="67" spans="2:8" x14ac:dyDescent="0.25">
      <c r="B67" s="22">
        <v>82</v>
      </c>
      <c r="C67" s="22" t="s">
        <v>45</v>
      </c>
      <c r="D67" s="22"/>
      <c r="E67" s="22">
        <v>1</v>
      </c>
      <c r="F67" s="22">
        <v>3.0070000000000001</v>
      </c>
      <c r="G67" s="23">
        <v>1.546</v>
      </c>
      <c r="H67" s="23">
        <v>1.546</v>
      </c>
    </row>
    <row r="68" spans="2:8" x14ac:dyDescent="0.25">
      <c r="B68" s="22">
        <v>84</v>
      </c>
      <c r="C68" s="22" t="s">
        <v>45</v>
      </c>
      <c r="D68" s="22"/>
      <c r="E68" s="22">
        <v>1</v>
      </c>
      <c r="F68" s="22">
        <v>2.9319999999999999</v>
      </c>
      <c r="G68" s="23">
        <v>1.5529999999999999</v>
      </c>
      <c r="H68" s="23">
        <v>1.5529999999999999</v>
      </c>
    </row>
    <row r="69" spans="2:8" x14ac:dyDescent="0.25">
      <c r="B69" s="22">
        <v>85</v>
      </c>
      <c r="C69" s="22" t="s">
        <v>45</v>
      </c>
      <c r="D69" s="22"/>
      <c r="E69" s="22">
        <v>1</v>
      </c>
      <c r="F69" s="22">
        <v>2.7909999999999999</v>
      </c>
      <c r="G69" s="23">
        <v>1.6359999999999999</v>
      </c>
      <c r="H69" s="23">
        <v>1.6359999999999999</v>
      </c>
    </row>
    <row r="70" spans="2:8" x14ac:dyDescent="0.25">
      <c r="B70" s="22">
        <v>88</v>
      </c>
      <c r="C70" s="22" t="s">
        <v>45</v>
      </c>
      <c r="D70" s="22"/>
      <c r="E70" s="22">
        <v>1</v>
      </c>
      <c r="F70" s="22">
        <v>2.8570000000000002</v>
      </c>
      <c r="G70" s="23">
        <v>1.5980000000000001</v>
      </c>
      <c r="H70" s="23">
        <v>1.5980000000000001</v>
      </c>
    </row>
    <row r="71" spans="2:8" x14ac:dyDescent="0.25">
      <c r="B71" s="22">
        <v>89</v>
      </c>
      <c r="C71" s="22" t="s">
        <v>45</v>
      </c>
      <c r="D71" s="22"/>
      <c r="E71" s="22">
        <v>1</v>
      </c>
      <c r="F71" s="22">
        <v>2.8530000000000002</v>
      </c>
      <c r="G71" s="23">
        <v>1.4890000000000001</v>
      </c>
      <c r="H71" s="23">
        <v>1.4890000000000001</v>
      </c>
    </row>
    <row r="72" spans="2:8" x14ac:dyDescent="0.25">
      <c r="B72" s="22">
        <v>95</v>
      </c>
      <c r="C72" s="22" t="s">
        <v>45</v>
      </c>
      <c r="D72" s="22"/>
      <c r="E72" s="22">
        <v>1</v>
      </c>
      <c r="F72" s="22">
        <v>2.7650000000000001</v>
      </c>
      <c r="G72" s="23">
        <v>1.597</v>
      </c>
      <c r="H72" s="23">
        <v>1.597</v>
      </c>
    </row>
    <row r="73" spans="2:8" x14ac:dyDescent="0.25">
      <c r="B73" s="22">
        <v>103</v>
      </c>
      <c r="C73" s="22" t="s">
        <v>45</v>
      </c>
      <c r="D73" s="22"/>
      <c r="E73" s="22">
        <v>1</v>
      </c>
      <c r="F73" s="22">
        <v>2.8359999999999999</v>
      </c>
      <c r="G73" s="23">
        <v>1.6220000000000001</v>
      </c>
      <c r="H73" s="23">
        <v>1.6220000000000001</v>
      </c>
    </row>
    <row r="74" spans="2:8" x14ac:dyDescent="0.25">
      <c r="B74" s="22">
        <v>108</v>
      </c>
      <c r="C74" s="22" t="s">
        <v>45</v>
      </c>
      <c r="D74" s="22"/>
      <c r="E74" s="22">
        <v>1</v>
      </c>
      <c r="F74" s="22">
        <v>3.0369999999999999</v>
      </c>
      <c r="G74" s="23">
        <v>1.5720000000000001</v>
      </c>
      <c r="H74" s="23">
        <v>1.5720000000000001</v>
      </c>
    </row>
    <row r="75" spans="2:8" x14ac:dyDescent="0.25">
      <c r="B75" s="22">
        <v>110</v>
      </c>
      <c r="C75" s="22" t="s">
        <v>45</v>
      </c>
      <c r="D75" s="22"/>
      <c r="E75" s="22">
        <v>1</v>
      </c>
      <c r="F75" s="22">
        <v>2.9289999999999998</v>
      </c>
      <c r="G75" s="23">
        <v>1.641</v>
      </c>
      <c r="H75" s="23">
        <v>1.641</v>
      </c>
    </row>
    <row r="76" spans="2:8" x14ac:dyDescent="0.25">
      <c r="B76" s="22">
        <v>116</v>
      </c>
      <c r="C76" s="22" t="s">
        <v>45</v>
      </c>
      <c r="D76" s="22"/>
      <c r="E76" s="22">
        <v>1</v>
      </c>
      <c r="F76" s="22">
        <v>2.8690000000000002</v>
      </c>
      <c r="G76" s="23">
        <v>1.5820000000000001</v>
      </c>
      <c r="H76" s="23">
        <v>1.5820000000000001</v>
      </c>
    </row>
    <row r="77" spans="2:8" x14ac:dyDescent="0.25">
      <c r="B77" s="22">
        <v>118</v>
      </c>
      <c r="C77" s="22" t="s">
        <v>45</v>
      </c>
      <c r="D77" s="22"/>
      <c r="E77" s="22">
        <v>1</v>
      </c>
      <c r="F77" s="22">
        <v>2.9870000000000001</v>
      </c>
      <c r="G77" s="23">
        <v>1.575</v>
      </c>
      <c r="H77" s="23">
        <v>1.575</v>
      </c>
    </row>
    <row r="78" spans="2:8" x14ac:dyDescent="0.25">
      <c r="B78" s="22">
        <v>124</v>
      </c>
      <c r="C78" s="22" t="s">
        <v>45</v>
      </c>
      <c r="D78" s="22"/>
      <c r="E78" s="22">
        <v>1</v>
      </c>
      <c r="F78" s="22">
        <v>2.956</v>
      </c>
      <c r="G78" s="23">
        <v>1.5229999999999999</v>
      </c>
      <c r="H78" s="23">
        <v>1.5229999999999999</v>
      </c>
    </row>
    <row r="79" spans="2:8" x14ac:dyDescent="0.25">
      <c r="B79" s="22">
        <v>129</v>
      </c>
      <c r="C79" s="22" t="s">
        <v>45</v>
      </c>
      <c r="D79" s="22"/>
      <c r="E79" s="22">
        <v>1</v>
      </c>
      <c r="F79" s="22">
        <v>3.048</v>
      </c>
      <c r="G79" s="23">
        <v>1.5309999999999999</v>
      </c>
      <c r="H79" s="23">
        <v>1.5309999999999999</v>
      </c>
    </row>
    <row r="80" spans="2:8" x14ac:dyDescent="0.25">
      <c r="B80" s="22">
        <v>130</v>
      </c>
      <c r="C80" s="22" t="s">
        <v>45</v>
      </c>
      <c r="D80" s="22"/>
      <c r="E80" s="22">
        <v>1</v>
      </c>
      <c r="F80" s="22">
        <v>2.899</v>
      </c>
      <c r="G80" s="23">
        <v>1.55</v>
      </c>
      <c r="H80" s="23">
        <v>1.55</v>
      </c>
    </row>
    <row r="81" spans="2:8" x14ac:dyDescent="0.25">
      <c r="B81" s="22">
        <v>131</v>
      </c>
      <c r="C81" s="22" t="s">
        <v>45</v>
      </c>
      <c r="D81" s="22"/>
      <c r="E81" s="22">
        <v>1</v>
      </c>
      <c r="F81" s="22">
        <v>2.867</v>
      </c>
      <c r="G81" s="23">
        <v>1.6859999999999999</v>
      </c>
      <c r="H81" s="23">
        <v>1.6859999999999999</v>
      </c>
    </row>
    <row r="82" spans="2:8" x14ac:dyDescent="0.25">
      <c r="B82" s="22">
        <v>135</v>
      </c>
      <c r="C82" s="22" t="s">
        <v>45</v>
      </c>
      <c r="D82" s="22"/>
      <c r="E82" s="22">
        <v>1</v>
      </c>
      <c r="F82" s="22">
        <v>2.9630000000000001</v>
      </c>
      <c r="G82" s="23">
        <v>1.575</v>
      </c>
      <c r="H82" s="23">
        <v>1.575</v>
      </c>
    </row>
    <row r="83" spans="2:8" x14ac:dyDescent="0.25">
      <c r="B83" s="22">
        <v>141</v>
      </c>
      <c r="C83" s="22" t="s">
        <v>45</v>
      </c>
      <c r="D83" s="22"/>
      <c r="E83" s="22">
        <v>1</v>
      </c>
      <c r="F83" s="22">
        <v>2.9780000000000002</v>
      </c>
      <c r="G83" s="23">
        <v>1.5660000000000001</v>
      </c>
      <c r="H83" s="23">
        <v>1.5660000000000001</v>
      </c>
    </row>
    <row r="84" spans="2:8" x14ac:dyDescent="0.25">
      <c r="B84" s="22">
        <v>148</v>
      </c>
      <c r="C84" s="22" t="s">
        <v>45</v>
      </c>
      <c r="D84" s="22"/>
      <c r="E84" s="22">
        <v>1</v>
      </c>
      <c r="F84" s="22">
        <v>2.835</v>
      </c>
      <c r="G84" s="23">
        <v>1.5469999999999999</v>
      </c>
      <c r="H84" s="23">
        <v>1.5469999999999999</v>
      </c>
    </row>
    <row r="85" spans="2:8" x14ac:dyDescent="0.25">
      <c r="B85" s="22">
        <v>152</v>
      </c>
      <c r="C85" s="22" t="s">
        <v>45</v>
      </c>
      <c r="D85" s="22"/>
      <c r="E85" s="22">
        <v>1</v>
      </c>
      <c r="F85" s="22">
        <v>2.899</v>
      </c>
      <c r="G85" s="23">
        <v>1.587</v>
      </c>
      <c r="H85" s="23">
        <v>1.587</v>
      </c>
    </row>
    <row r="86" spans="2:8" x14ac:dyDescent="0.25">
      <c r="B86" s="22">
        <v>158</v>
      </c>
      <c r="C86" s="22" t="s">
        <v>45</v>
      </c>
      <c r="D86" s="22"/>
      <c r="E86" s="22">
        <v>1</v>
      </c>
      <c r="F86" s="22">
        <v>2.867</v>
      </c>
      <c r="G86" s="23">
        <v>1.609</v>
      </c>
      <c r="H86" s="23">
        <v>1.609</v>
      </c>
    </row>
    <row r="87" spans="2:8" x14ac:dyDescent="0.25">
      <c r="B87" s="22">
        <v>161</v>
      </c>
      <c r="C87" s="22" t="s">
        <v>45</v>
      </c>
      <c r="D87" s="22"/>
      <c r="E87" s="22">
        <v>1</v>
      </c>
      <c r="F87" s="22">
        <v>3.0449999999999999</v>
      </c>
      <c r="G87" s="23">
        <v>1.6240000000000001</v>
      </c>
      <c r="H87" s="23">
        <v>1.6240000000000001</v>
      </c>
    </row>
    <row r="88" spans="2:8" x14ac:dyDescent="0.25">
      <c r="B88" s="22">
        <v>162</v>
      </c>
      <c r="C88" s="22" t="s">
        <v>45</v>
      </c>
      <c r="D88" s="22"/>
      <c r="E88" s="22">
        <v>1</v>
      </c>
      <c r="F88" s="22">
        <v>2.8580000000000001</v>
      </c>
      <c r="G88" s="23">
        <v>1.5089999999999999</v>
      </c>
      <c r="H88" s="23">
        <v>1.5089999999999999</v>
      </c>
    </row>
    <row r="89" spans="2:8" x14ac:dyDescent="0.25">
      <c r="B89" s="22">
        <v>164</v>
      </c>
      <c r="C89" s="22" t="s">
        <v>45</v>
      </c>
      <c r="D89" s="22"/>
      <c r="E89" s="22">
        <v>1</v>
      </c>
      <c r="F89" s="22">
        <v>2.9689999999999999</v>
      </c>
      <c r="G89" s="23">
        <v>1.617</v>
      </c>
      <c r="H89" s="23">
        <v>1.617</v>
      </c>
    </row>
    <row r="90" spans="2:8" x14ac:dyDescent="0.25">
      <c r="B90" s="22">
        <v>165</v>
      </c>
      <c r="C90" s="22" t="s">
        <v>45</v>
      </c>
      <c r="D90" s="22"/>
      <c r="E90" s="22">
        <v>1</v>
      </c>
      <c r="F90" s="22">
        <v>2.8420000000000001</v>
      </c>
      <c r="G90" s="23">
        <v>1.56</v>
      </c>
      <c r="H90" s="23">
        <v>1.56</v>
      </c>
    </row>
    <row r="91" spans="2:8" x14ac:dyDescent="0.25">
      <c r="B91" s="22">
        <v>169</v>
      </c>
      <c r="C91" s="22" t="s">
        <v>45</v>
      </c>
      <c r="D91" s="22"/>
      <c r="E91" s="22">
        <v>1</v>
      </c>
      <c r="F91" s="22">
        <v>2.7160000000000002</v>
      </c>
      <c r="G91" s="23">
        <v>1.62</v>
      </c>
      <c r="H91" s="23">
        <v>1.62</v>
      </c>
    </row>
    <row r="92" spans="2:8" x14ac:dyDescent="0.25">
      <c r="B92" s="22">
        <v>171</v>
      </c>
      <c r="C92" s="22" t="s">
        <v>45</v>
      </c>
      <c r="D92" s="22"/>
      <c r="E92" s="22">
        <v>1</v>
      </c>
      <c r="F92" s="22">
        <v>2.8220000000000001</v>
      </c>
      <c r="G92" s="23">
        <v>1.5860000000000001</v>
      </c>
      <c r="H92" s="23">
        <v>1.5860000000000001</v>
      </c>
    </row>
    <row r="93" spans="2:8" x14ac:dyDescent="0.25">
      <c r="B93" s="22">
        <v>173</v>
      </c>
      <c r="C93" s="22" t="s">
        <v>45</v>
      </c>
      <c r="D93" s="22"/>
      <c r="E93" s="22">
        <v>1</v>
      </c>
      <c r="F93" s="22">
        <v>2.9630000000000001</v>
      </c>
      <c r="G93" s="23">
        <v>1.552</v>
      </c>
      <c r="H93" s="23">
        <v>1.552</v>
      </c>
    </row>
    <row r="94" spans="2:8" x14ac:dyDescent="0.25">
      <c r="B94" s="22">
        <v>177</v>
      </c>
      <c r="C94" s="22" t="s">
        <v>45</v>
      </c>
      <c r="D94" s="22"/>
      <c r="E94" s="22">
        <v>1</v>
      </c>
      <c r="F94" s="22">
        <v>2.9460000000000002</v>
      </c>
      <c r="G94" s="23">
        <v>1.6120000000000001</v>
      </c>
      <c r="H94" s="23">
        <v>1.6120000000000001</v>
      </c>
    </row>
    <row r="95" spans="2:8" x14ac:dyDescent="0.25">
      <c r="B95" s="22">
        <v>180</v>
      </c>
      <c r="C95" s="22" t="s">
        <v>45</v>
      </c>
      <c r="D95" s="22"/>
      <c r="E95" s="22">
        <v>1</v>
      </c>
      <c r="F95" s="22">
        <v>2.9380000000000002</v>
      </c>
      <c r="G95" s="23">
        <v>1.5329999999999999</v>
      </c>
      <c r="H95" s="23">
        <v>1.5329999999999999</v>
      </c>
    </row>
    <row r="96" spans="2:8" x14ac:dyDescent="0.25">
      <c r="B96" s="22">
        <v>187</v>
      </c>
      <c r="C96" s="22" t="s">
        <v>45</v>
      </c>
      <c r="D96" s="22"/>
      <c r="E96" s="22">
        <v>1</v>
      </c>
      <c r="F96" s="22">
        <v>2.8530000000000002</v>
      </c>
      <c r="G96" s="23">
        <v>1.5860000000000001</v>
      </c>
      <c r="H96" s="23">
        <v>1.5860000000000001</v>
      </c>
    </row>
    <row r="97" spans="2:8" x14ac:dyDescent="0.25">
      <c r="B97" s="22">
        <v>189</v>
      </c>
      <c r="C97" s="22" t="s">
        <v>45</v>
      </c>
      <c r="D97" s="22"/>
      <c r="E97" s="22">
        <v>1</v>
      </c>
      <c r="F97" s="22">
        <v>3.0819999999999999</v>
      </c>
      <c r="G97" s="23">
        <v>1.58</v>
      </c>
      <c r="H97" s="23">
        <v>1.58</v>
      </c>
    </row>
    <row r="98" spans="2:8" x14ac:dyDescent="0.25">
      <c r="B98" s="22">
        <v>190</v>
      </c>
      <c r="C98" s="22" t="s">
        <v>45</v>
      </c>
      <c r="D98" s="22"/>
      <c r="E98" s="22">
        <v>1</v>
      </c>
      <c r="F98" s="22">
        <v>2.98</v>
      </c>
      <c r="G98" s="23">
        <v>1.641</v>
      </c>
      <c r="H98" s="23">
        <v>1.641</v>
      </c>
    </row>
    <row r="99" spans="2:8" x14ac:dyDescent="0.25">
      <c r="B99" s="22">
        <v>194</v>
      </c>
      <c r="C99" s="22" t="s">
        <v>45</v>
      </c>
      <c r="D99" s="22"/>
      <c r="E99" s="22">
        <v>1</v>
      </c>
      <c r="F99" s="22">
        <v>3.0219999999999998</v>
      </c>
      <c r="G99" s="23">
        <v>1.5469999999999999</v>
      </c>
      <c r="H99" s="23">
        <v>1.5469999999999999</v>
      </c>
    </row>
    <row r="100" spans="2:8" x14ac:dyDescent="0.25">
      <c r="B100" s="22">
        <v>195</v>
      </c>
      <c r="C100" s="22" t="s">
        <v>45</v>
      </c>
      <c r="D100" s="22"/>
      <c r="E100" s="22">
        <v>1</v>
      </c>
      <c r="F100" s="22">
        <v>3.0550000000000002</v>
      </c>
      <c r="G100" s="23">
        <v>1.58</v>
      </c>
      <c r="H100" s="23">
        <v>1.58</v>
      </c>
    </row>
    <row r="101" spans="2:8" x14ac:dyDescent="0.25">
      <c r="B101" s="22">
        <v>200</v>
      </c>
      <c r="C101" s="22" t="s">
        <v>45</v>
      </c>
      <c r="D101" s="22"/>
      <c r="E101" s="22">
        <v>1</v>
      </c>
      <c r="F101" s="22">
        <v>2.9430000000000001</v>
      </c>
      <c r="G101" s="23">
        <v>1.613</v>
      </c>
      <c r="H101" s="23">
        <v>1.613</v>
      </c>
    </row>
    <row r="102" spans="2:8" x14ac:dyDescent="0.25">
      <c r="B102" s="22">
        <v>202</v>
      </c>
      <c r="C102" s="22" t="s">
        <v>45</v>
      </c>
      <c r="D102" s="22"/>
      <c r="E102" s="22">
        <v>1</v>
      </c>
      <c r="F102" s="22">
        <v>2.9950000000000001</v>
      </c>
      <c r="G102" s="23">
        <v>1.544</v>
      </c>
      <c r="H102" s="23">
        <v>1.544</v>
      </c>
    </row>
    <row r="103" spans="2:8" x14ac:dyDescent="0.25">
      <c r="B103" s="22">
        <v>208</v>
      </c>
      <c r="C103" s="22" t="s">
        <v>45</v>
      </c>
      <c r="D103" s="22"/>
      <c r="E103" s="22">
        <v>1</v>
      </c>
      <c r="F103" s="22">
        <v>2.93</v>
      </c>
      <c r="G103" s="23">
        <v>1.595</v>
      </c>
      <c r="H103" s="23">
        <v>1.595</v>
      </c>
    </row>
    <row r="104" spans="2:8" x14ac:dyDescent="0.25">
      <c r="B104" s="22">
        <v>209</v>
      </c>
      <c r="C104" s="22" t="s">
        <v>45</v>
      </c>
      <c r="D104" s="22"/>
      <c r="E104" s="22">
        <v>1</v>
      </c>
      <c r="F104" s="22">
        <v>2.9430000000000001</v>
      </c>
      <c r="G104" s="23">
        <v>1.647</v>
      </c>
      <c r="H104" s="23">
        <v>1.647</v>
      </c>
    </row>
    <row r="105" spans="2:8" x14ac:dyDescent="0.25">
      <c r="B105" s="22">
        <v>211</v>
      </c>
      <c r="C105" s="22" t="s">
        <v>45</v>
      </c>
      <c r="D105" s="22"/>
      <c r="E105" s="22">
        <v>1</v>
      </c>
      <c r="F105" s="22">
        <v>2.9409999999999998</v>
      </c>
      <c r="G105" s="23">
        <v>1.6739999999999999</v>
      </c>
      <c r="H105" s="23">
        <v>1.6739999999999999</v>
      </c>
    </row>
    <row r="106" spans="2:8" x14ac:dyDescent="0.25">
      <c r="B106" s="22">
        <v>212</v>
      </c>
      <c r="C106" s="22" t="s">
        <v>45</v>
      </c>
      <c r="D106" s="22"/>
      <c r="E106" s="22">
        <v>1</v>
      </c>
      <c r="F106" s="22">
        <v>2.9489999999999998</v>
      </c>
      <c r="G106" s="23">
        <v>1.581</v>
      </c>
      <c r="H106" s="23">
        <v>1.581</v>
      </c>
    </row>
    <row r="107" spans="2:8" x14ac:dyDescent="0.25">
      <c r="B107" s="22">
        <v>217</v>
      </c>
      <c r="C107" s="22" t="s">
        <v>45</v>
      </c>
      <c r="D107" s="22"/>
      <c r="E107" s="22">
        <v>1</v>
      </c>
      <c r="F107" s="22">
        <v>2.9769999999999999</v>
      </c>
      <c r="G107" s="23">
        <v>1.5389999999999999</v>
      </c>
      <c r="H107" s="23">
        <v>1.5389999999999999</v>
      </c>
    </row>
    <row r="108" spans="2:8" x14ac:dyDescent="0.25">
      <c r="B108" s="22">
        <v>219</v>
      </c>
      <c r="C108" s="22" t="s">
        <v>45</v>
      </c>
      <c r="D108" s="22"/>
      <c r="E108" s="22">
        <v>1</v>
      </c>
      <c r="F108" s="22">
        <v>2.85</v>
      </c>
      <c r="G108" s="23">
        <v>1.704</v>
      </c>
      <c r="H108" s="23">
        <v>1.704</v>
      </c>
    </row>
    <row r="109" spans="2:8" x14ac:dyDescent="0.25">
      <c r="B109" s="22">
        <v>223</v>
      </c>
      <c r="C109" s="22" t="s">
        <v>45</v>
      </c>
      <c r="D109" s="22"/>
      <c r="E109" s="22">
        <v>1</v>
      </c>
      <c r="F109" s="22">
        <v>3.0510000000000002</v>
      </c>
      <c r="G109" s="23">
        <v>1.5740000000000001</v>
      </c>
      <c r="H109" s="23">
        <v>1.5740000000000001</v>
      </c>
    </row>
    <row r="110" spans="2:8" x14ac:dyDescent="0.25">
      <c r="B110" s="22">
        <v>225</v>
      </c>
      <c r="C110" s="22" t="s">
        <v>45</v>
      </c>
      <c r="D110" s="22"/>
      <c r="E110" s="22">
        <v>1</v>
      </c>
      <c r="F110" s="22">
        <v>3.0259999999999998</v>
      </c>
      <c r="G110" s="23">
        <v>1.56</v>
      </c>
      <c r="H110" s="23">
        <v>1.56</v>
      </c>
    </row>
    <row r="111" spans="2:8" x14ac:dyDescent="0.25">
      <c r="B111" s="22">
        <v>227</v>
      </c>
      <c r="C111" s="22" t="s">
        <v>45</v>
      </c>
      <c r="D111" s="22"/>
      <c r="E111" s="22">
        <v>1</v>
      </c>
      <c r="F111" s="22">
        <v>2.9870000000000001</v>
      </c>
      <c r="G111" s="23">
        <v>1.5660000000000001</v>
      </c>
      <c r="H111" s="23">
        <v>1.5660000000000001</v>
      </c>
    </row>
    <row r="112" spans="2:8" x14ac:dyDescent="0.25">
      <c r="B112" s="22">
        <v>239</v>
      </c>
      <c r="C112" s="22" t="s">
        <v>45</v>
      </c>
      <c r="D112" s="22"/>
      <c r="E112" s="22">
        <v>1</v>
      </c>
      <c r="F112" s="22">
        <v>2.9409999999999998</v>
      </c>
      <c r="G112" s="23">
        <v>1.556</v>
      </c>
      <c r="H112" s="23">
        <v>1.556</v>
      </c>
    </row>
    <row r="113" spans="2:8" x14ac:dyDescent="0.25">
      <c r="B113" s="22">
        <v>243</v>
      </c>
      <c r="C113" s="22" t="s">
        <v>45</v>
      </c>
      <c r="D113" s="22"/>
      <c r="E113" s="22">
        <v>1</v>
      </c>
      <c r="F113" s="22">
        <v>2.8540000000000001</v>
      </c>
      <c r="G113" s="23">
        <v>1.5049999999999999</v>
      </c>
      <c r="H113" s="23">
        <v>1.5049999999999999</v>
      </c>
    </row>
    <row r="114" spans="2:8" x14ac:dyDescent="0.25">
      <c r="B114" s="22">
        <v>245</v>
      </c>
      <c r="C114" s="22" t="s">
        <v>45</v>
      </c>
      <c r="D114" s="22"/>
      <c r="E114" s="22">
        <v>1</v>
      </c>
      <c r="F114" s="22">
        <v>2.9169999999999998</v>
      </c>
      <c r="G114" s="23">
        <v>1.55</v>
      </c>
      <c r="H114" s="23">
        <v>1.55</v>
      </c>
    </row>
    <row r="115" spans="2:8" x14ac:dyDescent="0.25">
      <c r="B115" s="22">
        <v>246</v>
      </c>
      <c r="C115" s="22" t="s">
        <v>45</v>
      </c>
      <c r="D115" s="22"/>
      <c r="E115" s="22">
        <v>1</v>
      </c>
      <c r="F115" s="22">
        <v>2.9159999999999999</v>
      </c>
      <c r="G115" s="23">
        <v>1.63</v>
      </c>
      <c r="H115" s="23">
        <v>1.63</v>
      </c>
    </row>
    <row r="116" spans="2:8" x14ac:dyDescent="0.25">
      <c r="B116" s="22">
        <v>248</v>
      </c>
      <c r="C116" s="22" t="s">
        <v>45</v>
      </c>
      <c r="D116" s="22"/>
      <c r="E116" s="22">
        <v>1</v>
      </c>
      <c r="F116" s="22">
        <v>2.9329999999999998</v>
      </c>
      <c r="G116" s="23">
        <v>1.5720000000000001</v>
      </c>
      <c r="H116" s="23">
        <v>1.5720000000000001</v>
      </c>
    </row>
    <row r="117" spans="2:8" x14ac:dyDescent="0.25">
      <c r="B117" s="22">
        <v>250</v>
      </c>
      <c r="C117" s="22" t="s">
        <v>45</v>
      </c>
      <c r="D117" s="22"/>
      <c r="E117" s="22">
        <v>1</v>
      </c>
      <c r="F117" s="22">
        <v>2.9630000000000001</v>
      </c>
      <c r="G117" s="23">
        <v>1.546</v>
      </c>
      <c r="H117" s="23">
        <v>1.546</v>
      </c>
    </row>
    <row r="118" spans="2:8" x14ac:dyDescent="0.25">
      <c r="B118" s="22">
        <v>251</v>
      </c>
      <c r="C118" s="22" t="s">
        <v>45</v>
      </c>
      <c r="D118" s="22"/>
      <c r="E118" s="22">
        <v>1</v>
      </c>
      <c r="F118" s="22">
        <v>3.0049999999999999</v>
      </c>
      <c r="G118" s="23">
        <v>1.5449999999999999</v>
      </c>
      <c r="H118" s="23">
        <v>1.5449999999999999</v>
      </c>
    </row>
    <row r="119" spans="2:8" x14ac:dyDescent="0.25">
      <c r="B119" s="22">
        <v>252</v>
      </c>
      <c r="C119" s="22" t="s">
        <v>45</v>
      </c>
      <c r="D119" s="22"/>
      <c r="E119" s="22">
        <v>1</v>
      </c>
      <c r="F119" s="22">
        <v>2.9369999999999998</v>
      </c>
      <c r="G119" s="23">
        <v>1.5209999999999999</v>
      </c>
      <c r="H119" s="23">
        <v>1.5209999999999999</v>
      </c>
    </row>
    <row r="120" spans="2:8" x14ac:dyDescent="0.25">
      <c r="B120" s="22">
        <v>253</v>
      </c>
      <c r="C120" s="22" t="s">
        <v>45</v>
      </c>
      <c r="D120" s="22"/>
      <c r="E120" s="22">
        <v>1</v>
      </c>
      <c r="F120" s="22">
        <v>3.004</v>
      </c>
      <c r="G120" s="23">
        <v>1.575</v>
      </c>
      <c r="H120" s="23">
        <v>1.575</v>
      </c>
    </row>
    <row r="121" spans="2:8" x14ac:dyDescent="0.25">
      <c r="B121" s="22">
        <v>257</v>
      </c>
      <c r="C121" s="22" t="s">
        <v>45</v>
      </c>
      <c r="D121" s="22"/>
      <c r="E121" s="22">
        <v>1</v>
      </c>
      <c r="F121" s="22">
        <v>2.948</v>
      </c>
      <c r="G121" s="23">
        <v>1.57</v>
      </c>
      <c r="H121" s="23">
        <v>1.57</v>
      </c>
    </row>
    <row r="122" spans="2:8" x14ac:dyDescent="0.25">
      <c r="B122" s="22">
        <v>258</v>
      </c>
      <c r="C122" s="22" t="s">
        <v>45</v>
      </c>
      <c r="D122" s="22"/>
      <c r="E122" s="22">
        <v>1</v>
      </c>
      <c r="F122" s="22">
        <v>2.8679999999999999</v>
      </c>
      <c r="G122" s="23">
        <v>1.5620000000000001</v>
      </c>
      <c r="H122" s="23">
        <v>1.5620000000000001</v>
      </c>
    </row>
    <row r="123" spans="2:8" x14ac:dyDescent="0.25">
      <c r="B123" s="22">
        <v>259</v>
      </c>
      <c r="C123" s="22" t="s">
        <v>45</v>
      </c>
      <c r="D123" s="22"/>
      <c r="E123" s="22">
        <v>1</v>
      </c>
      <c r="F123" s="22">
        <v>2.9809999999999999</v>
      </c>
      <c r="G123" s="23">
        <v>1.6719999999999999</v>
      </c>
      <c r="H123" s="23">
        <v>1.6719999999999999</v>
      </c>
    </row>
    <row r="124" spans="2:8" x14ac:dyDescent="0.25">
      <c r="B124" s="22">
        <v>262</v>
      </c>
      <c r="C124" s="22" t="s">
        <v>45</v>
      </c>
      <c r="D124" s="22"/>
      <c r="E124" s="22">
        <v>1</v>
      </c>
      <c r="F124" s="22">
        <v>2.96</v>
      </c>
      <c r="G124" s="23">
        <v>1.544</v>
      </c>
      <c r="H124" s="23">
        <v>1.544</v>
      </c>
    </row>
    <row r="125" spans="2:8" x14ac:dyDescent="0.25">
      <c r="B125" s="22">
        <v>263</v>
      </c>
      <c r="C125" s="22" t="s">
        <v>45</v>
      </c>
      <c r="D125" s="22"/>
      <c r="E125" s="22">
        <v>1</v>
      </c>
      <c r="F125" s="22">
        <v>2.86</v>
      </c>
      <c r="G125" s="23">
        <v>1.647</v>
      </c>
      <c r="H125" s="23">
        <v>1.647</v>
      </c>
    </row>
    <row r="126" spans="2:8" x14ac:dyDescent="0.25">
      <c r="B126" s="22">
        <v>265</v>
      </c>
      <c r="C126" s="22" t="s">
        <v>45</v>
      </c>
      <c r="D126" s="22"/>
      <c r="E126" s="22">
        <v>1</v>
      </c>
      <c r="F126" s="22">
        <v>2.96</v>
      </c>
      <c r="G126" s="23">
        <v>1.6279999999999999</v>
      </c>
      <c r="H126" s="23">
        <v>1.6279999999999999</v>
      </c>
    </row>
    <row r="127" spans="2:8" x14ac:dyDescent="0.25">
      <c r="B127" s="22">
        <v>267</v>
      </c>
      <c r="C127" s="22" t="s">
        <v>45</v>
      </c>
      <c r="D127" s="22"/>
      <c r="E127" s="22">
        <v>1</v>
      </c>
      <c r="F127" s="22">
        <v>3.0150000000000001</v>
      </c>
      <c r="G127" s="23">
        <v>1.583</v>
      </c>
      <c r="H127" s="23">
        <v>1.583</v>
      </c>
    </row>
    <row r="128" spans="2:8" x14ac:dyDescent="0.25">
      <c r="B128" s="22">
        <v>268</v>
      </c>
      <c r="C128" s="22" t="s">
        <v>45</v>
      </c>
      <c r="D128" s="22"/>
      <c r="E128" s="22">
        <v>1</v>
      </c>
      <c r="F128" s="22">
        <v>2.7719999999999998</v>
      </c>
      <c r="G128" s="23">
        <v>1.579</v>
      </c>
      <c r="H128" s="23">
        <v>1.579</v>
      </c>
    </row>
    <row r="129" spans="2:8" x14ac:dyDescent="0.25">
      <c r="B129" s="22">
        <v>269</v>
      </c>
      <c r="C129" s="22" t="s">
        <v>45</v>
      </c>
      <c r="D129" s="22"/>
      <c r="E129" s="22">
        <v>1</v>
      </c>
      <c r="F129" s="22">
        <v>2.996</v>
      </c>
      <c r="G129" s="23">
        <v>1.605</v>
      </c>
      <c r="H129" s="23">
        <v>1.605</v>
      </c>
    </row>
  </sheetData>
  <sheetProtection algorithmName="SHA-512" hashValue="U0BCLJyyxn0zZo+woidQkMg3c4DLI6dIDA+bws7OR9I6lNApj0pZTqFa7vBLbIlSVJDU+m1GyKHvG1zzZZHsdw==" saltValue="yWpnanZbWZMEMRaBgjYx8A==" spinCount="100000" sheet="1" objects="1" scenarios="1" sort="0" autoFilter="0"/>
  <autoFilter ref="A13:H129" xr:uid="{CD298A1B-D44A-432D-82D5-C4A1F9DDC8DC}"/>
  <mergeCells count="12">
    <mergeCell ref="A4:H4"/>
    <mergeCell ref="A5:H5"/>
    <mergeCell ref="A6:H6"/>
    <mergeCell ref="A7:H7"/>
    <mergeCell ref="A1:C1"/>
    <mergeCell ref="D1:G1"/>
    <mergeCell ref="A2:B2"/>
    <mergeCell ref="C2:D2"/>
    <mergeCell ref="E2:F2"/>
    <mergeCell ref="A3:B3"/>
    <mergeCell ref="C3:D3"/>
    <mergeCell ref="E3:F3"/>
  </mergeCells>
  <conditionalFormatting sqref="A14:A81">
    <cfRule type="duplicateValues" dxfId="22" priority="10"/>
  </conditionalFormatting>
  <conditionalFormatting sqref="A3:G3">
    <cfRule type="cellIs" dxfId="21" priority="1" operator="equal">
      <formula>0</formula>
    </cfRule>
  </conditionalFormatting>
  <conditionalFormatting sqref="B13">
    <cfRule type="cellIs" dxfId="20" priority="9" operator="equal">
      <formula>"All Pass"</formula>
    </cfRule>
  </conditionalFormatting>
  <conditionalFormatting sqref="B14:B81">
    <cfRule type="duplicateValues" dxfId="19" priority="11"/>
  </conditionalFormatting>
  <conditionalFormatting sqref="C14:C1874">
    <cfRule type="containsBlanks" dxfId="18" priority="5">
      <formula>LEN(TRIM(C14))=0</formula>
    </cfRule>
    <cfRule type="cellIs" dxfId="17" priority="6" operator="equal">
      <formula>"ALL PASS"</formula>
    </cfRule>
    <cfRule type="cellIs" dxfId="16" priority="7" stopIfTrue="1" operator="equal">
      <formula>"ND"</formula>
    </cfRule>
    <cfRule type="cellIs" dxfId="15" priority="8" operator="notEqual">
      <formula>"ALL PASS"</formula>
    </cfRule>
  </conditionalFormatting>
  <conditionalFormatting sqref="E14:E4874">
    <cfRule type="cellIs" dxfId="14" priority="2" stopIfTrue="1" operator="equal">
      <formula>99</formula>
    </cfRule>
    <cfRule type="cellIs" dxfId="13" priority="3" operator="between">
      <formula>2</formula>
      <formula>98</formula>
    </cfRule>
    <cfRule type="cellIs" dxfId="12" priority="4" operator="equal">
      <formula>1</formula>
    </cfRule>
  </conditionalFormatting>
  <hyperlinks>
    <hyperlink ref="D1" location="INDEX!A1" display="RETURN TO INDEX" xr:uid="{BDDF00FD-CF3E-47AB-AEC0-188495AAD346}"/>
    <hyperlink ref="D1:E1" location="INDEX!A1" display="RETURN TO INDEX" xr:uid="{E34E5909-17F3-4372-B111-BE3669B45E12}"/>
    <hyperlink ref="H1" location="'QCI Sample Selection'!A1" display="QCI SAMPLE SELECTION" xr:uid="{9B8C57CC-5AE2-4594-A8AA-061DF9EBDC27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ABC1C7-FCBF-46E5-9512-F0D8FD005348}">
  <sheetPr>
    <tabColor theme="4" tint="-0.249977111117893"/>
    <pageSetUpPr fitToPage="1"/>
  </sheetPr>
  <dimension ref="A1:E54"/>
  <sheetViews>
    <sheetView zoomScaleNormal="100" workbookViewId="0">
      <pane xSplit="1" ySplit="9" topLeftCell="C10" activePane="bottomRight" state="frozen"/>
      <selection sqref="A1:E1"/>
      <selection pane="topRight" sqref="A1:E1"/>
      <selection pane="bottomLeft" sqref="A1:E1"/>
      <selection pane="bottomRight" activeCell="C3" sqref="C3"/>
    </sheetView>
  </sheetViews>
  <sheetFormatPr defaultColWidth="0" defaultRowHeight="15" zeroHeight="1" x14ac:dyDescent="0.25"/>
  <cols>
    <col min="1" max="1" width="30.140625" customWidth="1"/>
    <col min="2" max="2" width="21" bestFit="1" customWidth="1"/>
    <col min="3" max="3" width="13.5703125" style="6" bestFit="1" customWidth="1"/>
    <col min="4" max="4" width="12" style="6" bestFit="1" customWidth="1"/>
    <col min="5" max="5" width="20" style="6" bestFit="1" customWidth="1"/>
    <col min="6" max="16384" width="9.140625" hidden="1"/>
  </cols>
  <sheetData>
    <row r="1" spans="1:5" ht="26.25" customHeight="1" x14ac:dyDescent="0.25">
      <c r="A1" s="1" t="s">
        <v>74</v>
      </c>
      <c r="B1" s="72" t="s">
        <v>1</v>
      </c>
      <c r="C1" s="72"/>
      <c r="D1" s="72" t="s">
        <v>2</v>
      </c>
      <c r="E1" s="72"/>
    </row>
    <row r="2" spans="1:5" ht="15.75" x14ac:dyDescent="0.25">
      <c r="A2" s="39" t="s">
        <v>100</v>
      </c>
      <c r="B2" s="40" t="s">
        <v>101</v>
      </c>
      <c r="C2" s="40" t="s">
        <v>102</v>
      </c>
      <c r="D2" s="40" t="s">
        <v>103</v>
      </c>
      <c r="E2" s="41"/>
    </row>
    <row r="3" spans="1:5" ht="18.75" x14ac:dyDescent="0.25">
      <c r="A3" s="42" t="s">
        <v>104</v>
      </c>
      <c r="B3" s="43" t="s">
        <v>104</v>
      </c>
      <c r="C3" s="43"/>
      <c r="D3" s="43">
        <v>2406</v>
      </c>
      <c r="E3" s="41"/>
    </row>
    <row r="4" spans="1:5" ht="27.6" customHeight="1" x14ac:dyDescent="0.35">
      <c r="A4" s="44" t="str">
        <f>"N= " &amp; COUNT($A$10:$A$54)</f>
        <v>N= 45</v>
      </c>
      <c r="B4" s="45"/>
      <c r="C4" s="46"/>
      <c r="D4" s="47"/>
      <c r="E4" s="47"/>
    </row>
    <row r="5" spans="1:5" ht="27.6" customHeight="1" x14ac:dyDescent="0.4">
      <c r="A5" s="48" t="str">
        <f>IF(COUNTIF($E$11:$E$54,"FAIL")=0,"PASS","FAIL")</f>
        <v>PASS</v>
      </c>
      <c r="B5" s="45"/>
      <c r="C5" s="49"/>
      <c r="D5" s="47"/>
      <c r="E5" s="47"/>
    </row>
    <row r="6" spans="1:5" ht="27.6" customHeight="1" x14ac:dyDescent="0.25">
      <c r="A6" s="50" t="s">
        <v>75</v>
      </c>
      <c r="B6" s="50" t="s">
        <v>76</v>
      </c>
      <c r="C6" s="50" t="s">
        <v>77</v>
      </c>
      <c r="D6" s="51"/>
      <c r="E6" s="52"/>
    </row>
    <row r="7" spans="1:5" ht="27.6" customHeight="1" x14ac:dyDescent="0.25">
      <c r="A7" s="50"/>
      <c r="B7" s="53" t="s">
        <v>78</v>
      </c>
      <c r="C7" s="53">
        <v>100</v>
      </c>
      <c r="D7" s="54" t="s">
        <v>79</v>
      </c>
      <c r="E7" s="52"/>
    </row>
    <row r="8" spans="1:5" ht="27.6" customHeight="1" x14ac:dyDescent="0.25">
      <c r="A8" s="55" t="s">
        <v>80</v>
      </c>
      <c r="B8" s="56">
        <v>2.1000000000000002E-9</v>
      </c>
      <c r="C8" s="56">
        <v>1.0500000000000001E-9</v>
      </c>
      <c r="D8" s="56">
        <v>6.0000000000000003E-12</v>
      </c>
      <c r="E8" s="52"/>
    </row>
    <row r="9" spans="1:5" ht="27.6" customHeight="1" x14ac:dyDescent="0.25">
      <c r="A9" s="55" t="s">
        <v>81</v>
      </c>
      <c r="B9" s="57" t="s">
        <v>82</v>
      </c>
      <c r="C9" s="57" t="s">
        <v>83</v>
      </c>
      <c r="D9" s="57" t="s">
        <v>84</v>
      </c>
      <c r="E9" s="58" t="s">
        <v>85</v>
      </c>
    </row>
    <row r="10" spans="1:5" ht="27.6" customHeight="1" x14ac:dyDescent="0.25">
      <c r="A10" s="59">
        <v>95</v>
      </c>
      <c r="B10" s="60">
        <v>1.5923E-9</v>
      </c>
      <c r="C10" s="60">
        <v>8.4321999999999991E-10</v>
      </c>
      <c r="D10" s="60">
        <v>2.9999999999999993E-13</v>
      </c>
      <c r="E10" s="61" t="str">
        <f>IF(AND(B10&lt;&gt;"",B10&lt;=B$8,C10&lt;&gt;"",C10&lt;=C$8,D10&lt;&gt;"",D10&lt;=D$8),"PASS","FAIL")</f>
        <v>PASS</v>
      </c>
    </row>
    <row r="11" spans="1:5" s="63" customFormat="1" ht="27.6" customHeight="1" x14ac:dyDescent="0.25">
      <c r="A11" s="62">
        <v>96</v>
      </c>
      <c r="B11" s="60">
        <v>1.5931800000000001E-9</v>
      </c>
      <c r="C11" s="60">
        <v>9.0098000000000003E-10</v>
      </c>
      <c r="D11" s="60">
        <v>1.5800000000000001E-12</v>
      </c>
      <c r="E11" s="61" t="str">
        <f t="shared" ref="E11:E54" si="0">IF(AND(B11&lt;&gt;"",B11&lt;=B$8,C11&lt;&gt;"",C11&lt;=C$8,D11&lt;&gt;"",D11&lt;=D$8),"PASS","FAIL")</f>
        <v>PASS</v>
      </c>
    </row>
    <row r="12" spans="1:5" s="63" customFormat="1" ht="27.6" customHeight="1" x14ac:dyDescent="0.25">
      <c r="A12" s="62">
        <v>97</v>
      </c>
      <c r="B12" s="60">
        <v>1.6282100000000001E-9</v>
      </c>
      <c r="C12" s="60">
        <v>8.8470000000000006E-10</v>
      </c>
      <c r="D12" s="60">
        <v>7.1E-13</v>
      </c>
      <c r="E12" s="61" t="str">
        <f t="shared" si="0"/>
        <v>PASS</v>
      </c>
    </row>
    <row r="13" spans="1:5" s="63" customFormat="1" ht="27.6" customHeight="1" x14ac:dyDescent="0.25">
      <c r="A13" s="62">
        <v>100</v>
      </c>
      <c r="B13" s="60">
        <v>1.6458300000000001E-9</v>
      </c>
      <c r="C13" s="60">
        <v>9.0475E-10</v>
      </c>
      <c r="D13" s="60">
        <v>1.3000000000000046E-13</v>
      </c>
      <c r="E13" s="61" t="str">
        <f t="shared" si="0"/>
        <v>PASS</v>
      </c>
    </row>
    <row r="14" spans="1:5" s="63" customFormat="1" ht="27.6" customHeight="1" x14ac:dyDescent="0.25">
      <c r="A14" s="62">
        <v>101</v>
      </c>
      <c r="B14" s="60">
        <v>1.6975199999999999E-9</v>
      </c>
      <c r="C14" s="60">
        <v>9.1858999999999993E-10</v>
      </c>
      <c r="D14" s="60">
        <v>1.52E-12</v>
      </c>
      <c r="E14" s="61" t="str">
        <f t="shared" si="0"/>
        <v>PASS</v>
      </c>
    </row>
    <row r="15" spans="1:5" s="63" customFormat="1" ht="27.6" customHeight="1" x14ac:dyDescent="0.25">
      <c r="A15" s="62">
        <v>102</v>
      </c>
      <c r="B15" s="60">
        <v>1.61532E-9</v>
      </c>
      <c r="C15" s="60">
        <v>9.0962999999999999E-10</v>
      </c>
      <c r="D15" s="60">
        <v>1.5800000000000001E-12</v>
      </c>
      <c r="E15" s="61" t="str">
        <f t="shared" si="0"/>
        <v>PASS</v>
      </c>
    </row>
    <row r="16" spans="1:5" s="63" customFormat="1" ht="27.6" customHeight="1" x14ac:dyDescent="0.25">
      <c r="A16" s="62">
        <v>103</v>
      </c>
      <c r="B16" s="60">
        <v>1.6437599999999999E-9</v>
      </c>
      <c r="C16" s="60">
        <v>8.7571000000000007E-10</v>
      </c>
      <c r="D16" s="60">
        <v>1.5599999999999998E-12</v>
      </c>
      <c r="E16" s="61" t="str">
        <f t="shared" si="0"/>
        <v>PASS</v>
      </c>
    </row>
    <row r="17" spans="1:5" s="63" customFormat="1" ht="27.6" customHeight="1" x14ac:dyDescent="0.25">
      <c r="A17" s="62">
        <v>108</v>
      </c>
      <c r="B17" s="60">
        <v>1.8077299999999999E-9</v>
      </c>
      <c r="C17" s="60">
        <v>8.8514999999999999E-10</v>
      </c>
      <c r="D17" s="60">
        <v>2.2999999999999963E-13</v>
      </c>
      <c r="E17" s="61" t="str">
        <f t="shared" si="0"/>
        <v>PASS</v>
      </c>
    </row>
    <row r="18" spans="1:5" s="63" customFormat="1" ht="27.6" customHeight="1" x14ac:dyDescent="0.25">
      <c r="A18" s="62">
        <v>109</v>
      </c>
      <c r="B18" s="60">
        <v>1.6030399999999999E-9</v>
      </c>
      <c r="C18" s="60">
        <v>8.7510999999999999E-10</v>
      </c>
      <c r="D18" s="60">
        <v>8.4000000000000046E-13</v>
      </c>
      <c r="E18" s="61" t="str">
        <f t="shared" si="0"/>
        <v>PASS</v>
      </c>
    </row>
    <row r="19" spans="1:5" s="63" customFormat="1" ht="27.6" customHeight="1" x14ac:dyDescent="0.25">
      <c r="A19" s="62">
        <v>110</v>
      </c>
      <c r="B19" s="60">
        <v>1.6397E-9</v>
      </c>
      <c r="C19" s="60">
        <v>9.1817999999999993E-10</v>
      </c>
      <c r="D19" s="60">
        <v>1.9599999999999997E-12</v>
      </c>
      <c r="E19" s="61" t="str">
        <f t="shared" si="0"/>
        <v>PASS</v>
      </c>
    </row>
    <row r="20" spans="1:5" s="63" customFormat="1" ht="27.6" customHeight="1" x14ac:dyDescent="0.25">
      <c r="A20" s="62">
        <v>115</v>
      </c>
      <c r="B20" s="60">
        <v>1.6795600000000001E-9</v>
      </c>
      <c r="C20" s="60">
        <v>8.8675999999999994E-10</v>
      </c>
      <c r="D20" s="60">
        <v>1.3599999999999999E-12</v>
      </c>
      <c r="E20" s="61" t="str">
        <f t="shared" si="0"/>
        <v>PASS</v>
      </c>
    </row>
    <row r="21" spans="1:5" s="63" customFormat="1" ht="27.6" customHeight="1" x14ac:dyDescent="0.25">
      <c r="A21" s="59">
        <v>116</v>
      </c>
      <c r="B21" s="60">
        <v>1.60159E-9</v>
      </c>
      <c r="C21" s="60">
        <v>8.7449000000000005E-10</v>
      </c>
      <c r="D21" s="60">
        <v>1.0900000000000004E-12</v>
      </c>
      <c r="E21" s="61" t="str">
        <f t="shared" si="0"/>
        <v>PASS</v>
      </c>
    </row>
    <row r="22" spans="1:5" s="63" customFormat="1" ht="27.6" customHeight="1" x14ac:dyDescent="0.25">
      <c r="A22" s="62">
        <v>117</v>
      </c>
      <c r="B22" s="64">
        <v>1.6698900000000001E-9</v>
      </c>
      <c r="C22" s="64">
        <v>9.1810000000000007E-10</v>
      </c>
      <c r="D22" s="64">
        <v>9.8999999999999962E-13</v>
      </c>
      <c r="E22" s="61" t="str">
        <f t="shared" si="0"/>
        <v>PASS</v>
      </c>
    </row>
    <row r="23" spans="1:5" s="63" customFormat="1" ht="27.6" customHeight="1" x14ac:dyDescent="0.25">
      <c r="A23" s="62">
        <v>118</v>
      </c>
      <c r="B23" s="64">
        <v>1.6187700000000002E-9</v>
      </c>
      <c r="C23" s="64">
        <v>8.9885999999999993E-10</v>
      </c>
      <c r="D23" s="64">
        <v>1.4099999999999998E-12</v>
      </c>
      <c r="E23" s="61" t="str">
        <f t="shared" si="0"/>
        <v>PASS</v>
      </c>
    </row>
    <row r="24" spans="1:5" s="63" customFormat="1" ht="27.6" customHeight="1" x14ac:dyDescent="0.25">
      <c r="A24" s="62">
        <v>119</v>
      </c>
      <c r="B24" s="64">
        <v>1.68229E-9</v>
      </c>
      <c r="C24" s="64">
        <v>9.2120999999999997E-10</v>
      </c>
      <c r="D24" s="64">
        <v>6.8999999999999969E-13</v>
      </c>
      <c r="E24" s="61" t="str">
        <f t="shared" si="0"/>
        <v>PASS</v>
      </c>
    </row>
    <row r="25" spans="1:5" s="63" customFormat="1" ht="27.6" customHeight="1" x14ac:dyDescent="0.25">
      <c r="A25" s="62">
        <v>120</v>
      </c>
      <c r="B25" s="64">
        <v>1.5934299999999999E-9</v>
      </c>
      <c r="C25" s="64">
        <v>8.6817999999999999E-10</v>
      </c>
      <c r="D25" s="64">
        <v>1.0299999999999994E-12</v>
      </c>
      <c r="E25" s="61" t="str">
        <f t="shared" si="0"/>
        <v>PASS</v>
      </c>
    </row>
    <row r="26" spans="1:5" s="63" customFormat="1" ht="27.6" customHeight="1" x14ac:dyDescent="0.25">
      <c r="A26" s="62">
        <v>121</v>
      </c>
      <c r="B26" s="64">
        <v>1.5979400000000002E-9</v>
      </c>
      <c r="C26" s="64">
        <v>8.6207999999999998E-10</v>
      </c>
      <c r="D26" s="64">
        <v>3.1999999999999944E-13</v>
      </c>
      <c r="E26" s="61" t="str">
        <f t="shared" si="0"/>
        <v>PASS</v>
      </c>
    </row>
    <row r="27" spans="1:5" s="63" customFormat="1" ht="27.6" customHeight="1" x14ac:dyDescent="0.25">
      <c r="A27" s="62">
        <v>123</v>
      </c>
      <c r="B27" s="64">
        <v>1.57268E-9</v>
      </c>
      <c r="C27" s="64">
        <v>8.9761999999999995E-10</v>
      </c>
      <c r="D27" s="64">
        <v>9.5999999999999995E-13</v>
      </c>
      <c r="E27" s="61" t="str">
        <f t="shared" si="0"/>
        <v>PASS</v>
      </c>
    </row>
    <row r="28" spans="1:5" s="63" customFormat="1" ht="27.6" customHeight="1" x14ac:dyDescent="0.25">
      <c r="A28" s="62">
        <v>124</v>
      </c>
      <c r="B28" s="64">
        <v>1.6061999999999999E-9</v>
      </c>
      <c r="C28" s="64">
        <v>8.7620999999999991E-10</v>
      </c>
      <c r="D28" s="64">
        <v>1.1399999999999996E-12</v>
      </c>
      <c r="E28" s="61" t="str">
        <f t="shared" si="0"/>
        <v>PASS</v>
      </c>
    </row>
    <row r="29" spans="1:5" s="63" customFormat="1" ht="27.6" customHeight="1" x14ac:dyDescent="0.25">
      <c r="A29" s="62">
        <v>125</v>
      </c>
      <c r="B29" s="64">
        <v>1.5805500000000001E-9</v>
      </c>
      <c r="C29" s="64">
        <v>8.965899999999999E-10</v>
      </c>
      <c r="D29" s="64">
        <v>8.999999999999998E-13</v>
      </c>
      <c r="E29" s="61" t="str">
        <f t="shared" si="0"/>
        <v>PASS</v>
      </c>
    </row>
    <row r="30" spans="1:5" s="63" customFormat="1" ht="27.6" customHeight="1" x14ac:dyDescent="0.25">
      <c r="A30" s="62">
        <v>126</v>
      </c>
      <c r="B30" s="64">
        <v>1.5968499999999999E-9</v>
      </c>
      <c r="C30" s="64">
        <v>8.7724999999999994E-10</v>
      </c>
      <c r="D30" s="64">
        <v>1.0499999999999998E-12</v>
      </c>
      <c r="E30" s="61" t="str">
        <f t="shared" si="0"/>
        <v>PASS</v>
      </c>
    </row>
    <row r="31" spans="1:5" s="63" customFormat="1" ht="27.6" customHeight="1" x14ac:dyDescent="0.25">
      <c r="A31" s="62">
        <v>127</v>
      </c>
      <c r="B31" s="64">
        <v>1.5986800000000001E-9</v>
      </c>
      <c r="C31" s="64">
        <v>8.6906999999999998E-10</v>
      </c>
      <c r="D31" s="64">
        <v>1.0799999999999994E-12</v>
      </c>
      <c r="E31" s="61" t="str">
        <f t="shared" si="0"/>
        <v>PASS</v>
      </c>
    </row>
    <row r="32" spans="1:5" s="63" customFormat="1" ht="27.6" customHeight="1" x14ac:dyDescent="0.25">
      <c r="A32" s="62">
        <v>128</v>
      </c>
      <c r="B32" s="64">
        <v>1.6076500000000001E-9</v>
      </c>
      <c r="C32" s="64">
        <v>8.6336E-10</v>
      </c>
      <c r="D32" s="64">
        <v>2.4999999999999994E-13</v>
      </c>
      <c r="E32" s="61" t="str">
        <f t="shared" si="0"/>
        <v>PASS</v>
      </c>
    </row>
    <row r="33" spans="1:5" s="63" customFormat="1" ht="27.6" customHeight="1" x14ac:dyDescent="0.25">
      <c r="A33" s="62">
        <v>129</v>
      </c>
      <c r="B33" s="64">
        <v>1.61627E-9</v>
      </c>
      <c r="C33" s="64">
        <v>8.9234999999999992E-10</v>
      </c>
      <c r="D33" s="64">
        <v>1.5299999999999993E-12</v>
      </c>
      <c r="E33" s="61" t="str">
        <f t="shared" si="0"/>
        <v>PASS</v>
      </c>
    </row>
    <row r="34" spans="1:5" s="63" customFormat="1" ht="27.6" customHeight="1" x14ac:dyDescent="0.25">
      <c r="A34" s="62">
        <v>130</v>
      </c>
      <c r="B34" s="64">
        <v>1.64358E-9</v>
      </c>
      <c r="C34" s="64">
        <v>8.7955000000000003E-10</v>
      </c>
      <c r="D34" s="64">
        <v>1.3800000000000002E-12</v>
      </c>
      <c r="E34" s="61" t="str">
        <f t="shared" si="0"/>
        <v>PASS</v>
      </c>
    </row>
    <row r="35" spans="1:5" s="63" customFormat="1" ht="27.6" customHeight="1" x14ac:dyDescent="0.25">
      <c r="A35" s="62">
        <v>131</v>
      </c>
      <c r="B35" s="64">
        <v>1.6653599999999999E-9</v>
      </c>
      <c r="C35" s="64">
        <v>9.1473999999999999E-10</v>
      </c>
      <c r="D35" s="64">
        <v>1.0599999999999999E-12</v>
      </c>
      <c r="E35" s="61" t="str">
        <f t="shared" si="0"/>
        <v>PASS</v>
      </c>
    </row>
    <row r="36" spans="1:5" s="63" customFormat="1" ht="27.6" customHeight="1" x14ac:dyDescent="0.25">
      <c r="A36" s="62">
        <v>132</v>
      </c>
      <c r="B36" s="64">
        <v>1.58066E-9</v>
      </c>
      <c r="C36" s="64">
        <v>8.7387999999999988E-10</v>
      </c>
      <c r="D36" s="64">
        <v>9.5999999999999995E-13</v>
      </c>
      <c r="E36" s="61" t="str">
        <f t="shared" si="0"/>
        <v>PASS</v>
      </c>
    </row>
    <row r="37" spans="1:5" s="63" customFormat="1" ht="27.6" customHeight="1" x14ac:dyDescent="0.25">
      <c r="A37" s="62">
        <v>133</v>
      </c>
      <c r="B37" s="64">
        <v>1.61863E-9</v>
      </c>
      <c r="C37" s="64">
        <v>8.9318999999999989E-10</v>
      </c>
      <c r="D37" s="64">
        <v>1.2299999999999994E-12</v>
      </c>
      <c r="E37" s="61" t="str">
        <f t="shared" si="0"/>
        <v>PASS</v>
      </c>
    </row>
    <row r="38" spans="1:5" s="63" customFormat="1" ht="27.6" customHeight="1" x14ac:dyDescent="0.25">
      <c r="A38" s="62">
        <v>135</v>
      </c>
      <c r="B38" s="64">
        <v>1.6401400000000001E-9</v>
      </c>
      <c r="C38" s="64">
        <v>9.1663999999999995E-10</v>
      </c>
      <c r="D38" s="64">
        <v>1.9499999999999996E-12</v>
      </c>
      <c r="E38" s="61" t="str">
        <f t="shared" si="0"/>
        <v>PASS</v>
      </c>
    </row>
    <row r="39" spans="1:5" s="63" customFormat="1" ht="27.6" customHeight="1" x14ac:dyDescent="0.25">
      <c r="A39" s="62">
        <v>137</v>
      </c>
      <c r="B39" s="64">
        <v>1.7276200000000001E-9</v>
      </c>
      <c r="C39" s="64">
        <v>9.0893999999999997E-10</v>
      </c>
      <c r="D39" s="64">
        <v>2.0100000000000005E-12</v>
      </c>
      <c r="E39" s="61" t="str">
        <f t="shared" si="0"/>
        <v>PASS</v>
      </c>
    </row>
    <row r="40" spans="1:5" s="63" customFormat="1" ht="27.6" customHeight="1" x14ac:dyDescent="0.25">
      <c r="A40" s="62">
        <v>139</v>
      </c>
      <c r="B40" s="64">
        <v>1.6502699999999999E-9</v>
      </c>
      <c r="C40" s="64">
        <v>9.1033E-10</v>
      </c>
      <c r="D40" s="64">
        <v>8.5999999999999997E-13</v>
      </c>
      <c r="E40" s="61" t="str">
        <f t="shared" si="0"/>
        <v>PASS</v>
      </c>
    </row>
    <row r="41" spans="1:5" s="63" customFormat="1" ht="27.6" customHeight="1" x14ac:dyDescent="0.25">
      <c r="A41" s="62">
        <v>140</v>
      </c>
      <c r="B41" s="64">
        <v>1.6932399999999998E-9</v>
      </c>
      <c r="C41" s="64">
        <v>9.4042999999999982E-10</v>
      </c>
      <c r="D41" s="64">
        <v>1.8199999999999991E-12</v>
      </c>
      <c r="E41" s="61" t="str">
        <f t="shared" si="0"/>
        <v>PASS</v>
      </c>
    </row>
    <row r="42" spans="1:5" s="63" customFormat="1" ht="27.6" customHeight="1" x14ac:dyDescent="0.25">
      <c r="A42" s="62">
        <v>141</v>
      </c>
      <c r="B42" s="64">
        <v>1.8202399999999999E-9</v>
      </c>
      <c r="C42" s="64">
        <v>9.2756999999999993E-10</v>
      </c>
      <c r="D42" s="64">
        <v>2.3999999999999979E-13</v>
      </c>
      <c r="E42" s="61" t="str">
        <f t="shared" si="0"/>
        <v>PASS</v>
      </c>
    </row>
    <row r="43" spans="1:5" s="63" customFormat="1" ht="27.6" customHeight="1" x14ac:dyDescent="0.25">
      <c r="A43" s="62">
        <v>142</v>
      </c>
      <c r="B43" s="64">
        <v>1.6975900000000001E-9</v>
      </c>
      <c r="C43" s="64">
        <v>9.2985000000000005E-10</v>
      </c>
      <c r="D43" s="64">
        <v>1.7399999999999995E-12</v>
      </c>
      <c r="E43" s="61" t="str">
        <f t="shared" si="0"/>
        <v>PASS</v>
      </c>
    </row>
    <row r="44" spans="1:5" s="63" customFormat="1" ht="27.6" customHeight="1" x14ac:dyDescent="0.25">
      <c r="A44" s="62">
        <v>143</v>
      </c>
      <c r="B44" s="64">
        <v>1.7564700000000002E-9</v>
      </c>
      <c r="C44" s="64">
        <v>9.4540000000000006E-10</v>
      </c>
      <c r="D44" s="64">
        <v>2.3699999999999998E-12</v>
      </c>
      <c r="E44" s="61" t="str">
        <f t="shared" si="0"/>
        <v>PASS</v>
      </c>
    </row>
    <row r="45" spans="1:5" s="63" customFormat="1" ht="27.6" customHeight="1" x14ac:dyDescent="0.25">
      <c r="A45" s="62">
        <v>145</v>
      </c>
      <c r="B45" s="64">
        <v>1.73405E-9</v>
      </c>
      <c r="C45" s="64">
        <v>9.4258999999999995E-10</v>
      </c>
      <c r="D45" s="64">
        <v>1.6599999999999998E-12</v>
      </c>
      <c r="E45" s="61" t="str">
        <f t="shared" si="0"/>
        <v>PASS</v>
      </c>
    </row>
    <row r="46" spans="1:5" s="63" customFormat="1" ht="27.6" customHeight="1" x14ac:dyDescent="0.25">
      <c r="A46" s="62">
        <v>147</v>
      </c>
      <c r="B46" s="64">
        <v>1.73598E-9</v>
      </c>
      <c r="C46" s="64">
        <v>9.0642999999999994E-10</v>
      </c>
      <c r="D46" s="64">
        <v>1.4800000000000002E-12</v>
      </c>
      <c r="E46" s="61" t="str">
        <f t="shared" si="0"/>
        <v>PASS</v>
      </c>
    </row>
    <row r="47" spans="1:5" s="63" customFormat="1" ht="27.6" customHeight="1" x14ac:dyDescent="0.25">
      <c r="A47" s="62">
        <v>148</v>
      </c>
      <c r="B47" s="64">
        <v>1.80215E-9</v>
      </c>
      <c r="C47" s="64">
        <v>9.162E-10</v>
      </c>
      <c r="D47" s="64">
        <v>9.4999999999999979E-13</v>
      </c>
      <c r="E47" s="61" t="str">
        <f t="shared" si="0"/>
        <v>PASS</v>
      </c>
    </row>
    <row r="48" spans="1:5" s="63" customFormat="1" ht="27.6" customHeight="1" x14ac:dyDescent="0.25">
      <c r="A48" s="62">
        <v>149</v>
      </c>
      <c r="B48" s="64">
        <v>1.60624E-9</v>
      </c>
      <c r="C48" s="64">
        <v>8.7683999999999994E-10</v>
      </c>
      <c r="D48" s="64">
        <v>8.4999999999999981E-13</v>
      </c>
      <c r="E48" s="61" t="str">
        <f t="shared" si="0"/>
        <v>PASS</v>
      </c>
    </row>
    <row r="49" spans="1:5" s="63" customFormat="1" ht="27.6" customHeight="1" x14ac:dyDescent="0.25">
      <c r="A49" s="62">
        <v>150</v>
      </c>
      <c r="B49" s="64">
        <v>1.6948399999999999E-9</v>
      </c>
      <c r="C49" s="64">
        <v>9.3356999999999991E-10</v>
      </c>
      <c r="D49" s="64">
        <v>1.3900000000000003E-12</v>
      </c>
      <c r="E49" s="61" t="str">
        <f t="shared" si="0"/>
        <v>PASS</v>
      </c>
    </row>
    <row r="50" spans="1:5" s="63" customFormat="1" ht="27.6" customHeight="1" x14ac:dyDescent="0.25">
      <c r="A50" s="62">
        <v>152</v>
      </c>
      <c r="B50" s="64">
        <v>1.7359100000000001E-9</v>
      </c>
      <c r="C50" s="64">
        <v>9.1227999999999998E-10</v>
      </c>
      <c r="D50" s="64">
        <v>1.4099999999999998E-12</v>
      </c>
      <c r="E50" s="61" t="str">
        <f t="shared" si="0"/>
        <v>PASS</v>
      </c>
    </row>
    <row r="51" spans="1:5" s="63" customFormat="1" ht="27.6" customHeight="1" x14ac:dyDescent="0.25">
      <c r="A51" s="62">
        <v>157</v>
      </c>
      <c r="B51" s="64">
        <v>1.7848799999999999E-9</v>
      </c>
      <c r="C51" s="64">
        <v>9.1061000000000002E-10</v>
      </c>
      <c r="D51" s="64">
        <v>1.6800000000000001E-12</v>
      </c>
      <c r="E51" s="61" t="str">
        <f t="shared" si="0"/>
        <v>PASS</v>
      </c>
    </row>
    <row r="52" spans="1:5" s="63" customFormat="1" ht="27.6" customHeight="1" x14ac:dyDescent="0.25">
      <c r="A52" s="62">
        <v>158</v>
      </c>
      <c r="B52" s="64">
        <v>1.7721899999999999E-9</v>
      </c>
      <c r="C52" s="64">
        <v>9.5032999999999996E-10</v>
      </c>
      <c r="D52" s="64">
        <v>1.2899999999999996E-12</v>
      </c>
      <c r="E52" s="61" t="str">
        <f t="shared" si="0"/>
        <v>PASS</v>
      </c>
    </row>
    <row r="53" spans="1:5" s="63" customFormat="1" ht="27.6" customHeight="1" x14ac:dyDescent="0.25">
      <c r="A53" s="62">
        <v>161</v>
      </c>
      <c r="B53" s="64">
        <v>1.8964299999999998E-9</v>
      </c>
      <c r="C53" s="64">
        <v>9.4815999999999996E-10</v>
      </c>
      <c r="D53" s="64">
        <v>7.2999999999999951E-13</v>
      </c>
      <c r="E53" s="61" t="str">
        <f t="shared" si="0"/>
        <v>PASS</v>
      </c>
    </row>
    <row r="54" spans="1:5" s="63" customFormat="1" ht="27.6" customHeight="1" x14ac:dyDescent="0.25">
      <c r="A54" s="62">
        <v>162</v>
      </c>
      <c r="B54" s="64">
        <v>1.7528900000000001E-9</v>
      </c>
      <c r="C54" s="64">
        <v>8.9018000000000002E-10</v>
      </c>
      <c r="D54" s="64">
        <v>1.1899999999999996E-12</v>
      </c>
      <c r="E54" s="61" t="str">
        <f t="shared" si="0"/>
        <v>PASS</v>
      </c>
    </row>
  </sheetData>
  <sheetProtection algorithmName="SHA-512" hashValue="WnIoQQ4shbVrpCBa4d7enC0Sah4L9kcNVUCUAQBn2lqzOr0iPA9S7+IfV549S8Y5iz+d6VMTbb0oqobVTFFu8A==" saltValue="p1/jD82hoNGLA3rGor5B7w==" spinCount="100000" sheet="1" objects="1" scenarios="1" sort="0" autoFilter="0"/>
  <mergeCells count="2">
    <mergeCell ref="B1:C1"/>
    <mergeCell ref="D1:E1"/>
  </mergeCells>
  <conditionalFormatting sqref="A10:A54">
    <cfRule type="duplicateValues" dxfId="11" priority="6"/>
  </conditionalFormatting>
  <conditionalFormatting sqref="A3:D3">
    <cfRule type="cellIs" dxfId="10" priority="1" operator="equal">
      <formula>0</formula>
    </cfRule>
  </conditionalFormatting>
  <conditionalFormatting sqref="E10:E54">
    <cfRule type="cellIs" dxfId="9" priority="2" operator="equal">
      <formula>"F"</formula>
    </cfRule>
    <cfRule type="cellIs" dxfId="8" priority="3" operator="equal">
      <formula>"FAIL"</formula>
    </cfRule>
    <cfRule type="cellIs" dxfId="7" priority="4" operator="equal">
      <formula>"P"</formula>
    </cfRule>
    <cfRule type="cellIs" dxfId="6" priority="5" operator="equal">
      <formula>"PASS"</formula>
    </cfRule>
  </conditionalFormatting>
  <hyperlinks>
    <hyperlink ref="B1" location="INDEX!A1" display="RETURN TO INDEX" xr:uid="{DC78AB25-65F8-43A8-B798-3CFD73CEA75F}"/>
    <hyperlink ref="D1:E1" location="'QCI Sample Selection'!A1" display="QCI SAMPLE SELECTION" xr:uid="{86CD3951-D185-4029-83A5-7A6AB78E3F3C}"/>
  </hyperlinks>
  <printOptions horizontalCentered="1" verticalCentered="1"/>
  <pageMargins left="0.25" right="0.25" top="0.75" bottom="0.75" header="0.3" footer="0.3"/>
  <pageSetup scale="27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D9D01-E8AB-4C5F-81B3-5CFF9798824D}">
  <sheetPr>
    <tabColor theme="4" tint="-0.249977111117893"/>
  </sheetPr>
  <dimension ref="A1:K54"/>
  <sheetViews>
    <sheetView workbookViewId="0">
      <pane ySplit="9" topLeftCell="A10" activePane="bottomLeft" state="frozen"/>
      <selection sqref="A1:D1"/>
      <selection pane="bottomLeft" activeCell="C3" sqref="C3"/>
    </sheetView>
  </sheetViews>
  <sheetFormatPr defaultColWidth="0" defaultRowHeight="15" zeroHeight="1" x14ac:dyDescent="0.25"/>
  <cols>
    <col min="1" max="1" width="27.5703125" customWidth="1"/>
    <col min="2" max="2" width="21.5703125" customWidth="1"/>
    <col min="3" max="3" width="17.7109375" customWidth="1"/>
    <col min="4" max="4" width="14.7109375" bestFit="1" customWidth="1"/>
    <col min="5" max="5" width="15" customWidth="1"/>
    <col min="6" max="6" width="9.140625" hidden="1" customWidth="1"/>
    <col min="7" max="11" width="0" hidden="1" customWidth="1"/>
    <col min="12" max="16384" width="9.140625" hidden="1"/>
  </cols>
  <sheetData>
    <row r="1" spans="1:5" s="66" customFormat="1" ht="27.75" customHeight="1" x14ac:dyDescent="0.25">
      <c r="A1" s="65" t="s">
        <v>86</v>
      </c>
      <c r="B1" s="72" t="s">
        <v>1</v>
      </c>
      <c r="C1" s="72"/>
      <c r="D1" s="72" t="s">
        <v>2</v>
      </c>
      <c r="E1" s="72"/>
    </row>
    <row r="2" spans="1:5" ht="15.75" x14ac:dyDescent="0.25">
      <c r="A2" s="39" t="s">
        <v>100</v>
      </c>
      <c r="B2" s="40" t="s">
        <v>101</v>
      </c>
      <c r="C2" s="40" t="s">
        <v>102</v>
      </c>
      <c r="D2" s="40" t="s">
        <v>103</v>
      </c>
      <c r="E2" s="7"/>
    </row>
    <row r="3" spans="1:5" ht="18.75" x14ac:dyDescent="0.25">
      <c r="A3" s="42" t="s">
        <v>104</v>
      </c>
      <c r="B3" s="43" t="s">
        <v>104</v>
      </c>
      <c r="C3" s="43"/>
      <c r="D3" s="43">
        <v>2406</v>
      </c>
      <c r="E3" s="43"/>
    </row>
    <row r="4" spans="1:5" ht="27.6" customHeight="1" x14ac:dyDescent="0.35">
      <c r="A4" s="44" t="str">
        <f>"N= " &amp; COUNT($A$10:$A$54)</f>
        <v>N= 45</v>
      </c>
      <c r="B4" s="45" t="s">
        <v>87</v>
      </c>
      <c r="C4" s="46" t="s">
        <v>88</v>
      </c>
      <c r="D4" s="67"/>
      <c r="E4" s="68"/>
    </row>
    <row r="5" spans="1:5" ht="27.6" customHeight="1" x14ac:dyDescent="0.4">
      <c r="A5" s="48" t="str">
        <f>IF(COUNT($A$11:$A$54)=COUNTIF($E$11:$E$54,"PASS"),"PASS","FAIL")</f>
        <v>PASS</v>
      </c>
      <c r="B5" s="45" t="s">
        <v>89</v>
      </c>
      <c r="C5" s="49">
        <v>45371.464583333334</v>
      </c>
      <c r="D5" s="67"/>
      <c r="E5" s="67"/>
    </row>
    <row r="6" spans="1:5" ht="27.6" customHeight="1" x14ac:dyDescent="0.25">
      <c r="A6" s="55"/>
      <c r="B6" s="55" t="s">
        <v>90</v>
      </c>
      <c r="C6" s="55" t="s">
        <v>91</v>
      </c>
      <c r="D6" s="55" t="s">
        <v>92</v>
      </c>
      <c r="E6" s="55" t="s">
        <v>93</v>
      </c>
    </row>
    <row r="7" spans="1:5" ht="27.6" customHeight="1" x14ac:dyDescent="0.25">
      <c r="A7" s="55"/>
      <c r="B7" s="55" t="s">
        <v>94</v>
      </c>
      <c r="C7" s="55" t="s">
        <v>95</v>
      </c>
      <c r="D7" s="55" t="s">
        <v>96</v>
      </c>
      <c r="E7" s="55" t="s">
        <v>85</v>
      </c>
    </row>
    <row r="8" spans="1:5" ht="27.6" customHeight="1" x14ac:dyDescent="0.25">
      <c r="A8" s="55" t="s">
        <v>97</v>
      </c>
      <c r="B8" s="55" t="s">
        <v>98</v>
      </c>
      <c r="C8" s="55" t="s">
        <v>98</v>
      </c>
      <c r="D8" s="55" t="s">
        <v>98</v>
      </c>
      <c r="E8" s="55"/>
    </row>
    <row r="9" spans="1:5" ht="27.6" customHeight="1" x14ac:dyDescent="0.25">
      <c r="A9" s="55" t="s">
        <v>99</v>
      </c>
      <c r="B9" s="69">
        <v>6</v>
      </c>
      <c r="C9" s="69">
        <v>6</v>
      </c>
      <c r="D9" s="69">
        <v>14.999999000000001</v>
      </c>
      <c r="E9" s="55"/>
    </row>
    <row r="10" spans="1:5" ht="27.6" customHeight="1" x14ac:dyDescent="0.25">
      <c r="A10" s="59">
        <v>95</v>
      </c>
      <c r="B10" s="70">
        <v>3.1983999999999999</v>
      </c>
      <c r="C10" s="70">
        <v>5.4912000000000001</v>
      </c>
      <c r="D10" s="70">
        <v>14.779199999999999</v>
      </c>
      <c r="E10" s="60" t="str">
        <f>IF(AND(B10&lt;&gt;"",B10&lt;=B$9,C10&lt;&gt;"",C10&lt;=C$9,D10&lt;&gt;"",D10&lt;=D$9),"PASS","FAIL")</f>
        <v>PASS</v>
      </c>
    </row>
    <row r="11" spans="1:5" ht="27.6" customHeight="1" x14ac:dyDescent="0.25">
      <c r="A11" s="59">
        <v>96</v>
      </c>
      <c r="B11" s="70">
        <v>3.1040000000000001</v>
      </c>
      <c r="C11" s="70">
        <v>5.5583999999999998</v>
      </c>
      <c r="D11" s="70">
        <v>14.6752</v>
      </c>
      <c r="E11" s="60" t="str">
        <f t="shared" ref="E11:E54" si="0">IF(AND(B11&lt;&gt;"",B11&lt;=B$9,C11&lt;&gt;"",C11&lt;=C$9,D11&lt;&gt;"",D11&lt;=D$9),"PASS","FAIL")</f>
        <v>PASS</v>
      </c>
    </row>
    <row r="12" spans="1:5" ht="27.6" customHeight="1" x14ac:dyDescent="0.25">
      <c r="A12" s="59">
        <v>97</v>
      </c>
      <c r="B12" s="70">
        <v>3.5247999999999999</v>
      </c>
      <c r="C12" s="70">
        <v>5.3952</v>
      </c>
      <c r="D12" s="70">
        <v>14.929601</v>
      </c>
      <c r="E12" s="60" t="str">
        <f t="shared" si="0"/>
        <v>PASS</v>
      </c>
    </row>
    <row r="13" spans="1:5" ht="27.6" customHeight="1" x14ac:dyDescent="0.25">
      <c r="A13" s="59">
        <v>100</v>
      </c>
      <c r="B13" s="70">
        <v>3.7391999999999999</v>
      </c>
      <c r="C13" s="70">
        <v>4.96</v>
      </c>
      <c r="D13" s="70">
        <v>14.942399</v>
      </c>
      <c r="E13" s="60" t="str">
        <f t="shared" si="0"/>
        <v>PASS</v>
      </c>
    </row>
    <row r="14" spans="1:5" ht="27.6" customHeight="1" x14ac:dyDescent="0.25">
      <c r="A14" s="59">
        <v>101</v>
      </c>
      <c r="B14" s="70">
        <v>4.4576000000000002</v>
      </c>
      <c r="C14" s="70">
        <v>1.6352</v>
      </c>
      <c r="D14" s="70">
        <v>14.6448</v>
      </c>
      <c r="E14" s="60" t="str">
        <f t="shared" si="0"/>
        <v>PASS</v>
      </c>
    </row>
    <row r="15" spans="1:5" ht="27.6" customHeight="1" x14ac:dyDescent="0.25">
      <c r="A15" s="59">
        <v>102</v>
      </c>
      <c r="B15" s="70">
        <v>4.6432000000000002</v>
      </c>
      <c r="C15" s="70">
        <v>1.736</v>
      </c>
      <c r="D15" s="70">
        <v>14.979200000000001</v>
      </c>
      <c r="E15" s="60" t="str">
        <f t="shared" si="0"/>
        <v>PASS</v>
      </c>
    </row>
    <row r="16" spans="1:5" ht="27.6" customHeight="1" x14ac:dyDescent="0.25">
      <c r="A16" s="59">
        <v>103</v>
      </c>
      <c r="B16" s="70">
        <v>3.0592000000000001</v>
      </c>
      <c r="C16" s="70">
        <v>5.9951999999999996</v>
      </c>
      <c r="D16" s="70">
        <v>14.48</v>
      </c>
      <c r="E16" s="60" t="str">
        <f t="shared" si="0"/>
        <v>PASS</v>
      </c>
    </row>
    <row r="17" spans="1:5" ht="27.6" customHeight="1" x14ac:dyDescent="0.25">
      <c r="A17" s="59">
        <v>108</v>
      </c>
      <c r="B17" s="70">
        <v>4.1711999999999998</v>
      </c>
      <c r="C17" s="70">
        <v>4.4847999999999999</v>
      </c>
      <c r="D17" s="70">
        <v>14.9216</v>
      </c>
      <c r="E17" s="60" t="str">
        <f t="shared" si="0"/>
        <v>PASS</v>
      </c>
    </row>
    <row r="18" spans="1:5" ht="27.6" customHeight="1" x14ac:dyDescent="0.25">
      <c r="A18" s="59">
        <v>109</v>
      </c>
      <c r="B18" s="70">
        <v>2.9087999999999998</v>
      </c>
      <c r="C18" s="70">
        <v>5.3247999999999998</v>
      </c>
      <c r="D18" s="70">
        <v>14.664</v>
      </c>
      <c r="E18" s="60" t="str">
        <f t="shared" si="0"/>
        <v>PASS</v>
      </c>
    </row>
    <row r="19" spans="1:5" ht="27.6" customHeight="1" x14ac:dyDescent="0.25">
      <c r="A19" s="59">
        <v>110</v>
      </c>
      <c r="B19" s="70">
        <v>3.2320000000000002</v>
      </c>
      <c r="C19" s="70">
        <v>5.6912000000000003</v>
      </c>
      <c r="D19" s="70">
        <v>14.995200000000001</v>
      </c>
      <c r="E19" s="60" t="str">
        <f t="shared" si="0"/>
        <v>PASS</v>
      </c>
    </row>
    <row r="20" spans="1:5" ht="27.6" customHeight="1" x14ac:dyDescent="0.25">
      <c r="A20" s="59">
        <v>115</v>
      </c>
      <c r="B20" s="70">
        <v>3.1280000000000001</v>
      </c>
      <c r="C20" s="70">
        <v>5.5456000000000003</v>
      </c>
      <c r="D20" s="70">
        <v>14.8688</v>
      </c>
      <c r="E20" s="60" t="str">
        <f t="shared" si="0"/>
        <v>PASS</v>
      </c>
    </row>
    <row r="21" spans="1:5" ht="27.6" customHeight="1" x14ac:dyDescent="0.25">
      <c r="A21" s="59">
        <v>116</v>
      </c>
      <c r="B21" s="70">
        <v>3.0735999999999999</v>
      </c>
      <c r="C21" s="70">
        <v>5.5327999999999999</v>
      </c>
      <c r="D21" s="70">
        <v>14.9056</v>
      </c>
      <c r="E21" s="60" t="str">
        <f t="shared" si="0"/>
        <v>PASS</v>
      </c>
    </row>
    <row r="22" spans="1:5" ht="27.6" customHeight="1" x14ac:dyDescent="0.25">
      <c r="A22" s="59">
        <v>117</v>
      </c>
      <c r="B22" s="70">
        <v>4.9184000000000001</v>
      </c>
      <c r="C22" s="70">
        <v>1.6736</v>
      </c>
      <c r="D22" s="70">
        <v>14.968</v>
      </c>
      <c r="E22" s="60" t="str">
        <f t="shared" si="0"/>
        <v>PASS</v>
      </c>
    </row>
    <row r="23" spans="1:5" ht="27.6" customHeight="1" x14ac:dyDescent="0.25">
      <c r="A23" s="59">
        <v>118</v>
      </c>
      <c r="B23" s="70">
        <v>4.4847999999999999</v>
      </c>
      <c r="C23" s="70">
        <v>4.2767999999999997</v>
      </c>
      <c r="D23" s="70">
        <v>14.992001</v>
      </c>
      <c r="E23" s="60" t="str">
        <f t="shared" si="0"/>
        <v>PASS</v>
      </c>
    </row>
    <row r="24" spans="1:5" ht="27.6" customHeight="1" x14ac:dyDescent="0.25">
      <c r="A24" s="59">
        <v>119</v>
      </c>
      <c r="B24" s="70">
        <v>4.7744</v>
      </c>
      <c r="C24" s="70">
        <v>1.696</v>
      </c>
      <c r="D24" s="70">
        <v>14.7056</v>
      </c>
      <c r="E24" s="60" t="str">
        <f t="shared" si="0"/>
        <v>PASS</v>
      </c>
    </row>
    <row r="25" spans="1:5" ht="27.6" customHeight="1" x14ac:dyDescent="0.25">
      <c r="A25" s="59">
        <v>120</v>
      </c>
      <c r="B25" s="70">
        <v>3.1232000000000002</v>
      </c>
      <c r="C25" s="70">
        <v>4.9311999999999996</v>
      </c>
      <c r="D25" s="70">
        <v>14.619199999999999</v>
      </c>
      <c r="E25" s="60" t="str">
        <f t="shared" si="0"/>
        <v>PASS</v>
      </c>
    </row>
    <row r="26" spans="1:5" ht="27.6" customHeight="1" x14ac:dyDescent="0.25">
      <c r="A26" s="59">
        <v>121</v>
      </c>
      <c r="B26" s="70">
        <v>4.6432000000000002</v>
      </c>
      <c r="C26" s="70">
        <v>1.7423999999999999</v>
      </c>
      <c r="D26" s="70">
        <v>14.995200000000001</v>
      </c>
      <c r="E26" s="60" t="str">
        <f t="shared" si="0"/>
        <v>PASS</v>
      </c>
    </row>
    <row r="27" spans="1:5" ht="27.6" customHeight="1" x14ac:dyDescent="0.25">
      <c r="A27" s="59">
        <v>123</v>
      </c>
      <c r="B27" s="70">
        <v>3.1055999999999999</v>
      </c>
      <c r="C27" s="70">
        <v>5.8688000000000002</v>
      </c>
      <c r="D27" s="70">
        <v>14.8752</v>
      </c>
      <c r="E27" s="60" t="str">
        <f t="shared" si="0"/>
        <v>PASS</v>
      </c>
    </row>
    <row r="28" spans="1:5" ht="27.6" customHeight="1" x14ac:dyDescent="0.25">
      <c r="A28" s="59">
        <v>124</v>
      </c>
      <c r="B28" s="70">
        <v>3.0655999999999999</v>
      </c>
      <c r="C28" s="70">
        <v>5.6863999999999999</v>
      </c>
      <c r="D28" s="70">
        <v>14.812799999999999</v>
      </c>
      <c r="E28" s="60" t="str">
        <f t="shared" si="0"/>
        <v>PASS</v>
      </c>
    </row>
    <row r="29" spans="1:5" ht="27.6" customHeight="1" x14ac:dyDescent="0.25">
      <c r="A29" s="59">
        <v>125</v>
      </c>
      <c r="B29" s="70">
        <v>4.3823999999999996</v>
      </c>
      <c r="C29" s="70">
        <v>4.1295999999999999</v>
      </c>
      <c r="D29" s="70">
        <v>14.5184</v>
      </c>
      <c r="E29" s="60" t="str">
        <f t="shared" si="0"/>
        <v>PASS</v>
      </c>
    </row>
    <row r="30" spans="1:5" ht="27.6" customHeight="1" x14ac:dyDescent="0.25">
      <c r="A30" s="59">
        <v>126</v>
      </c>
      <c r="B30" s="70">
        <v>3.2416</v>
      </c>
      <c r="C30" s="70">
        <v>5.0544000000000002</v>
      </c>
      <c r="D30" s="70">
        <v>14.8192</v>
      </c>
      <c r="E30" s="60" t="str">
        <f t="shared" si="0"/>
        <v>PASS</v>
      </c>
    </row>
    <row r="31" spans="1:5" ht="27.6" customHeight="1" x14ac:dyDescent="0.25">
      <c r="A31" s="59">
        <v>127</v>
      </c>
      <c r="B31" s="70">
        <v>3.1456</v>
      </c>
      <c r="C31" s="70">
        <v>5.2784000000000004</v>
      </c>
      <c r="D31" s="70">
        <v>14.7376</v>
      </c>
      <c r="E31" s="60" t="str">
        <f t="shared" si="0"/>
        <v>PASS</v>
      </c>
    </row>
    <row r="32" spans="1:5" ht="27.6" customHeight="1" x14ac:dyDescent="0.25">
      <c r="A32" s="59">
        <v>128</v>
      </c>
      <c r="B32" s="70">
        <v>2.8512</v>
      </c>
      <c r="C32" s="70">
        <v>5.8384</v>
      </c>
      <c r="D32" s="70">
        <v>14.700799999999999</v>
      </c>
      <c r="E32" s="60" t="str">
        <f t="shared" si="0"/>
        <v>PASS</v>
      </c>
    </row>
    <row r="33" spans="1:5" ht="27.6" customHeight="1" x14ac:dyDescent="0.25">
      <c r="A33" s="59">
        <v>129</v>
      </c>
      <c r="B33" s="70">
        <v>4.3696000000000002</v>
      </c>
      <c r="C33" s="70">
        <v>1.5264</v>
      </c>
      <c r="D33" s="70">
        <v>14.3904</v>
      </c>
      <c r="E33" s="60" t="str">
        <f t="shared" si="0"/>
        <v>PASS</v>
      </c>
    </row>
    <row r="34" spans="1:5" ht="27.6" customHeight="1" x14ac:dyDescent="0.25">
      <c r="A34" s="59">
        <v>130</v>
      </c>
      <c r="B34" s="70">
        <v>2.8927999999999998</v>
      </c>
      <c r="C34" s="70">
        <v>5.7119999999999997</v>
      </c>
      <c r="D34" s="70">
        <v>14.5792</v>
      </c>
      <c r="E34" s="60" t="str">
        <f t="shared" si="0"/>
        <v>PASS</v>
      </c>
    </row>
    <row r="35" spans="1:5" ht="27.6" customHeight="1" x14ac:dyDescent="0.25">
      <c r="A35" s="59">
        <v>131</v>
      </c>
      <c r="B35" s="70">
        <v>4.7088000000000001</v>
      </c>
      <c r="C35" s="70">
        <v>1.5760000000000001</v>
      </c>
      <c r="D35" s="70">
        <v>14.7216</v>
      </c>
      <c r="E35" s="60" t="str">
        <f t="shared" si="0"/>
        <v>PASS</v>
      </c>
    </row>
    <row r="36" spans="1:5" ht="27.6" customHeight="1" x14ac:dyDescent="0.25">
      <c r="A36" s="59">
        <v>132</v>
      </c>
      <c r="B36" s="70">
        <v>3.0943999999999998</v>
      </c>
      <c r="C36" s="70">
        <v>5.4496000000000002</v>
      </c>
      <c r="D36" s="70">
        <v>14.872</v>
      </c>
      <c r="E36" s="60" t="str">
        <f t="shared" si="0"/>
        <v>PASS</v>
      </c>
    </row>
    <row r="37" spans="1:5" ht="27.6" customHeight="1" x14ac:dyDescent="0.25">
      <c r="A37" s="59">
        <v>133</v>
      </c>
      <c r="B37" s="70">
        <v>2.8176000000000001</v>
      </c>
      <c r="C37" s="70">
        <v>5.8912000000000004</v>
      </c>
      <c r="D37" s="70">
        <v>14.6304</v>
      </c>
      <c r="E37" s="60" t="str">
        <f t="shared" si="0"/>
        <v>PASS</v>
      </c>
    </row>
    <row r="38" spans="1:5" ht="27.6" customHeight="1" x14ac:dyDescent="0.25">
      <c r="A38" s="59">
        <v>135</v>
      </c>
      <c r="B38" s="70">
        <v>4.4832000000000001</v>
      </c>
      <c r="C38" s="70">
        <v>1.5087999999999999</v>
      </c>
      <c r="D38" s="70">
        <v>14.427199999999999</v>
      </c>
      <c r="E38" s="60" t="str">
        <f t="shared" si="0"/>
        <v>PASS</v>
      </c>
    </row>
    <row r="39" spans="1:5" ht="27.6" customHeight="1" x14ac:dyDescent="0.25">
      <c r="A39" s="59">
        <v>137</v>
      </c>
      <c r="B39" s="70">
        <v>4.3376000000000001</v>
      </c>
      <c r="C39" s="70">
        <v>1.6896</v>
      </c>
      <c r="D39" s="70">
        <v>14.456</v>
      </c>
      <c r="E39" s="60" t="str">
        <f t="shared" si="0"/>
        <v>PASS</v>
      </c>
    </row>
    <row r="40" spans="1:5" ht="27.6" customHeight="1" x14ac:dyDescent="0.25">
      <c r="A40" s="59">
        <v>139</v>
      </c>
      <c r="B40" s="70">
        <v>4.4607999999999999</v>
      </c>
      <c r="C40" s="70">
        <v>1.4752000000000001</v>
      </c>
      <c r="D40" s="70">
        <v>14.393599999999999</v>
      </c>
      <c r="E40" s="60" t="str">
        <f t="shared" si="0"/>
        <v>PASS</v>
      </c>
    </row>
    <row r="41" spans="1:5" ht="27.6" customHeight="1" x14ac:dyDescent="0.25">
      <c r="A41" s="59">
        <v>140</v>
      </c>
      <c r="B41" s="70">
        <v>4.6432000000000002</v>
      </c>
      <c r="C41" s="70">
        <v>1.7216</v>
      </c>
      <c r="D41" s="70">
        <v>14.9328</v>
      </c>
      <c r="E41" s="60" t="str">
        <f t="shared" si="0"/>
        <v>PASS</v>
      </c>
    </row>
    <row r="42" spans="1:5" ht="27.6" customHeight="1" x14ac:dyDescent="0.25">
      <c r="A42" s="59">
        <v>141</v>
      </c>
      <c r="B42" s="70">
        <v>4.6496000000000004</v>
      </c>
      <c r="C42" s="70">
        <v>1.6896</v>
      </c>
      <c r="D42" s="70">
        <v>14.7616</v>
      </c>
      <c r="E42" s="60" t="str">
        <f t="shared" si="0"/>
        <v>PASS</v>
      </c>
    </row>
    <row r="43" spans="1:5" ht="27.6" customHeight="1" x14ac:dyDescent="0.25">
      <c r="A43" s="59">
        <v>142</v>
      </c>
      <c r="B43" s="70">
        <v>4.6928000000000001</v>
      </c>
      <c r="C43" s="70">
        <v>1.7567999999999999</v>
      </c>
      <c r="D43" s="70">
        <v>14.969601000000001</v>
      </c>
      <c r="E43" s="60" t="str">
        <f t="shared" si="0"/>
        <v>PASS</v>
      </c>
    </row>
    <row r="44" spans="1:5" ht="27.6" customHeight="1" x14ac:dyDescent="0.25">
      <c r="A44" s="59">
        <v>143</v>
      </c>
      <c r="B44" s="70">
        <v>4.8528000000000002</v>
      </c>
      <c r="C44" s="70">
        <v>1.7472000000000001</v>
      </c>
      <c r="D44" s="70">
        <v>14.982398999999999</v>
      </c>
      <c r="E44" s="60" t="str">
        <f t="shared" si="0"/>
        <v>PASS</v>
      </c>
    </row>
    <row r="45" spans="1:5" ht="27.6" customHeight="1" x14ac:dyDescent="0.25">
      <c r="A45" s="59">
        <v>145</v>
      </c>
      <c r="B45" s="70">
        <v>4.6768000000000001</v>
      </c>
      <c r="C45" s="70">
        <v>1.744</v>
      </c>
      <c r="D45" s="70">
        <v>14.959999</v>
      </c>
      <c r="E45" s="60" t="str">
        <f t="shared" si="0"/>
        <v>PASS</v>
      </c>
    </row>
    <row r="46" spans="1:5" ht="27.6" customHeight="1" x14ac:dyDescent="0.25">
      <c r="A46" s="59">
        <v>147</v>
      </c>
      <c r="B46" s="70">
        <v>4.6688000000000001</v>
      </c>
      <c r="C46" s="70">
        <v>1.7327999999999999</v>
      </c>
      <c r="D46" s="70">
        <v>14.926399999999999</v>
      </c>
      <c r="E46" s="60" t="str">
        <f t="shared" si="0"/>
        <v>PASS</v>
      </c>
    </row>
    <row r="47" spans="1:5" ht="27.6" customHeight="1" x14ac:dyDescent="0.25">
      <c r="A47" s="59">
        <v>148</v>
      </c>
      <c r="B47" s="70">
        <v>4.7359999999999998</v>
      </c>
      <c r="C47" s="70">
        <v>1.7072000000000001</v>
      </c>
      <c r="D47" s="70">
        <v>14.9328</v>
      </c>
      <c r="E47" s="60" t="str">
        <f t="shared" si="0"/>
        <v>PASS</v>
      </c>
    </row>
    <row r="48" spans="1:5" ht="27.6" customHeight="1" x14ac:dyDescent="0.25">
      <c r="A48" s="59">
        <v>149</v>
      </c>
      <c r="B48" s="70">
        <v>4.7968000000000002</v>
      </c>
      <c r="C48" s="70">
        <v>1.7487999999999999</v>
      </c>
      <c r="D48" s="70">
        <v>14.984</v>
      </c>
      <c r="E48" s="60" t="str">
        <f t="shared" si="0"/>
        <v>PASS</v>
      </c>
    </row>
    <row r="49" spans="1:5" ht="27.6" customHeight="1" x14ac:dyDescent="0.25">
      <c r="A49" s="59">
        <v>150</v>
      </c>
      <c r="B49" s="70">
        <v>4.7904</v>
      </c>
      <c r="C49" s="70">
        <v>1.7744</v>
      </c>
      <c r="D49" s="70">
        <v>14.995200000000001</v>
      </c>
      <c r="E49" s="60" t="str">
        <f t="shared" si="0"/>
        <v>PASS</v>
      </c>
    </row>
    <row r="50" spans="1:5" ht="27.6" customHeight="1" x14ac:dyDescent="0.25">
      <c r="A50" s="59">
        <v>152</v>
      </c>
      <c r="B50" s="70">
        <v>4.6048</v>
      </c>
      <c r="C50" s="70">
        <v>4.2527999999999997</v>
      </c>
      <c r="D50" s="70">
        <v>14.865600000000001</v>
      </c>
      <c r="E50" s="60" t="str">
        <f t="shared" si="0"/>
        <v>PASS</v>
      </c>
    </row>
    <row r="51" spans="1:5" ht="27.6" customHeight="1" x14ac:dyDescent="0.25">
      <c r="A51" s="59">
        <v>157</v>
      </c>
      <c r="B51" s="70">
        <v>4.7488000000000001</v>
      </c>
      <c r="C51" s="70">
        <v>1.6672</v>
      </c>
      <c r="D51" s="70">
        <v>14.9056</v>
      </c>
      <c r="E51" s="60" t="str">
        <f t="shared" si="0"/>
        <v>PASS</v>
      </c>
    </row>
    <row r="52" spans="1:5" ht="27.6" customHeight="1" x14ac:dyDescent="0.25">
      <c r="A52" s="59">
        <v>158</v>
      </c>
      <c r="B52" s="70">
        <v>4.7392000000000003</v>
      </c>
      <c r="C52" s="70">
        <v>1.7183999999999999</v>
      </c>
      <c r="D52" s="70">
        <v>14.9344</v>
      </c>
      <c r="E52" s="60" t="str">
        <f t="shared" si="0"/>
        <v>PASS</v>
      </c>
    </row>
    <row r="53" spans="1:5" ht="27.6" customHeight="1" x14ac:dyDescent="0.25">
      <c r="A53" s="59">
        <v>161</v>
      </c>
      <c r="B53" s="70">
        <v>4.7279999999999998</v>
      </c>
      <c r="C53" s="70">
        <v>1.736</v>
      </c>
      <c r="D53" s="70">
        <v>14.908799999999999</v>
      </c>
      <c r="E53" s="60" t="str">
        <f t="shared" si="0"/>
        <v>PASS</v>
      </c>
    </row>
    <row r="54" spans="1:5" ht="27.6" customHeight="1" x14ac:dyDescent="0.25">
      <c r="A54" s="59">
        <v>162</v>
      </c>
      <c r="B54" s="70">
        <v>4.4927999999999999</v>
      </c>
      <c r="C54" s="70">
        <v>1.7423999999999999</v>
      </c>
      <c r="D54" s="70">
        <v>14.7408</v>
      </c>
      <c r="E54" s="60" t="str">
        <f t="shared" si="0"/>
        <v>PASS</v>
      </c>
    </row>
  </sheetData>
  <sheetProtection algorithmName="SHA-512" hashValue="DujFiJH1hggOHkI2QbasT/TVKhS59ryW4zdSWcghON2Z7XOxsoQqoR1M45gKmp/103RdxFlyz6lW7E83Zpj2eQ==" saltValue="90xC9w5CMoOsMcTp4x20sg==" spinCount="100000" sheet="1" objects="1" scenarios="1" sort="0" autoFilter="0"/>
  <mergeCells count="2">
    <mergeCell ref="B1:C1"/>
    <mergeCell ref="D1:E1"/>
  </mergeCells>
  <conditionalFormatting sqref="A10:A54">
    <cfRule type="duplicateValues" dxfId="5" priority="6"/>
  </conditionalFormatting>
  <conditionalFormatting sqref="A3:D3">
    <cfRule type="cellIs" dxfId="4" priority="1" operator="equal">
      <formula>0</formula>
    </cfRule>
  </conditionalFormatting>
  <conditionalFormatting sqref="E10:E54">
    <cfRule type="cellIs" dxfId="3" priority="2" operator="equal">
      <formula>"F"</formula>
    </cfRule>
    <cfRule type="cellIs" dxfId="2" priority="3" operator="equal">
      <formula>"FAIL"</formula>
    </cfRule>
    <cfRule type="cellIs" dxfId="1" priority="4" operator="equal">
      <formula>"P"</formula>
    </cfRule>
    <cfRule type="cellIs" dxfId="0" priority="5" operator="equal">
      <formula>"PASS"</formula>
    </cfRule>
  </conditionalFormatting>
  <hyperlinks>
    <hyperlink ref="B1" location="INDEX!A1" display="RETURN TO INDEX" xr:uid="{3B797D19-F2A3-4407-B6BD-F4A4911D3F90}"/>
    <hyperlink ref="D1:E1" location="'QCI Sample Selection'!A1" display="QCI SAMPLE SELECTION" xr:uid="{42C7CE4D-7C5D-4AB1-BE29-02517ECA3A7B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Group A Traveler</vt:lpstr>
      <vt:lpstr>GROUP A1</vt:lpstr>
      <vt:lpstr>GROUP A2 25C</vt:lpstr>
      <vt:lpstr>GROUP A3 125C</vt:lpstr>
      <vt:lpstr>GROUP A3 -55C</vt:lpstr>
      <vt:lpstr>GROUP A7 CAPACITANCE</vt:lpstr>
      <vt:lpstr>GROUP A7 GATE CHARGE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Shmoil Pourdavoud</dc:creator>
  <cp:lastModifiedBy>Shmoil Pourdavoud</cp:lastModifiedBy>
  <dcterms:created xsi:type="dcterms:W3CDTF">2024-09-18T16:56:34Z</dcterms:created>
  <dcterms:modified xsi:type="dcterms:W3CDTF">2024-09-19T14:51:16Z</dcterms:modified>
</cp:coreProperties>
</file>