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WLAT\"/>
    </mc:Choice>
  </mc:AlternateContent>
  <xr:revisionPtr revIDLastSave="0" documentId="13_ncr:1_{CC9EB810-ADCC-4290-825A-F9C7FFCF33BB}" xr6:coauthVersionLast="47" xr6:coauthVersionMax="47" xr10:uidLastSave="{00000000-0000-0000-0000-000000000000}"/>
  <workbookProtection workbookAlgorithmName="SHA-512" workbookHashValue="7j1IlTYY5wGQb3bV6oItOG18F4X2VtDMM7oGz9xcZp1gX2SUIMscRLYineSw1dAQkzbwIU6MiDw4JJ1JAVHLhA==" workbookSaltValue="EBU9z7ZtH8XPvi4Yy2583w==" workbookSpinCount="100000" lockStructure="1"/>
  <bookViews>
    <workbookView xWindow="-120" yWindow="-120" windowWidth="29040" windowHeight="16440" xr2:uid="{00000000-000D-0000-FFFF-FFFF00000000}"/>
  </bookViews>
  <sheets>
    <sheet name="GRAPH" sheetId="4" r:id="rId1"/>
    <sheet name="Wafer1" sheetId="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6" i="4" l="1"/>
  <c r="A46" i="4"/>
  <c r="B40" i="4"/>
  <c r="H40" i="4"/>
  <c r="B43" i="4"/>
  <c r="B42" i="4"/>
  <c r="H43" i="4"/>
  <c r="H42" i="4"/>
  <c r="H44" i="4"/>
  <c r="B44" i="4"/>
  <c r="T39" i="4"/>
  <c r="T38" i="4"/>
  <c r="S39" i="4"/>
  <c r="S38" i="4"/>
  <c r="A2" i="4"/>
  <c r="A1" i="4"/>
  <c r="T37" i="4"/>
  <c r="T36" i="4"/>
  <c r="T28" i="4"/>
  <c r="S28" i="4"/>
  <c r="S30" i="4"/>
  <c r="S31" i="4"/>
  <c r="S32" i="4"/>
  <c r="S33" i="4"/>
  <c r="S34" i="4"/>
  <c r="S35" i="4"/>
  <c r="T29" i="4"/>
  <c r="A7" i="4"/>
  <c r="A5" i="4"/>
  <c r="A3" i="4"/>
  <c r="S36" i="4" l="1"/>
  <c r="S37" i="4"/>
  <c r="T30" i="4"/>
  <c r="S29" i="4"/>
  <c r="T31" i="4"/>
  <c r="T32" i="4"/>
  <c r="T33" i="4"/>
  <c r="T34" i="4"/>
  <c r="T35" i="4"/>
  <c r="A6" i="4"/>
  <c r="A4" i="4"/>
</calcChain>
</file>

<file path=xl/sharedStrings.xml><?xml version="1.0" encoding="utf-8"?>
<sst xmlns="http://schemas.openxmlformats.org/spreadsheetml/2006/main" count="334" uniqueCount="155">
  <si>
    <t>VGS</t>
  </si>
  <si>
    <t>IDS MAX LIMIT</t>
  </si>
  <si>
    <t>IGSR MAX LIMIT</t>
  </si>
  <si>
    <t xml:space="preserve">Operator   </t>
  </si>
  <si>
    <t xml:space="preserve">Station    </t>
  </si>
  <si>
    <t xml:space="preserve">Process    </t>
  </si>
  <si>
    <t>POST SEE</t>
  </si>
  <si>
    <t xml:space="preserve">Start Date </t>
  </si>
  <si>
    <t>Finish Date</t>
  </si>
  <si>
    <t>Part Number</t>
  </si>
  <si>
    <t xml:space="preserve">Remarks    </t>
  </si>
  <si>
    <t>PRE SEE</t>
  </si>
  <si>
    <t>SEE TEST STATION</t>
  </si>
  <si>
    <t>SEE TESTING</t>
  </si>
  <si>
    <t>PRODUCT</t>
  </si>
  <si>
    <t>ELOT</t>
  </si>
  <si>
    <t>EPI ID</t>
  </si>
  <si>
    <t>WAFERS</t>
  </si>
  <si>
    <t>ION</t>
  </si>
  <si>
    <t>LET</t>
  </si>
  <si>
    <t>ENERGY</t>
  </si>
  <si>
    <t>LENGTH</t>
  </si>
  <si>
    <t>VDS</t>
  </si>
  <si>
    <t>IGSSF</t>
  </si>
  <si>
    <t>IGSSR</t>
  </si>
  <si>
    <t>FLUENCE</t>
  </si>
  <si>
    <t>FLUX</t>
  </si>
  <si>
    <t>LOCATION</t>
  </si>
  <si>
    <t>SEE DATE</t>
  </si>
  <si>
    <t>MZ/JB</t>
  </si>
  <si>
    <t>Lot Number</t>
  </si>
  <si>
    <t>FBG10N30BSH</t>
  </si>
  <si>
    <t>E4197M</t>
  </si>
  <si>
    <t>G322600089</t>
  </si>
  <si>
    <t>R140, R141, R142, R143, R145</t>
  </si>
  <si>
    <t>R140, R141</t>
  </si>
  <si>
    <t>AU</t>
  </si>
  <si>
    <t>Texas A&amp;M University</t>
  </si>
  <si>
    <t>PRE AND POST SEE PARAMETRIC DATA</t>
  </si>
  <si>
    <t>5 (V)</t>
  </si>
  <si>
    <t>-4 (V)</t>
  </si>
  <si>
    <t>100 (V)</t>
  </si>
  <si>
    <t>1e-3 (A)</t>
  </si>
  <si>
    <t>5e-3 (A)</t>
  </si>
  <si>
    <t>-250e-6 (A)</t>
  </si>
  <si>
    <t>250e-6 (A)</t>
  </si>
  <si>
    <t>2.5 (V)</t>
  </si>
  <si>
    <t>0.8 (V)</t>
  </si>
  <si>
    <t>SN#</t>
  </si>
  <si>
    <t>P/P</t>
  </si>
  <si>
    <t>PRE/POST</t>
  </si>
  <si>
    <t>DATE</t>
  </si>
  <si>
    <t>TIME</t>
  </si>
  <si>
    <t>FAMILY</t>
  </si>
  <si>
    <t>WAFER</t>
  </si>
  <si>
    <t>RUN</t>
  </si>
  <si>
    <t>SOCKET</t>
  </si>
  <si>
    <t>IGSSF Max</t>
  </si>
  <si>
    <t>IGSSR Max</t>
  </si>
  <si>
    <t>IDSS Max</t>
  </si>
  <si>
    <t xml:space="preserve"> Vth Max</t>
  </si>
  <si>
    <t xml:space="preserve"> Vth Min</t>
  </si>
  <si>
    <t>R140-1</t>
  </si>
  <si>
    <t>PASS</t>
  </si>
  <si>
    <t>PRE</t>
  </si>
  <si>
    <t>10N30</t>
  </si>
  <si>
    <t>R140</t>
  </si>
  <si>
    <t>POST</t>
  </si>
  <si>
    <t>R140-2</t>
  </si>
  <si>
    <t>R140-3</t>
  </si>
  <si>
    <t>R141-1</t>
  </si>
  <si>
    <t>R141</t>
  </si>
  <si>
    <t>R141-2</t>
  </si>
  <si>
    <t>R141-3</t>
  </si>
  <si>
    <t>TAMU RUN LOG 04-26-2022</t>
  </si>
  <si>
    <t>Run_number</t>
  </si>
  <si>
    <t>Run_file_name</t>
  </si>
  <si>
    <t>Run_start_date_and_time</t>
  </si>
  <si>
    <t>Run_end_date_and_time</t>
  </si>
  <si>
    <t>Duration_of_the_run</t>
  </si>
  <si>
    <t>Number_of_events</t>
  </si>
  <si>
    <t>Selected_beam</t>
  </si>
  <si>
    <t>Al_thickness(mil)</t>
  </si>
  <si>
    <t>Number_of_layers(file)</t>
  </si>
  <si>
    <t>Beam_energy(MeV/amu)</t>
  </si>
  <si>
    <t>Beam_energy(MeV)</t>
  </si>
  <si>
    <t>Target_material</t>
  </si>
  <si>
    <t>Nominal_LET(MeVcm2/mg)</t>
  </si>
  <si>
    <t>Nominal_range(um)</t>
  </si>
  <si>
    <t>Eff._LET(MeVcm2/mg)</t>
  </si>
  <si>
    <t>Eff._range(um)</t>
  </si>
  <si>
    <t>DUT_location</t>
  </si>
  <si>
    <t>Position_set_name</t>
  </si>
  <si>
    <t>Eff._fluence(ions/cm2)</t>
  </si>
  <si>
    <t>EPC_July_2023.#36</t>
  </si>
  <si>
    <t>23/08/01___19:43:35</t>
  </si>
  <si>
    <t>23/08/01___19:45:06</t>
  </si>
  <si>
    <t>00:01:31_(+_0_days)</t>
  </si>
  <si>
    <t>15.0_MeV/u_197Au_@_K500</t>
  </si>
  <si>
    <t>3_(20_mm_air_Si)</t>
  </si>
  <si>
    <t>silicon</t>
  </si>
  <si>
    <t>In-air</t>
  </si>
  <si>
    <t>Current</t>
  </si>
  <si>
    <t>EPC_July_2023.#37</t>
  </si>
  <si>
    <t>23/08/01___19:45:46</t>
  </si>
  <si>
    <t>23/08/01___19:47:09</t>
  </si>
  <si>
    <t>00:01:23_(+_0_days)</t>
  </si>
  <si>
    <t>EPC_July_2023.#38</t>
  </si>
  <si>
    <t>23/08/01___19:48:00</t>
  </si>
  <si>
    <t>23/08/01___19:49:16</t>
  </si>
  <si>
    <t>00:01:16_(+_0_days)</t>
  </si>
  <si>
    <t>EPC_July_2023.#39</t>
  </si>
  <si>
    <t>23/08/01___19:50:05</t>
  </si>
  <si>
    <t>23/08/01___19:51:26</t>
  </si>
  <si>
    <t>00:01:21_(+_0_days)</t>
  </si>
  <si>
    <t>EPC_July_2023.#3a</t>
  </si>
  <si>
    <t>23/08/01___19:51:59</t>
  </si>
  <si>
    <t>23/08/01___19:53:22</t>
  </si>
  <si>
    <t>EPC_July_2023.#3b</t>
  </si>
  <si>
    <t>23/08/01___19:53:59</t>
  </si>
  <si>
    <t>23/08/01___19:55:18</t>
  </si>
  <si>
    <t>00:01:19_(+_0_days)</t>
  </si>
  <si>
    <r>
      <t xml:space="preserve">TAMU RUN LOG 04-26-2022 </t>
    </r>
    <r>
      <rPr>
        <b/>
        <i/>
        <sz val="14"/>
        <color theme="0"/>
        <rFont val="Calibri"/>
        <family val="2"/>
        <scheme val="minor"/>
      </rPr>
      <t>contd.</t>
    </r>
  </si>
  <si>
    <t>Dose(rad)</t>
  </si>
  <si>
    <t>Live_time(s)</t>
  </si>
  <si>
    <t>Dead_time(s)</t>
  </si>
  <si>
    <t>Aver._flux(ions/(cm2s))</t>
  </si>
  <si>
    <t>Aver._flux_error(%)</t>
  </si>
  <si>
    <t>Overall_uniformity(%)</t>
  </si>
  <si>
    <t>Overall_central_shift(%)</t>
  </si>
  <si>
    <t>Calibration_factor</t>
  </si>
  <si>
    <t>DUT_X_coordinate</t>
  </si>
  <si>
    <t>DUT_Y_coordinate</t>
  </si>
  <si>
    <t>DUT_Z_coordinate</t>
  </si>
  <si>
    <t>DUT_tilt_angle</t>
  </si>
  <si>
    <t>Slit_width_/_Roll_angle</t>
  </si>
  <si>
    <t>Slit_height_/_Unused</t>
  </si>
  <si>
    <t>Al_degrader_number</t>
  </si>
  <si>
    <t>Degrader_angle</t>
  </si>
  <si>
    <t>Detector_bias(V)         Comments</t>
  </si>
  <si>
    <t>2.163_in</t>
  </si>
  <si>
    <t>-3.265_in</t>
  </si>
  <si>
    <t>-5.874_cm</t>
  </si>
  <si>
    <t>-0.000_deg</t>
  </si>
  <si>
    <t>-82.225_deg</t>
  </si>
  <si>
    <t>0.100_in</t>
  </si>
  <si>
    <t>-0.000_steps</t>
  </si>
  <si>
    <t>0.000_deg</t>
  </si>
  <si>
    <t>390_400_385_410_360</t>
  </si>
  <si>
    <t>3.363_in</t>
  </si>
  <si>
    <t>2.788_in</t>
  </si>
  <si>
    <t>-0.086_in</t>
  </si>
  <si>
    <t>0.425_in</t>
  </si>
  <si>
    <t>-0.737_in</t>
  </si>
  <si>
    <t>-1.900_in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</si>
</sst>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8"/>
      <color rgb="FF0070C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8"/>
      <color theme="7" tint="0.59999389629810485"/>
      <name val="Calibri"/>
      <family val="2"/>
      <scheme val="minor"/>
    </font>
    <font>
      <sz val="24"/>
      <color theme="7" tint="0.59999389629810485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89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9" fillId="0" borderId="0" xfId="42" applyFont="1" applyFill="1" applyBorder="1" applyAlignment="1">
      <alignment vertical="top"/>
    </xf>
    <xf numFmtId="0" fontId="0" fillId="35" borderId="12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7" borderId="11" xfId="0" applyFill="1" applyBorder="1"/>
    <xf numFmtId="0" fontId="0" fillId="37" borderId="12" xfId="0" applyFill="1" applyBorder="1" applyAlignment="1">
      <alignment horizontal="center"/>
    </xf>
    <xf numFmtId="0" fontId="0" fillId="37" borderId="12" xfId="0" applyFill="1" applyBorder="1"/>
    <xf numFmtId="11" fontId="0" fillId="37" borderId="12" xfId="0" applyNumberFormat="1" applyFill="1" applyBorder="1" applyAlignment="1">
      <alignment horizontal="center"/>
    </xf>
    <xf numFmtId="14" fontId="0" fillId="37" borderId="12" xfId="0" applyNumberFormat="1" applyFill="1" applyBorder="1" applyAlignment="1">
      <alignment horizontal="center"/>
    </xf>
    <xf numFmtId="11" fontId="0" fillId="34" borderId="12" xfId="0" applyNumberFormat="1" applyFill="1" applyBorder="1" applyAlignment="1">
      <alignment horizontal="center"/>
    </xf>
    <xf numFmtId="11" fontId="0" fillId="35" borderId="12" xfId="0" applyNumberFormat="1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0" fillId="39" borderId="12" xfId="0" applyFill="1" applyBorder="1" applyAlignment="1">
      <alignment horizontal="center"/>
    </xf>
    <xf numFmtId="0" fontId="0" fillId="39" borderId="13" xfId="0" applyFill="1" applyBorder="1" applyAlignment="1">
      <alignment horizontal="center"/>
    </xf>
    <xf numFmtId="2" fontId="0" fillId="39" borderId="12" xfId="0" applyNumberFormat="1" applyFill="1" applyBorder="1" applyAlignment="1">
      <alignment horizontal="center"/>
    </xf>
    <xf numFmtId="2" fontId="0" fillId="37" borderId="12" xfId="0" applyNumberFormat="1" applyFill="1" applyBorder="1" applyAlignment="1">
      <alignment horizontal="center"/>
    </xf>
    <xf numFmtId="0" fontId="0" fillId="38" borderId="0" xfId="0" applyFill="1"/>
    <xf numFmtId="0" fontId="0" fillId="36" borderId="0" xfId="0" applyFill="1"/>
    <xf numFmtId="0" fontId="0" fillId="35" borderId="0" xfId="0" applyFill="1"/>
    <xf numFmtId="0" fontId="0" fillId="33" borderId="0" xfId="0" applyFill="1"/>
    <xf numFmtId="11" fontId="0" fillId="34" borderId="13" xfId="0" applyNumberFormat="1" applyFill="1" applyBorder="1" applyAlignment="1">
      <alignment horizontal="center"/>
    </xf>
    <xf numFmtId="0" fontId="0" fillId="41" borderId="12" xfId="0" applyFill="1" applyBorder="1" applyAlignment="1">
      <alignment horizontal="center"/>
    </xf>
    <xf numFmtId="0" fontId="0" fillId="41" borderId="13" xfId="0" applyFill="1" applyBorder="1" applyAlignment="1">
      <alignment horizontal="center"/>
    </xf>
    <xf numFmtId="11" fontId="0" fillId="0" borderId="0" xfId="0" applyNumberFormat="1"/>
    <xf numFmtId="0" fontId="0" fillId="33" borderId="17" xfId="0" applyFill="1" applyBorder="1"/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4" borderId="17" xfId="0" applyFill="1" applyBorder="1"/>
    <xf numFmtId="0" fontId="0" fillId="34" borderId="17" xfId="0" applyFill="1" applyBorder="1" applyAlignment="1">
      <alignment horizontal="left"/>
    </xf>
    <xf numFmtId="0" fontId="0" fillId="34" borderId="11" xfId="0" applyFill="1" applyBorder="1"/>
    <xf numFmtId="0" fontId="0" fillId="33" borderId="12" xfId="0" applyFill="1" applyBorder="1"/>
    <xf numFmtId="0" fontId="0" fillId="34" borderId="12" xfId="0" applyFill="1" applyBorder="1"/>
    <xf numFmtId="14" fontId="0" fillId="33" borderId="17" xfId="0" applyNumberFormat="1" applyFill="1" applyBorder="1" applyAlignment="1">
      <alignment horizontal="left"/>
    </xf>
    <xf numFmtId="14" fontId="0" fillId="33" borderId="10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34" borderId="12" xfId="0" applyNumberFormat="1" applyFill="1" applyBorder="1"/>
    <xf numFmtId="14" fontId="0" fillId="34" borderId="17" xfId="0" applyNumberFormat="1" applyFill="1" applyBorder="1" applyAlignment="1">
      <alignment horizontal="left"/>
    </xf>
    <xf numFmtId="0" fontId="16" fillId="33" borderId="17" xfId="0" applyFont="1" applyFill="1" applyBorder="1" applyAlignment="1">
      <alignment horizontal="left"/>
    </xf>
    <xf numFmtId="0" fontId="16" fillId="34" borderId="17" xfId="0" applyFont="1" applyFill="1" applyBorder="1" applyAlignment="1">
      <alignment horizontal="left"/>
    </xf>
    <xf numFmtId="0" fontId="26" fillId="42" borderId="12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0" fillId="41" borderId="11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0" fontId="0" fillId="44" borderId="22" xfId="0" applyFill="1" applyBorder="1"/>
    <xf numFmtId="0" fontId="0" fillId="45" borderId="12" xfId="0" applyFill="1" applyBorder="1" applyAlignment="1">
      <alignment horizontal="center"/>
    </xf>
    <xf numFmtId="14" fontId="0" fillId="41" borderId="12" xfId="0" applyNumberFormat="1" applyFill="1" applyBorder="1"/>
    <xf numFmtId="18" fontId="0" fillId="41" borderId="12" xfId="0" applyNumberFormat="1" applyFill="1" applyBorder="1"/>
    <xf numFmtId="11" fontId="0" fillId="46" borderId="12" xfId="0" applyNumberFormat="1" applyFill="1" applyBorder="1" applyAlignment="1">
      <alignment horizontal="center"/>
    </xf>
    <xf numFmtId="0" fontId="0" fillId="47" borderId="12" xfId="0" applyFill="1" applyBorder="1" applyAlignment="1">
      <alignment horizontal="center"/>
    </xf>
    <xf numFmtId="49" fontId="0" fillId="44" borderId="23" xfId="0" applyNumberFormat="1" applyFill="1" applyBorder="1" applyAlignment="1">
      <alignment horizontal="center" vertical="top" wrapText="1"/>
    </xf>
    <xf numFmtId="0" fontId="0" fillId="44" borderId="23" xfId="0" applyFill="1" applyBorder="1" applyAlignment="1">
      <alignment horizontal="center" vertical="top" wrapText="1"/>
    </xf>
    <xf numFmtId="49" fontId="0" fillId="44" borderId="13" xfId="0" applyNumberFormat="1" applyFill="1" applyBorder="1" applyAlignment="1">
      <alignment horizontal="center" vertical="top" wrapText="1"/>
    </xf>
    <xf numFmtId="0" fontId="0" fillId="0" borderId="12" xfId="0" applyBorder="1"/>
    <xf numFmtId="11" fontId="0" fillId="0" borderId="12" xfId="0" applyNumberFormat="1" applyBorder="1"/>
    <xf numFmtId="0" fontId="0" fillId="44" borderId="13" xfId="0" applyFill="1" applyBorder="1" applyAlignment="1">
      <alignment horizontal="center" vertical="top" wrapText="1"/>
    </xf>
    <xf numFmtId="0" fontId="28" fillId="43" borderId="18" xfId="0" applyFont="1" applyFill="1" applyBorder="1" applyAlignment="1">
      <alignment horizontal="center" vertical="center"/>
    </xf>
    <xf numFmtId="0" fontId="28" fillId="43" borderId="19" xfId="0" applyFont="1" applyFill="1" applyBorder="1" applyAlignment="1">
      <alignment horizontal="center" vertical="center"/>
    </xf>
    <xf numFmtId="0" fontId="28" fillId="43" borderId="20" xfId="0" applyFont="1" applyFill="1" applyBorder="1" applyAlignment="1">
      <alignment horizontal="center" vertical="center"/>
    </xf>
    <xf numFmtId="0" fontId="28" fillId="43" borderId="14" xfId="0" applyFont="1" applyFill="1" applyBorder="1" applyAlignment="1">
      <alignment horizontal="center" vertical="center"/>
    </xf>
    <xf numFmtId="0" fontId="28" fillId="43" borderId="21" xfId="0" applyFont="1" applyFill="1" applyBorder="1" applyAlignment="1">
      <alignment horizontal="center" vertical="center"/>
    </xf>
    <xf numFmtId="0" fontId="28" fillId="43" borderId="15" xfId="0" applyFont="1" applyFill="1" applyBorder="1" applyAlignment="1">
      <alignment horizontal="center" vertical="center"/>
    </xf>
    <xf numFmtId="0" fontId="29" fillId="43" borderId="14" xfId="0" applyFont="1" applyFill="1" applyBorder="1" applyAlignment="1">
      <alignment horizontal="center"/>
    </xf>
    <xf numFmtId="0" fontId="29" fillId="43" borderId="21" xfId="0" applyFont="1" applyFill="1" applyBorder="1" applyAlignment="1">
      <alignment horizontal="center"/>
    </xf>
    <xf numFmtId="0" fontId="29" fillId="43" borderId="24" xfId="0" applyFont="1" applyFill="1" applyBorder="1" applyAlignment="1">
      <alignment horizontal="center"/>
    </xf>
    <xf numFmtId="0" fontId="29" fillId="43" borderId="0" xfId="0" applyFont="1" applyFill="1" applyAlignment="1">
      <alignment horizontal="center"/>
    </xf>
    <xf numFmtId="0" fontId="0" fillId="44" borderId="24" xfId="0" applyFill="1" applyBorder="1" applyAlignment="1">
      <alignment horizontal="center" vertical="top" wrapText="1"/>
    </xf>
    <xf numFmtId="0" fontId="0" fillId="44" borderId="0" xfId="0" applyFill="1" applyAlignment="1">
      <alignment horizontal="center" vertical="top" wrapText="1"/>
    </xf>
    <xf numFmtId="0" fontId="24" fillId="40" borderId="16" xfId="0" applyFont="1" applyFill="1" applyBorder="1" applyAlignment="1">
      <alignment horizontal="center"/>
    </xf>
    <xf numFmtId="0" fontId="24" fillId="40" borderId="0" xfId="0" applyFont="1" applyFill="1" applyAlignment="1">
      <alignment horizontal="center"/>
    </xf>
    <xf numFmtId="0" fontId="25" fillId="40" borderId="16" xfId="0" applyFont="1" applyFill="1" applyBorder="1" applyAlignment="1">
      <alignment horizontal="center"/>
    </xf>
    <xf numFmtId="0" fontId="25" fillId="40" borderId="0" xfId="0" applyFont="1" applyFill="1" applyAlignment="1">
      <alignment horizontal="center"/>
    </xf>
    <xf numFmtId="0" fontId="23" fillId="37" borderId="16" xfId="0" applyFont="1" applyFill="1" applyBorder="1" applyAlignment="1">
      <alignment horizontal="center" vertical="center" readingOrder="1"/>
    </xf>
    <xf numFmtId="0" fontId="23" fillId="37" borderId="0" xfId="0" applyFont="1" applyFill="1" applyAlignment="1">
      <alignment horizontal="center" vertical="center" readingOrder="1"/>
    </xf>
    <xf numFmtId="0" fontId="20" fillId="37" borderId="16" xfId="0" applyFont="1" applyFill="1" applyBorder="1" applyAlignment="1">
      <alignment horizontal="center" vertical="center" readingOrder="1"/>
    </xf>
    <xf numFmtId="0" fontId="20" fillId="37" borderId="0" xfId="0" applyFont="1" applyFill="1" applyAlignment="1">
      <alignment horizontal="center" vertical="center" readingOrder="1"/>
    </xf>
    <xf numFmtId="0" fontId="21" fillId="37" borderId="16" xfId="0" applyFont="1" applyFill="1" applyBorder="1" applyAlignment="1">
      <alignment horizontal="center"/>
    </xf>
    <xf numFmtId="0" fontId="21" fillId="37" borderId="0" xfId="0" applyFont="1" applyFill="1" applyAlignment="1">
      <alignment horizontal="center"/>
    </xf>
    <xf numFmtId="0" fontId="22" fillId="37" borderId="16" xfId="0" applyFont="1" applyFill="1" applyBorder="1" applyAlignment="1">
      <alignment horizontal="center" vertical="center" readingOrder="1"/>
    </xf>
    <xf numFmtId="0" fontId="22" fillId="37" borderId="0" xfId="0" applyFont="1" applyFill="1" applyAlignment="1">
      <alignment horizontal="center" vertical="center" readingOrder="1"/>
    </xf>
    <xf numFmtId="0" fontId="0" fillId="33" borderId="17" xfId="0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34" borderId="17" xfId="0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5" borderId="14" xfId="0" applyFill="1" applyBorder="1" applyAlignment="1">
      <alignment horizontal="center"/>
    </xf>
    <xf numFmtId="0" fontId="0" fillId="35" borderId="15" xfId="0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3" xfId="43" xr:uid="{60BC1600-95F6-4A5C-915C-9A830F7BB05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color theme="0"/>
      </font>
      <fill>
        <patternFill>
          <fgColor indexed="64"/>
          <bgColor rgb="FF00B050"/>
        </patternFill>
      </fill>
    </dxf>
    <dxf>
      <font>
        <b/>
        <i val="0"/>
        <color theme="0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ysClr val="windowText" lastClr="000000"/>
                </a:solidFill>
              </a:rPr>
              <a:t>IDS VS FLUENCE LOT: E4197M EPI ID: : G322600089  WAFERS: R140, R141</a:t>
            </a:r>
          </a:p>
        </c:rich>
      </c:tx>
      <c:layout>
        <c:manualLayout>
          <c:xMode val="edge"/>
          <c:yMode val="edge"/>
          <c:x val="0.24644191308154442"/>
          <c:y val="1.1129660545353366E-2"/>
        </c:manualLayout>
      </c:layout>
      <c:overlay val="0"/>
      <c:spPr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4.5510254014858309E-2"/>
          <c:y val="2.2930095823330141E-2"/>
          <c:w val="0.95448974598514169"/>
          <c:h val="0.86505786302778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GRAPH!$S$28</c:f>
              <c:strCache>
                <c:ptCount val="1"/>
                <c:pt idx="0">
                  <c:v>IDS__R140-1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Wafer1!$A$2:$A$387</c:f>
              <c:numCache>
                <c:formatCode>0.00E+00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2576.3279527912355</c:v>
                </c:pt>
                <c:pt idx="4">
                  <c:v>37372.151697660913</c:v>
                </c:pt>
                <c:pt idx="5">
                  <c:v>71223.664001666868</c:v>
                </c:pt>
                <c:pt idx="6">
                  <c:v>103422.63128416131</c:v>
                </c:pt>
                <c:pt idx="7">
                  <c:v>139829.94303137451</c:v>
                </c:pt>
                <c:pt idx="8">
                  <c:v>175385.32163085195</c:v>
                </c:pt>
                <c:pt idx="9">
                  <c:v>207502.17487501045</c:v>
                </c:pt>
                <c:pt idx="10">
                  <c:v>242646.98328280801</c:v>
                </c:pt>
                <c:pt idx="11">
                  <c:v>275697.88371303817</c:v>
                </c:pt>
                <c:pt idx="12">
                  <c:v>309200.41135411628</c:v>
                </c:pt>
                <c:pt idx="13">
                  <c:v>341861.27010225056</c:v>
                </c:pt>
                <c:pt idx="14">
                  <c:v>376718.67937587225</c:v>
                </c:pt>
                <c:pt idx="15">
                  <c:v>402564.07294212055</c:v>
                </c:pt>
                <c:pt idx="16">
                  <c:v>428625.01585900079</c:v>
                </c:pt>
                <c:pt idx="17">
                  <c:v>453413.19118167349</c:v>
                </c:pt>
                <c:pt idx="18">
                  <c:v>486320.3920448157</c:v>
                </c:pt>
                <c:pt idx="19">
                  <c:v>500957.21937820339</c:v>
                </c:pt>
                <c:pt idx="20">
                  <c:v>521064.89451572538</c:v>
                </c:pt>
                <c:pt idx="21">
                  <c:v>549691.90113060491</c:v>
                </c:pt>
                <c:pt idx="22">
                  <c:v>559032.37299132207</c:v>
                </c:pt>
                <c:pt idx="23">
                  <c:v>579848.28170949197</c:v>
                </c:pt>
                <c:pt idx="24">
                  <c:v>604000.07323506079</c:v>
                </c:pt>
                <c:pt idx="25">
                  <c:v>630451.05783403688</c:v>
                </c:pt>
                <c:pt idx="26">
                  <c:v>666355.42109644227</c:v>
                </c:pt>
                <c:pt idx="27">
                  <c:v>700401.95424149616</c:v>
                </c:pt>
                <c:pt idx="28">
                  <c:v>732251.93686106277</c:v>
                </c:pt>
                <c:pt idx="29">
                  <c:v>768669.51286306791</c:v>
                </c:pt>
                <c:pt idx="30">
                  <c:v>798240.83091881115</c:v>
                </c:pt>
                <c:pt idx="31">
                  <c:v>822351.56542521203</c:v>
                </c:pt>
                <c:pt idx="32">
                  <c:v>854437.62590499443</c:v>
                </c:pt>
                <c:pt idx="33">
                  <c:v>888350.72373775241</c:v>
                </c:pt>
                <c:pt idx="34">
                  <c:v>915920.51210905623</c:v>
                </c:pt>
                <c:pt idx="35">
                  <c:v>941591.41334384063</c:v>
                </c:pt>
                <c:pt idx="36">
                  <c:v>968042.39794281672</c:v>
                </c:pt>
                <c:pt idx="37">
                  <c:v>989936.0534141463</c:v>
                </c:pt>
                <c:pt idx="38">
                  <c:v>1022750.8759841606</c:v>
                </c:pt>
                <c:pt idx="39">
                  <c:v>1041082.8350426671</c:v>
                </c:pt>
                <c:pt idx="40">
                  <c:v>1056161.0253321107</c:v>
                </c:pt>
                <c:pt idx="41">
                  <c:v>1073097.0457389057</c:v>
                </c:pt>
                <c:pt idx="42">
                  <c:v>1102904.4416548647</c:v>
                </c:pt>
                <c:pt idx="43">
                  <c:v>1132003.6039901762</c:v>
                </c:pt>
                <c:pt idx="44">
                  <c:v>1147235.7581014996</c:v>
                </c:pt>
                <c:pt idx="45">
                  <c:v>1172814.2810431561</c:v>
                </c:pt>
                <c:pt idx="46">
                  <c:v>1180132.6947098498</c:v>
                </c:pt>
                <c:pt idx="47">
                  <c:v>1213809.7146823918</c:v>
                </c:pt>
                <c:pt idx="48">
                  <c:v>1227235.3599503238</c:v>
                </c:pt>
                <c:pt idx="49">
                  <c:v>1253101.2820261561</c:v>
                </c:pt>
                <c:pt idx="50">
                  <c:v>1264925.7035465366</c:v>
                </c:pt>
                <c:pt idx="51">
                  <c:v>1292618.6629753446</c:v>
                </c:pt>
                <c:pt idx="52">
                  <c:v>1321153.2912970961</c:v>
                </c:pt>
                <c:pt idx="53">
                  <c:v>1348045.6388521281</c:v>
                </c:pt>
                <c:pt idx="54">
                  <c:v>1352366.8901195587</c:v>
                </c:pt>
                <c:pt idx="55">
                  <c:v>1382317.9856026059</c:v>
                </c:pt>
                <c:pt idx="56">
                  <c:v>1393413.6450327546</c:v>
                </c:pt>
                <c:pt idx="57">
                  <c:v>1429933.8635826798</c:v>
                </c:pt>
                <c:pt idx="58">
                  <c:v>1434090.8867734384</c:v>
                </c:pt>
                <c:pt idx="59">
                  <c:v>1461455.3900489025</c:v>
                </c:pt>
                <c:pt idx="60">
                  <c:v>1480136.3337703368</c:v>
                </c:pt>
                <c:pt idx="61">
                  <c:v>1501896.5539293704</c:v>
                </c:pt>
                <c:pt idx="62">
                  <c:v>1507459.7800266328</c:v>
                </c:pt>
                <c:pt idx="63">
                  <c:v>1534516.3556583368</c:v>
                </c:pt>
                <c:pt idx="64">
                  <c:v>1569763.8066140541</c:v>
                </c:pt>
                <c:pt idx="65">
                  <c:v>1598667.9481083176</c:v>
                </c:pt>
                <c:pt idx="66">
                  <c:v>1618077.6539199839</c:v>
                </c:pt>
                <c:pt idx="67">
                  <c:v>1648408.5268303349</c:v>
                </c:pt>
                <c:pt idx="68">
                  <c:v>1678369.886568174</c:v>
                </c:pt>
                <c:pt idx="69">
                  <c:v>1705508.576238214</c:v>
                </c:pt>
                <c:pt idx="70">
                  <c:v>1732585.680379502</c:v>
                </c:pt>
                <c:pt idx="71">
                  <c:v>1760925.2878602054</c:v>
                </c:pt>
                <c:pt idx="72">
                  <c:v>1790404.2276228208</c:v>
                </c:pt>
                <c:pt idx="73">
                  <c:v>1826072.5130250102</c:v>
                </c:pt>
                <c:pt idx="74">
                  <c:v>1841078.8535309096</c:v>
                </c:pt>
                <c:pt idx="75">
                  <c:v>1867057.6824094539</c:v>
                </c:pt>
                <c:pt idx="76">
                  <c:v>1892769.6406634063</c:v>
                </c:pt>
                <c:pt idx="77">
                  <c:v>1920113.6154292864</c:v>
                </c:pt>
                <c:pt idx="78">
                  <c:v>1946482.4859899264</c:v>
                </c:pt>
                <c:pt idx="79">
                  <c:v>1972358.6723205508</c:v>
                </c:pt>
                <c:pt idx="80">
                  <c:v>1989274.1642177617</c:v>
                </c:pt>
                <c:pt idx="81">
                  <c:v>2006754.1901285325</c:v>
                </c:pt>
                <c:pt idx="82">
                  <c:v>2033821.0300150285</c:v>
                </c:pt>
                <c:pt idx="83">
                  <c:v>2065547.841577091</c:v>
                </c:pt>
                <c:pt idx="84">
                  <c:v>2082945.7534495259</c:v>
                </c:pt>
                <c:pt idx="85">
                  <c:v>2106625.3892546631</c:v>
                </c:pt>
                <c:pt idx="86">
                  <c:v>2136083.800507694</c:v>
                </c:pt>
                <c:pt idx="87">
                  <c:v>2165070.0560402935</c:v>
                </c:pt>
                <c:pt idx="88">
                  <c:v>2185937.2860324234</c:v>
                </c:pt>
                <c:pt idx="89">
                  <c:v>2201518.4248066749</c:v>
                </c:pt>
                <c:pt idx="90">
                  <c:v>2224541.1483051241</c:v>
                </c:pt>
                <c:pt idx="91">
                  <c:v>2254913.0782346427</c:v>
                </c:pt>
                <c:pt idx="92">
                  <c:v>2288939.0828701127</c:v>
                </c:pt>
                <c:pt idx="93">
                  <c:v>2321784.6982045029</c:v>
                </c:pt>
                <c:pt idx="94">
                  <c:v>2355492.5109414211</c:v>
                </c:pt>
                <c:pt idx="95">
                  <c:v>2380988.9198447415</c:v>
                </c:pt>
                <c:pt idx="96">
                  <c:v>2410878.4297990366</c:v>
                </c:pt>
                <c:pt idx="97">
                  <c:v>2444873.6416701307</c:v>
                </c:pt>
                <c:pt idx="98">
                  <c:v>2462507.6314027812</c:v>
                </c:pt>
                <c:pt idx="99">
                  <c:v>2478530.1331330887</c:v>
                </c:pt>
                <c:pt idx="100">
                  <c:v>2500290.353292122</c:v>
                </c:pt>
                <c:pt idx="101">
                  <c:v>2530723.8687503929</c:v>
                </c:pt>
                <c:pt idx="102">
                  <c:v>2560428.6221184321</c:v>
                </c:pt>
                <c:pt idx="103">
                  <c:v>2584426.4498221213</c:v>
                </c:pt>
                <c:pt idx="104">
                  <c:v>2605119.1874827868</c:v>
                </c:pt>
                <c:pt idx="105">
                  <c:v>2637934.0100528011</c:v>
                </c:pt>
                <c:pt idx="106">
                  <c:v>2664477.3729449054</c:v>
                </c:pt>
                <c:pt idx="107">
                  <c:v>2684195.0064003314</c:v>
                </c:pt>
                <c:pt idx="108">
                  <c:v>2717050.8859895137</c:v>
                </c:pt>
                <c:pt idx="109">
                  <c:v>2747997.6141873845</c:v>
                </c:pt>
                <c:pt idx="110">
                  <c:v>2766575.9153608992</c:v>
                </c:pt>
                <c:pt idx="111">
                  <c:v>2799821.8366321772</c:v>
                </c:pt>
                <c:pt idx="112">
                  <c:v>2812703.4763961337</c:v>
                </c:pt>
                <c:pt idx="113">
                  <c:v>2834792.1527085109</c:v>
                </c:pt>
                <c:pt idx="114">
                  <c:v>2868705.2505412688</c:v>
                </c:pt>
                <c:pt idx="115">
                  <c:v>2900473.1191224996</c:v>
                </c:pt>
                <c:pt idx="116">
                  <c:v>2930875.8418163946</c:v>
                </c:pt>
                <c:pt idx="117">
                  <c:v>2960570.3309296416</c:v>
                </c:pt>
                <c:pt idx="118">
                  <c:v>2988992.0524486811</c:v>
                </c:pt>
                <c:pt idx="119">
                  <c:v>3004491.0771845966</c:v>
                </c:pt>
                <c:pt idx="120">
                  <c:v>3034349.7943745158</c:v>
                </c:pt>
                <c:pt idx="121">
                  <c:v>3051101.0581950545</c:v>
                </c:pt>
                <c:pt idx="122">
                  <c:v>3080272.07031391</c:v>
                </c:pt>
                <c:pt idx="123">
                  <c:v>3111003.2491611489</c:v>
                </c:pt>
                <c:pt idx="124">
                  <c:v>3146445.7209579144</c:v>
                </c:pt>
                <c:pt idx="125">
                  <c:v>3175072.7275727941</c:v>
                </c:pt>
                <c:pt idx="126">
                  <c:v>3203956.3405574732</c:v>
                </c:pt>
                <c:pt idx="127">
                  <c:v>3229339.842658082</c:v>
                </c:pt>
                <c:pt idx="128">
                  <c:v>3264012.4953454477</c:v>
                </c:pt>
                <c:pt idx="129">
                  <c:v>3280866.4017139063</c:v>
                </c:pt>
                <c:pt idx="130">
                  <c:v>3308087.2054222822</c:v>
                </c:pt>
                <c:pt idx="131">
                  <c:v>3342893.2934219441</c:v>
                </c:pt>
                <c:pt idx="132">
                  <c:v>3376457.406591774</c:v>
                </c:pt>
                <c:pt idx="133">
                  <c:v>3412762.0757910674</c:v>
                </c:pt>
                <c:pt idx="134">
                  <c:v>3441471.1964442828</c:v>
                </c:pt>
                <c:pt idx="135">
                  <c:v>3475610.1078824648</c:v>
                </c:pt>
                <c:pt idx="136">
                  <c:v>3510210.9107862865</c:v>
                </c:pt>
                <c:pt idx="137">
                  <c:v>3540357.0271103815</c:v>
                </c:pt>
                <c:pt idx="138">
                  <c:v>3565617.3581534862</c:v>
                </c:pt>
                <c:pt idx="139">
                  <c:v>3594285.4217875334</c:v>
                </c:pt>
                <c:pt idx="140">
                  <c:v>3623302.4700845089</c:v>
                </c:pt>
                <c:pt idx="141">
                  <c:v>3656692.0909228749</c:v>
                </c:pt>
                <c:pt idx="142">
                  <c:v>3689127.1360655855</c:v>
                </c:pt>
                <c:pt idx="143">
                  <c:v>3717661.764387337</c:v>
                </c:pt>
                <c:pt idx="144">
                  <c:v>3750230.244842343</c:v>
                </c:pt>
                <c:pt idx="145">
                  <c:v>3780304.5113828941</c:v>
                </c:pt>
                <c:pt idx="146">
                  <c:v>3801007.5132983522</c:v>
                </c:pt>
                <c:pt idx="147">
                  <c:v>3828115.4102040161</c:v>
                </c:pt>
                <c:pt idx="148">
                  <c:v>3861032.8753219503</c:v>
                </c:pt>
                <c:pt idx="149">
                  <c:v>3892000.1320294053</c:v>
                </c:pt>
                <c:pt idx="150">
                  <c:v>3924096.4567639795</c:v>
                </c:pt>
                <c:pt idx="151">
                  <c:v>3955166.3560193544</c:v>
                </c:pt>
                <c:pt idx="152">
                  <c:v>3987262.6807539291</c:v>
                </c:pt>
                <c:pt idx="153">
                  <c:v>4019718.2544062231</c:v>
                </c:pt>
                <c:pt idx="154">
                  <c:v>4040780.505239401</c:v>
                </c:pt>
                <c:pt idx="155">
                  <c:v>4067303.3396219211</c:v>
                </c:pt>
                <c:pt idx="156">
                  <c:v>4089545.9797561788</c:v>
                </c:pt>
                <c:pt idx="157">
                  <c:v>4122247.8955234811</c:v>
                </c:pt>
                <c:pt idx="158">
                  <c:v>4156458.6567452066</c:v>
                </c:pt>
                <c:pt idx="159">
                  <c:v>4191182.6307065324</c:v>
                </c:pt>
                <c:pt idx="160">
                  <c:v>4224541.4587805225</c:v>
                </c:pt>
                <c:pt idx="161">
                  <c:v>4258054.2506763926</c:v>
                </c:pt>
                <c:pt idx="162">
                  <c:v>4284802.8986643367</c:v>
                </c:pt>
                <c:pt idx="163">
                  <c:v>4308790.4621132333</c:v>
                </c:pt>
                <c:pt idx="164">
                  <c:v>4344571.6543181352</c:v>
                </c:pt>
                <c:pt idx="165">
                  <c:v>4379860.1622930206</c:v>
                </c:pt>
                <c:pt idx="166">
                  <c:v>4410139.713929411</c:v>
                </c:pt>
                <c:pt idx="167">
                  <c:v>4442277.0956831537</c:v>
                </c:pt>
                <c:pt idx="168">
                  <c:v>4474722.4050806565</c:v>
                </c:pt>
                <c:pt idx="169">
                  <c:v>4505658.8690237347</c:v>
                </c:pt>
                <c:pt idx="170">
                  <c:v>4541286.0974067561</c:v>
                </c:pt>
                <c:pt idx="171">
                  <c:v>4578576.1350660818</c:v>
                </c:pt>
                <c:pt idx="172">
                  <c:v>4613618.3009259589</c:v>
                </c:pt>
                <c:pt idx="173">
                  <c:v>4645047.4490990536</c:v>
                </c:pt>
                <c:pt idx="174">
                  <c:v>4664118.4345025839</c:v>
                </c:pt>
                <c:pt idx="175">
                  <c:v>4689707.2216990329</c:v>
                </c:pt>
                <c:pt idx="176">
                  <c:v>4716332.6986294724</c:v>
                </c:pt>
                <c:pt idx="177">
                  <c:v>4728937.2035140451</c:v>
                </c:pt>
                <c:pt idx="178">
                  <c:v>4741377.4803219456</c:v>
                </c:pt>
                <c:pt idx="179">
                  <c:v>4772262.6229910636</c:v>
                </c:pt>
                <c:pt idx="180">
                  <c:v>4797389.5187218729</c:v>
                </c:pt>
                <c:pt idx="181">
                  <c:v>4819734.8014040496</c:v>
                </c:pt>
                <c:pt idx="182">
                  <c:v>4852590.6809932319</c:v>
                </c:pt>
                <c:pt idx="183">
                  <c:v>4868017.8559456039</c:v>
                </c:pt>
                <c:pt idx="184">
                  <c:v>4898595.0709709628</c:v>
                </c:pt>
                <c:pt idx="185">
                  <c:v>4910255.2644146709</c:v>
                </c:pt>
                <c:pt idx="186">
                  <c:v>4926021.1597751779</c:v>
                </c:pt>
                <c:pt idx="187">
                  <c:v>4948233.0071450602</c:v>
                </c:pt>
                <c:pt idx="188">
                  <c:v>4976141.5159244994</c:v>
                </c:pt>
                <c:pt idx="189">
                  <c:v>5002736.2000905639</c:v>
                </c:pt>
                <c:pt idx="190">
                  <c:v>5036659.5621781135</c:v>
                </c:pt>
                <c:pt idx="191">
                  <c:v>5066980.1708336724</c:v>
                </c:pt>
                <c:pt idx="192">
                  <c:v>5089027.7901268816</c:v>
                </c:pt>
                <c:pt idx="193">
                  <c:v>5123495.1577184079</c:v>
                </c:pt>
                <c:pt idx="194">
                  <c:v>5144957.7144884737</c:v>
                </c:pt>
                <c:pt idx="195">
                  <c:v>5167693.0388527466</c:v>
                </c:pt>
                <c:pt idx="196">
                  <c:v>5198639.7670506174</c:v>
                </c:pt>
                <c:pt idx="197">
                  <c:v>5230582.127963312</c:v>
                </c:pt>
                <c:pt idx="198">
                  <c:v>5266353.0559134213</c:v>
                </c:pt>
                <c:pt idx="199">
                  <c:v>5294066.5438518133</c:v>
                </c:pt>
                <c:pt idx="200">
                  <c:v>5326604.2315424439</c:v>
                </c:pt>
                <c:pt idx="201">
                  <c:v>5360681.5574518731</c:v>
                </c:pt>
                <c:pt idx="202">
                  <c:v>5392100.4413701762</c:v>
                </c:pt>
                <c:pt idx="203">
                  <c:v>5419033.8459443757</c:v>
                </c:pt>
                <c:pt idx="204">
                  <c:v>5453798.8769248696</c:v>
                </c:pt>
                <c:pt idx="205">
                  <c:v>5486090.2225004919</c:v>
                </c:pt>
                <c:pt idx="206">
                  <c:v>5516975.3651696108</c:v>
                </c:pt>
                <c:pt idx="207">
                  <c:v>5550108.3796381773</c:v>
                </c:pt>
                <c:pt idx="208">
                  <c:v>5567342.0634339405</c:v>
                </c:pt>
                <c:pt idx="209">
                  <c:v>5589492.3252750691</c:v>
                </c:pt>
                <c:pt idx="210">
                  <c:v>5600577.7204504265</c:v>
                </c:pt>
                <c:pt idx="211">
                  <c:v>5622389.2618834199</c:v>
                </c:pt>
                <c:pt idx="212">
                  <c:v>5631914.4903303925</c:v>
                </c:pt>
                <c:pt idx="213">
                  <c:v>5639951.4018325265</c:v>
                </c:pt>
                <c:pt idx="214">
                  <c:v>5670446.5028195493</c:v>
                </c:pt>
                <c:pt idx="215">
                  <c:v>5701187.9459215803</c:v>
                </c:pt>
                <c:pt idx="216">
                  <c:v>5723430.5860558376</c:v>
                </c:pt>
                <c:pt idx="217">
                  <c:v>5737718.4287262978</c:v>
                </c:pt>
                <c:pt idx="218">
                  <c:v>5760966.9658301705</c:v>
                </c:pt>
                <c:pt idx="219">
                  <c:v>5775049.5234047901</c:v>
                </c:pt>
                <c:pt idx="220">
                  <c:v>5797733.5264951037</c:v>
                </c:pt>
                <c:pt idx="221">
                  <c:v>5826144.9837593511</c:v>
                </c:pt>
                <c:pt idx="222">
                  <c:v>5858107.8731816299</c:v>
                </c:pt>
                <c:pt idx="223">
                  <c:v>5892544.4480087794</c:v>
                </c:pt>
                <c:pt idx="224">
                  <c:v>5928356.4329780573</c:v>
                </c:pt>
                <c:pt idx="225">
                  <c:v>5964260.796240462</c:v>
                </c:pt>
                <c:pt idx="226">
                  <c:v>5992189.8335294863</c:v>
                </c:pt>
                <c:pt idx="227">
                  <c:v>6019862.2644487098</c:v>
                </c:pt>
                <c:pt idx="228">
                  <c:v>6047514.1668583499</c:v>
                </c:pt>
                <c:pt idx="229">
                  <c:v>6069572.0504063508</c:v>
                </c:pt>
                <c:pt idx="230">
                  <c:v>6088047.709031946</c:v>
                </c:pt>
                <c:pt idx="231">
                  <c:v>6110926.7329633068</c:v>
                </c:pt>
                <c:pt idx="232">
                  <c:v>6136761.8622747632</c:v>
                </c:pt>
                <c:pt idx="233">
                  <c:v>6163459.1889887471</c:v>
                </c:pt>
                <c:pt idx="234">
                  <c:v>6180097.5460065743</c:v>
                </c:pt>
                <c:pt idx="235">
                  <c:v>6209063.27302959</c:v>
                </c:pt>
                <c:pt idx="236">
                  <c:v>6243099.5419198517</c:v>
                </c:pt>
                <c:pt idx="237">
                  <c:v>6272147.3829812026</c:v>
                </c:pt>
                <c:pt idx="238">
                  <c:v>6305465.1540360255</c:v>
                </c:pt>
                <c:pt idx="239">
                  <c:v>6328877.9192165704</c:v>
                </c:pt>
                <c:pt idx="240">
                  <c:v>6341574.80239427</c:v>
                </c:pt>
                <c:pt idx="241">
                  <c:v>6371033.2136473013</c:v>
                </c:pt>
                <c:pt idx="242">
                  <c:v>6401600.1644178685</c:v>
                </c:pt>
                <c:pt idx="243">
                  <c:v>6429611.315745228</c:v>
                </c:pt>
                <c:pt idx="244">
                  <c:v>6440470.8973151613</c:v>
                </c:pt>
                <c:pt idx="245">
                  <c:v>6472238.7658963921</c:v>
                </c:pt>
                <c:pt idx="246">
                  <c:v>6502261.7111629825</c:v>
                </c:pt>
                <c:pt idx="247">
                  <c:v>6529821.2352794949</c:v>
                </c:pt>
                <c:pt idx="248">
                  <c:v>6556580.1475222306</c:v>
                </c:pt>
                <c:pt idx="249">
                  <c:v>6585237.9469014863</c:v>
                </c:pt>
                <c:pt idx="250">
                  <c:v>6616862.1159156291</c:v>
                </c:pt>
                <c:pt idx="251">
                  <c:v>6659068.7316203201</c:v>
                </c:pt>
                <c:pt idx="252">
                  <c:v>6687244.1110243518</c:v>
                </c:pt>
                <c:pt idx="253">
                  <c:v>6717872.6473236708</c:v>
                </c:pt>
                <c:pt idx="254">
                  <c:v>6749599.458885733</c:v>
                </c:pt>
                <c:pt idx="255">
                  <c:v>6783255.9503486911</c:v>
                </c:pt>
                <c:pt idx="256">
                  <c:v>6813422.5951823704</c:v>
                </c:pt>
                <c:pt idx="257">
                  <c:v>6830276.501550829</c:v>
                </c:pt>
                <c:pt idx="258">
                  <c:v>6850609.9902937757</c:v>
                </c:pt>
                <c:pt idx="259">
                  <c:v>6874412.7971564159</c:v>
                </c:pt>
                <c:pt idx="260">
                  <c:v>6901294.8804566562</c:v>
                </c:pt>
                <c:pt idx="261">
                  <c:v>6926596.2685189284</c:v>
                </c:pt>
                <c:pt idx="262">
                  <c:v>6948633.6235573459</c:v>
                </c:pt>
                <c:pt idx="263">
                  <c:v>6968156.2361717243</c:v>
                </c:pt>
                <c:pt idx="264">
                  <c:v>6980493.8704317044</c:v>
                </c:pt>
                <c:pt idx="265">
                  <c:v>7005589.9733981369</c:v>
                </c:pt>
                <c:pt idx="266">
                  <c:v>7040847.6886086473</c:v>
                </c:pt>
                <c:pt idx="267">
                  <c:v>7074668.4081482766</c:v>
                </c:pt>
                <c:pt idx="268">
                  <c:v>7104249.9904588116</c:v>
                </c:pt>
                <c:pt idx="269">
                  <c:v>7127847.512225613</c:v>
                </c:pt>
                <c:pt idx="270">
                  <c:v>7137567.7615136346</c:v>
                </c:pt>
                <c:pt idx="271">
                  <c:v>7160775.2415983398</c:v>
                </c:pt>
                <c:pt idx="272">
                  <c:v>7178799.2730130861</c:v>
                </c:pt>
                <c:pt idx="273">
                  <c:v>7199296.989832704</c:v>
                </c:pt>
                <c:pt idx="274">
                  <c:v>7229525.2201951351</c:v>
                </c:pt>
                <c:pt idx="275">
                  <c:v>7260461.6841382133</c:v>
                </c:pt>
                <c:pt idx="276">
                  <c:v>7297259.0375675224</c:v>
                </c:pt>
                <c:pt idx="277">
                  <c:v>7333881.8986653676</c:v>
                </c:pt>
                <c:pt idx="278">
                  <c:v>7351567.2096719788</c:v>
                </c:pt>
                <c:pt idx="279">
                  <c:v>7386475.9402195606</c:v>
                </c:pt>
                <c:pt idx="280">
                  <c:v>7418910.9853622708</c:v>
                </c:pt>
                <c:pt idx="281">
                  <c:v>7443021.7198686711</c:v>
                </c:pt>
                <c:pt idx="282">
                  <c:v>7465018.0178879211</c:v>
                </c:pt>
                <c:pt idx="283">
                  <c:v>7475477.2935209656</c:v>
                </c:pt>
                <c:pt idx="284">
                  <c:v>7499033.7582685985</c:v>
                </c:pt>
                <c:pt idx="285">
                  <c:v>7533254.7837451166</c:v>
                </c:pt>
                <c:pt idx="286">
                  <c:v>7545407.6614188412</c:v>
                </c:pt>
                <c:pt idx="287">
                  <c:v>7576313.3325975444</c:v>
                </c:pt>
                <c:pt idx="288">
                  <c:v>7588517.5315452283</c:v>
                </c:pt>
                <c:pt idx="289">
                  <c:v>7608789.4347594222</c:v>
                </c:pt>
                <c:pt idx="290">
                  <c:v>7637108.5137305418</c:v>
                </c:pt>
                <c:pt idx="291">
                  <c:v>7668968.7606049003</c:v>
                </c:pt>
                <c:pt idx="292">
                  <c:v>7695029.7035217807</c:v>
                </c:pt>
                <c:pt idx="293">
                  <c:v>7696364.0566447405</c:v>
                </c:pt>
                <c:pt idx="294">
                  <c:v>7715660.8556536948</c:v>
                </c:pt>
                <c:pt idx="295">
                  <c:v>7735573.5099501684</c:v>
                </c:pt>
                <c:pt idx="296">
                  <c:v>7749881.8811302129</c:v>
                </c:pt>
                <c:pt idx="297">
                  <c:v>7781906.3560812427</c:v>
                </c:pt>
                <c:pt idx="298">
                  <c:v>7805144.6289303238</c:v>
                </c:pt>
                <c:pt idx="299">
                  <c:v>7835773.1652296428</c:v>
                </c:pt>
                <c:pt idx="300">
                  <c:v>7863671.4097542912</c:v>
                </c:pt>
                <c:pt idx="301">
                  <c:v>7890101.8658436825</c:v>
                </c:pt>
                <c:pt idx="302">
                  <c:v>7897635.8288610084</c:v>
                </c:pt>
                <c:pt idx="303">
                  <c:v>7930707.2578008231</c:v>
                </c:pt>
                <c:pt idx="304">
                  <c:v>7962085.0846999576</c:v>
                </c:pt>
                <c:pt idx="305">
                  <c:v>7996552.4522914831</c:v>
                </c:pt>
                <c:pt idx="306">
                  <c:v>8031245.6334884334</c:v>
                </c:pt>
                <c:pt idx="307">
                  <c:v>8064645.5185815915</c:v>
                </c:pt>
                <c:pt idx="308">
                  <c:v>8096813.6930997092</c:v>
                </c:pt>
                <c:pt idx="309">
                  <c:v>8120103.2872227505</c:v>
                </c:pt>
                <c:pt idx="310">
                  <c:v>8142992.5754089039</c:v>
                </c:pt>
                <c:pt idx="311">
                  <c:v>8170274.9646460321</c:v>
                </c:pt>
                <c:pt idx="312">
                  <c:v>8175704.7554309983</c:v>
                </c:pt>
                <c:pt idx="313">
                  <c:v>8184367.7864754433</c:v>
                </c:pt>
                <c:pt idx="314">
                  <c:v>8202648.4242599905</c:v>
                </c:pt>
                <c:pt idx="315">
                  <c:v>8221822.0522114402</c:v>
                </c:pt>
                <c:pt idx="316">
                  <c:v>8244629.2263592575</c:v>
                </c:pt>
                <c:pt idx="317">
                  <c:v>8276294.4523925679</c:v>
                </c:pt>
                <c:pt idx="318">
                  <c:v>8308821.8758284068</c:v>
                </c:pt>
                <c:pt idx="319">
                  <c:v>8341082.4286396531</c:v>
                </c:pt>
                <c:pt idx="320">
                  <c:v>8369801.8135476606</c:v>
                </c:pt>
                <c:pt idx="321">
                  <c:v>8389704.2035893425</c:v>
                </c:pt>
                <c:pt idx="322">
                  <c:v>8401733.9102055635</c:v>
                </c:pt>
                <c:pt idx="323">
                  <c:v>8429334.4913412426</c:v>
                </c:pt>
                <c:pt idx="324">
                  <c:v>8460825.2250430901</c:v>
                </c:pt>
                <c:pt idx="325">
                  <c:v>8495764.7483550478</c:v>
                </c:pt>
                <c:pt idx="326">
                  <c:v>8524853.6464355662</c:v>
                </c:pt>
                <c:pt idx="327">
                  <c:v>8553193.253916271</c:v>
                </c:pt>
                <c:pt idx="328">
                  <c:v>8585741.2058616932</c:v>
                </c:pt>
                <c:pt idx="329">
                  <c:v>8619253.9977575634</c:v>
                </c:pt>
                <c:pt idx="330">
                  <c:v>8643888.2092583552</c:v>
                </c:pt>
                <c:pt idx="331">
                  <c:v>8675522.6425272897</c:v>
                </c:pt>
                <c:pt idx="332">
                  <c:v>8711242.2492034398</c:v>
                </c:pt>
                <c:pt idx="333">
                  <c:v>8745237.4610745329</c:v>
                </c:pt>
                <c:pt idx="334">
                  <c:v>8773074.1200704295</c:v>
                </c:pt>
                <c:pt idx="335">
                  <c:v>8782342.7421476021</c:v>
                </c:pt>
                <c:pt idx="336">
                  <c:v>8795942.8797469977</c:v>
                </c:pt>
                <c:pt idx="337">
                  <c:v>8808752.6697274111</c:v>
                </c:pt>
                <c:pt idx="338">
                  <c:v>8833971.9437513463</c:v>
                </c:pt>
                <c:pt idx="339">
                  <c:v>8866037.4757215455</c:v>
                </c:pt>
                <c:pt idx="340">
                  <c:v>8897405.0383658875</c:v>
                </c:pt>
                <c:pt idx="341">
                  <c:v>8916825.0084323455</c:v>
                </c:pt>
                <c:pt idx="342">
                  <c:v>8933607.0650172606</c:v>
                </c:pt>
                <c:pt idx="343">
                  <c:v>8967848.619003363</c:v>
                </c:pt>
                <c:pt idx="344">
                  <c:v>8997584.1651357785</c:v>
                </c:pt>
                <c:pt idx="345">
                  <c:v>9025184.7462714575</c:v>
                </c:pt>
                <c:pt idx="346">
                  <c:v>9054971.6136778332</c:v>
                </c:pt>
                <c:pt idx="347">
                  <c:v>9084327.3823829442</c:v>
                </c:pt>
                <c:pt idx="348">
                  <c:v>9114730.1050768401</c:v>
                </c:pt>
                <c:pt idx="349">
                  <c:v>9148242.8969727103</c:v>
                </c:pt>
                <c:pt idx="350">
                  <c:v>9174673.3530621026</c:v>
                </c:pt>
                <c:pt idx="351">
                  <c:v>9202756.3541730046</c:v>
                </c:pt>
                <c:pt idx="352">
                  <c:v>9228201.4418023657</c:v>
                </c:pt>
                <c:pt idx="353">
                  <c:v>9262689.3379034754</c:v>
                </c:pt>
                <c:pt idx="354">
                  <c:v>9289602.2139680926</c:v>
                </c:pt>
                <c:pt idx="355">
                  <c:v>9323607.6900939774</c:v>
                </c:pt>
                <c:pt idx="356">
                  <c:v>9353661.4281249437</c:v>
                </c:pt>
                <c:pt idx="357">
                  <c:v>9380327.9620745536</c:v>
                </c:pt>
                <c:pt idx="358">
                  <c:v>9397736.1382017788</c:v>
                </c:pt>
                <c:pt idx="359">
                  <c:v>9409724.7877988312</c:v>
                </c:pt>
                <c:pt idx="360">
                  <c:v>9417330.6005997024</c:v>
                </c:pt>
                <c:pt idx="361">
                  <c:v>9426311.8235426992</c:v>
                </c:pt>
                <c:pt idx="362">
                  <c:v>9453645.5340537876</c:v>
                </c:pt>
                <c:pt idx="363">
                  <c:v>9487014.6263825689</c:v>
                </c:pt>
                <c:pt idx="364">
                  <c:v>9517940.8260708563</c:v>
                </c:pt>
                <c:pt idx="365">
                  <c:v>9540501.6581036653</c:v>
                </c:pt>
                <c:pt idx="366">
                  <c:v>9571294.4224796556</c:v>
                </c:pt>
                <c:pt idx="367">
                  <c:v>9595579.6493175216</c:v>
                </c:pt>
                <c:pt idx="368">
                  <c:v>9613234.167559756</c:v>
                </c:pt>
                <c:pt idx="369">
                  <c:v>9613624.2092418522</c:v>
                </c:pt>
                <c:pt idx="370">
                  <c:v>9634696.7243298218</c:v>
                </c:pt>
                <c:pt idx="371">
                  <c:v>9648307.126184009</c:v>
                </c:pt>
                <c:pt idx="372">
                  <c:v>9675579.2511663456</c:v>
                </c:pt>
                <c:pt idx="373">
                  <c:v>9693315.8834469151</c:v>
                </c:pt>
                <c:pt idx="374">
                  <c:v>9721101.2211688515</c:v>
                </c:pt>
                <c:pt idx="375">
                  <c:v>9749245.8078085072</c:v>
                </c:pt>
                <c:pt idx="376">
                  <c:v>9782430.143551033</c:v>
                </c:pt>
                <c:pt idx="377">
                  <c:v>9812329.9177601207</c:v>
                </c:pt>
                <c:pt idx="378">
                  <c:v>9845627.1603053585</c:v>
                </c:pt>
                <c:pt idx="379">
                  <c:v>9870199.7862773985</c:v>
                </c:pt>
                <c:pt idx="380">
                  <c:v>9902070.2974065505</c:v>
                </c:pt>
                <c:pt idx="381">
                  <c:v>9929783.7853449415</c:v>
                </c:pt>
                <c:pt idx="382">
                  <c:v>9951000</c:v>
                </c:pt>
                <c:pt idx="383">
                  <c:v>9951000</c:v>
                </c:pt>
                <c:pt idx="384">
                  <c:v>9951000</c:v>
                </c:pt>
                <c:pt idx="385">
                  <c:v>9951000</c:v>
                </c:pt>
              </c:numCache>
            </c:numRef>
          </c:xVal>
          <c:yVal>
            <c:numRef>
              <c:f>Wafer1!$B$2:$B$387</c:f>
              <c:numCache>
                <c:formatCode>0.00E+00</c:formatCode>
                <c:ptCount val="386"/>
                <c:pt idx="0">
                  <c:v>1.2727610000000001E-6</c:v>
                </c:pt>
                <c:pt idx="1">
                  <c:v>1.3230124999999999E-6</c:v>
                </c:pt>
                <c:pt idx="2">
                  <c:v>1.3620979999999998E-6</c:v>
                </c:pt>
                <c:pt idx="3">
                  <c:v>1.3530287499999999E-6</c:v>
                </c:pt>
                <c:pt idx="4">
                  <c:v>1.3649235999999999E-6</c:v>
                </c:pt>
                <c:pt idx="5">
                  <c:v>1.3966666666666665E-6</c:v>
                </c:pt>
                <c:pt idx="6">
                  <c:v>1.4562052857142857E-6</c:v>
                </c:pt>
                <c:pt idx="7">
                  <c:v>1.4815685E-6</c:v>
                </c:pt>
                <c:pt idx="8">
                  <c:v>1.4894329999999999E-6</c:v>
                </c:pt>
                <c:pt idx="9">
                  <c:v>1.5321350999999998E-6</c:v>
                </c:pt>
                <c:pt idx="10">
                  <c:v>1.560865818181818E-6</c:v>
                </c:pt>
                <c:pt idx="11">
                  <c:v>1.58668775E-6</c:v>
                </c:pt>
                <c:pt idx="12">
                  <c:v>1.6035696923076923E-6</c:v>
                </c:pt>
                <c:pt idx="13">
                  <c:v>1.621044142857143E-6</c:v>
                </c:pt>
                <c:pt idx="14">
                  <c:v>1.6400923333333333E-6</c:v>
                </c:pt>
                <c:pt idx="15">
                  <c:v>1.65489475E-6</c:v>
                </c:pt>
                <c:pt idx="16">
                  <c:v>1.6825438235294117E-6</c:v>
                </c:pt>
                <c:pt idx="17">
                  <c:v>1.7171369999999998E-6</c:v>
                </c:pt>
                <c:pt idx="18">
                  <c:v>1.7200291578947368E-6</c:v>
                </c:pt>
                <c:pt idx="19">
                  <c:v>1.7241488499999999E-6</c:v>
                </c:pt>
                <c:pt idx="20">
                  <c:v>1.7691139000000004E-6</c:v>
                </c:pt>
                <c:pt idx="21">
                  <c:v>1.80580725E-6</c:v>
                </c:pt>
                <c:pt idx="22">
                  <c:v>1.8438908500000001E-6</c:v>
                </c:pt>
                <c:pt idx="23">
                  <c:v>1.8938156E-6</c:v>
                </c:pt>
                <c:pt idx="24">
                  <c:v>1.9411672500000001E-6</c:v>
                </c:pt>
                <c:pt idx="25">
                  <c:v>1.9848236500000001E-6</c:v>
                </c:pt>
                <c:pt idx="26">
                  <c:v>2.0169579500000001E-6</c:v>
                </c:pt>
                <c:pt idx="27">
                  <c:v>2.0517796000000001E-6</c:v>
                </c:pt>
                <c:pt idx="28">
                  <c:v>2.0988793500000002E-6</c:v>
                </c:pt>
                <c:pt idx="29">
                  <c:v>2.1295974000000002E-6</c:v>
                </c:pt>
                <c:pt idx="30">
                  <c:v>2.1737406000000004E-6</c:v>
                </c:pt>
                <c:pt idx="31">
                  <c:v>2.2213677000000002E-6</c:v>
                </c:pt>
                <c:pt idx="32">
                  <c:v>2.2766306E-6</c:v>
                </c:pt>
                <c:pt idx="33">
                  <c:v>2.33566295E-6</c:v>
                </c:pt>
                <c:pt idx="34">
                  <c:v>2.3731490000000001E-6</c:v>
                </c:pt>
                <c:pt idx="35">
                  <c:v>2.4075154500000002E-6</c:v>
                </c:pt>
                <c:pt idx="36">
                  <c:v>2.4377722999999997E-6</c:v>
                </c:pt>
                <c:pt idx="37">
                  <c:v>2.4642621E-6</c:v>
                </c:pt>
                <c:pt idx="38">
                  <c:v>2.5191352500000003E-6</c:v>
                </c:pt>
                <c:pt idx="39">
                  <c:v>2.5664670500000004E-6</c:v>
                </c:pt>
                <c:pt idx="40">
                  <c:v>2.6032223000000003E-6</c:v>
                </c:pt>
                <c:pt idx="41">
                  <c:v>2.6533801000000001E-6</c:v>
                </c:pt>
                <c:pt idx="42">
                  <c:v>2.6948995000000005E-6</c:v>
                </c:pt>
                <c:pt idx="43">
                  <c:v>2.7333966500000007E-6</c:v>
                </c:pt>
                <c:pt idx="44">
                  <c:v>2.7632191000000003E-6</c:v>
                </c:pt>
                <c:pt idx="45">
                  <c:v>2.7812359000000008E-6</c:v>
                </c:pt>
                <c:pt idx="46">
                  <c:v>2.8016334E-6</c:v>
                </c:pt>
                <c:pt idx="47">
                  <c:v>2.8249559000000002E-6</c:v>
                </c:pt>
                <c:pt idx="48">
                  <c:v>2.8403753000000001E-6</c:v>
                </c:pt>
                <c:pt idx="49">
                  <c:v>2.8653912000000004E-6</c:v>
                </c:pt>
                <c:pt idx="50">
                  <c:v>2.87742605E-6</c:v>
                </c:pt>
                <c:pt idx="51">
                  <c:v>2.8962253500000002E-6</c:v>
                </c:pt>
                <c:pt idx="52">
                  <c:v>2.9014139499999999E-6</c:v>
                </c:pt>
                <c:pt idx="53">
                  <c:v>2.9219482999999998E-6</c:v>
                </c:pt>
                <c:pt idx="54">
                  <c:v>2.9568258499999998E-6</c:v>
                </c:pt>
                <c:pt idx="55">
                  <c:v>2.9972100499999997E-6</c:v>
                </c:pt>
                <c:pt idx="56">
                  <c:v>3.02361565E-6</c:v>
                </c:pt>
                <c:pt idx="57">
                  <c:v>3.0302942500000001E-6</c:v>
                </c:pt>
                <c:pt idx="58">
                  <c:v>3.0364435000000001E-6</c:v>
                </c:pt>
                <c:pt idx="59">
                  <c:v>3.0669829000000003E-6</c:v>
                </c:pt>
                <c:pt idx="60">
                  <c:v>3.0850187500000002E-6</c:v>
                </c:pt>
                <c:pt idx="61">
                  <c:v>3.0867528000000006E-6</c:v>
                </c:pt>
                <c:pt idx="62">
                  <c:v>3.0956293500000004E-6</c:v>
                </c:pt>
                <c:pt idx="63">
                  <c:v>3.1070097500000001E-6</c:v>
                </c:pt>
                <c:pt idx="64">
                  <c:v>3.1476278000000002E-6</c:v>
                </c:pt>
                <c:pt idx="65">
                  <c:v>3.1797306500000002E-6</c:v>
                </c:pt>
                <c:pt idx="66">
                  <c:v>3.2111937000000007E-6</c:v>
                </c:pt>
                <c:pt idx="67">
                  <c:v>3.2499116500000005E-6</c:v>
                </c:pt>
                <c:pt idx="68">
                  <c:v>3.2937522999999999E-6</c:v>
                </c:pt>
                <c:pt idx="69">
                  <c:v>3.3149810000000001E-6</c:v>
                </c:pt>
                <c:pt idx="70">
                  <c:v>3.3517837000000008E-6</c:v>
                </c:pt>
                <c:pt idx="71">
                  <c:v>3.3807325500000011E-6</c:v>
                </c:pt>
                <c:pt idx="72">
                  <c:v>3.4034508000000004E-6</c:v>
                </c:pt>
                <c:pt idx="73">
                  <c:v>3.415217800000001E-6</c:v>
                </c:pt>
                <c:pt idx="74">
                  <c:v>3.4222267499999999E-6</c:v>
                </c:pt>
                <c:pt idx="75">
                  <c:v>3.4386428000000002E-6</c:v>
                </c:pt>
                <c:pt idx="76">
                  <c:v>3.4683775999999998E-6</c:v>
                </c:pt>
                <c:pt idx="77">
                  <c:v>3.5163943E-6</c:v>
                </c:pt>
                <c:pt idx="78">
                  <c:v>3.5661290999999997E-6</c:v>
                </c:pt>
                <c:pt idx="79">
                  <c:v>3.5814396500000002E-6</c:v>
                </c:pt>
                <c:pt idx="80">
                  <c:v>3.6084868999999998E-6</c:v>
                </c:pt>
                <c:pt idx="81">
                  <c:v>3.6482446000000001E-6</c:v>
                </c:pt>
                <c:pt idx="82">
                  <c:v>3.6935541999999995E-6</c:v>
                </c:pt>
                <c:pt idx="83">
                  <c:v>3.7331781000000003E-6</c:v>
                </c:pt>
                <c:pt idx="84">
                  <c:v>3.7409243499999996E-6</c:v>
                </c:pt>
                <c:pt idx="85">
                  <c:v>3.7648425499999995E-6</c:v>
                </c:pt>
                <c:pt idx="86">
                  <c:v>3.7934234999999997E-6</c:v>
                </c:pt>
                <c:pt idx="87">
                  <c:v>3.8124964999999995E-6</c:v>
                </c:pt>
                <c:pt idx="88">
                  <c:v>3.8297148500000002E-6</c:v>
                </c:pt>
                <c:pt idx="89">
                  <c:v>3.8653724000000001E-6</c:v>
                </c:pt>
                <c:pt idx="90">
                  <c:v>3.8953178E-6</c:v>
                </c:pt>
                <c:pt idx="91">
                  <c:v>3.9198789499999996E-6</c:v>
                </c:pt>
                <c:pt idx="92">
                  <c:v>3.9625928500000001E-6</c:v>
                </c:pt>
                <c:pt idx="93">
                  <c:v>3.9884143999999995E-6</c:v>
                </c:pt>
                <c:pt idx="94">
                  <c:v>4.0214731499999998E-6</c:v>
                </c:pt>
                <c:pt idx="95">
                  <c:v>4.0442043000000001E-6</c:v>
                </c:pt>
                <c:pt idx="96">
                  <c:v>4.0631605999999997E-6</c:v>
                </c:pt>
                <c:pt idx="97">
                  <c:v>4.0796779999999999E-6</c:v>
                </c:pt>
                <c:pt idx="98">
                  <c:v>4.09817215E-6</c:v>
                </c:pt>
                <c:pt idx="99">
                  <c:v>4.1348082499999999E-6</c:v>
                </c:pt>
                <c:pt idx="100">
                  <c:v>4.1727586999999998E-6</c:v>
                </c:pt>
                <c:pt idx="101">
                  <c:v>4.2093435999999994E-6</c:v>
                </c:pt>
                <c:pt idx="102">
                  <c:v>4.219714999999999E-6</c:v>
                </c:pt>
                <c:pt idx="103">
                  <c:v>4.2363973999999988E-6</c:v>
                </c:pt>
                <c:pt idx="104">
                  <c:v>4.2663165000000003E-6</c:v>
                </c:pt>
                <c:pt idx="105">
                  <c:v>4.2895901500000005E-6</c:v>
                </c:pt>
                <c:pt idx="106">
                  <c:v>4.31409015E-6</c:v>
                </c:pt>
                <c:pt idx="107">
                  <c:v>4.3542175999999992E-6</c:v>
                </c:pt>
                <c:pt idx="108">
                  <c:v>4.4003166500000001E-6</c:v>
                </c:pt>
                <c:pt idx="109">
                  <c:v>4.4350720999999984E-6</c:v>
                </c:pt>
                <c:pt idx="110">
                  <c:v>4.4396314999999985E-6</c:v>
                </c:pt>
                <c:pt idx="111">
                  <c:v>4.4637474999999992E-6</c:v>
                </c:pt>
                <c:pt idx="112">
                  <c:v>4.4914999999999984E-6</c:v>
                </c:pt>
                <c:pt idx="113">
                  <c:v>4.5253033499999993E-6</c:v>
                </c:pt>
                <c:pt idx="114">
                  <c:v>4.5632759999999985E-6</c:v>
                </c:pt>
                <c:pt idx="115">
                  <c:v>4.590021299999999E-6</c:v>
                </c:pt>
                <c:pt idx="116">
                  <c:v>4.6213765499999993E-6</c:v>
                </c:pt>
                <c:pt idx="117">
                  <c:v>4.6531554999999997E-6</c:v>
                </c:pt>
                <c:pt idx="118">
                  <c:v>4.6829471499999998E-6</c:v>
                </c:pt>
                <c:pt idx="119">
                  <c:v>4.7019813999999995E-6</c:v>
                </c:pt>
                <c:pt idx="120">
                  <c:v>4.7169750499999998E-6</c:v>
                </c:pt>
                <c:pt idx="121">
                  <c:v>4.7357845000000006E-6</c:v>
                </c:pt>
                <c:pt idx="122">
                  <c:v>4.7815808999999998E-6</c:v>
                </c:pt>
                <c:pt idx="123">
                  <c:v>4.8240410000000004E-6</c:v>
                </c:pt>
                <c:pt idx="124">
                  <c:v>4.8701600000000001E-6</c:v>
                </c:pt>
                <c:pt idx="125">
                  <c:v>4.9158454000000008E-6</c:v>
                </c:pt>
                <c:pt idx="126">
                  <c:v>4.964361250000001E-6</c:v>
                </c:pt>
                <c:pt idx="127">
                  <c:v>5.0063401500000017E-6</c:v>
                </c:pt>
                <c:pt idx="128">
                  <c:v>5.0328175500000007E-6</c:v>
                </c:pt>
                <c:pt idx="129">
                  <c:v>5.0795943000000014E-6</c:v>
                </c:pt>
                <c:pt idx="130">
                  <c:v>5.1392304E-6</c:v>
                </c:pt>
                <c:pt idx="131">
                  <c:v>5.1899462499999999E-6</c:v>
                </c:pt>
                <c:pt idx="132">
                  <c:v>5.2311761999999992E-6</c:v>
                </c:pt>
                <c:pt idx="133">
                  <c:v>5.2839141999999993E-6</c:v>
                </c:pt>
                <c:pt idx="134">
                  <c:v>5.3274367499999997E-6</c:v>
                </c:pt>
                <c:pt idx="135">
                  <c:v>5.3807617000000006E-6</c:v>
                </c:pt>
                <c:pt idx="136">
                  <c:v>5.4356718000000005E-6</c:v>
                </c:pt>
                <c:pt idx="137">
                  <c:v>5.501863599999999E-6</c:v>
                </c:pt>
                <c:pt idx="138">
                  <c:v>5.5562762499999997E-6</c:v>
                </c:pt>
                <c:pt idx="139">
                  <c:v>5.6238646499999999E-6</c:v>
                </c:pt>
                <c:pt idx="140">
                  <c:v>5.6720048999999996E-6</c:v>
                </c:pt>
                <c:pt idx="141">
                  <c:v>5.7074417000000007E-6</c:v>
                </c:pt>
                <c:pt idx="142">
                  <c:v>5.759230100000001E-6</c:v>
                </c:pt>
                <c:pt idx="143">
                  <c:v>5.806098700000001E-6</c:v>
                </c:pt>
                <c:pt idx="144">
                  <c:v>5.8374387000000004E-6</c:v>
                </c:pt>
                <c:pt idx="145">
                  <c:v>5.8758504000000004E-6</c:v>
                </c:pt>
                <c:pt idx="146">
                  <c:v>5.9038031499999999E-6</c:v>
                </c:pt>
                <c:pt idx="147">
                  <c:v>5.936101E-6</c:v>
                </c:pt>
                <c:pt idx="148">
                  <c:v>5.97144485E-6</c:v>
                </c:pt>
                <c:pt idx="149">
                  <c:v>6.0016351500000009E-6</c:v>
                </c:pt>
                <c:pt idx="150">
                  <c:v>6.0245084500000013E-6</c:v>
                </c:pt>
                <c:pt idx="151">
                  <c:v>6.0468684000000002E-6</c:v>
                </c:pt>
                <c:pt idx="152">
                  <c:v>6.0723184500000001E-6</c:v>
                </c:pt>
                <c:pt idx="153">
                  <c:v>6.0999528500000007E-6</c:v>
                </c:pt>
                <c:pt idx="154">
                  <c:v>6.1398785000000006E-6</c:v>
                </c:pt>
                <c:pt idx="155">
                  <c:v>6.1815537500000012E-6</c:v>
                </c:pt>
                <c:pt idx="156">
                  <c:v>6.1924609000000005E-6</c:v>
                </c:pt>
                <c:pt idx="157">
                  <c:v>6.2122273000000008E-6</c:v>
                </c:pt>
                <c:pt idx="158">
                  <c:v>6.2391972500000012E-6</c:v>
                </c:pt>
                <c:pt idx="159">
                  <c:v>6.2647108499999997E-6</c:v>
                </c:pt>
                <c:pt idx="160">
                  <c:v>6.3129285999999997E-6</c:v>
                </c:pt>
                <c:pt idx="161">
                  <c:v>6.3604748999999995E-6</c:v>
                </c:pt>
                <c:pt idx="162">
                  <c:v>6.3898790500000005E-6</c:v>
                </c:pt>
                <c:pt idx="163">
                  <c:v>6.4289316999999998E-6</c:v>
                </c:pt>
                <c:pt idx="164">
                  <c:v>6.4765060499999995E-6</c:v>
                </c:pt>
                <c:pt idx="165">
                  <c:v>6.5153328500000005E-6</c:v>
                </c:pt>
                <c:pt idx="166">
                  <c:v>6.5513179500000012E-6</c:v>
                </c:pt>
                <c:pt idx="167">
                  <c:v>6.5722730000000001E-6</c:v>
                </c:pt>
                <c:pt idx="168">
                  <c:v>6.6036632999999994E-6</c:v>
                </c:pt>
                <c:pt idx="169">
                  <c:v>6.6498487500000003E-6</c:v>
                </c:pt>
                <c:pt idx="170">
                  <c:v>6.70606805E-6</c:v>
                </c:pt>
                <c:pt idx="171">
                  <c:v>6.7614297500000007E-6</c:v>
                </c:pt>
                <c:pt idx="172">
                  <c:v>6.8089415000000012E-6</c:v>
                </c:pt>
                <c:pt idx="173">
                  <c:v>6.8357556499999997E-6</c:v>
                </c:pt>
                <c:pt idx="174">
                  <c:v>6.8625797999999997E-6</c:v>
                </c:pt>
                <c:pt idx="175">
                  <c:v>6.9055971000000022E-6</c:v>
                </c:pt>
                <c:pt idx="176">
                  <c:v>6.9584949500000018E-6</c:v>
                </c:pt>
                <c:pt idx="177">
                  <c:v>6.9896519500000006E-6</c:v>
                </c:pt>
                <c:pt idx="178">
                  <c:v>7.0275145500000014E-6</c:v>
                </c:pt>
                <c:pt idx="179">
                  <c:v>7.0700627000000009E-6</c:v>
                </c:pt>
                <c:pt idx="180">
                  <c:v>7.1039695000000008E-6</c:v>
                </c:pt>
                <c:pt idx="181">
                  <c:v>7.1285707499999998E-6</c:v>
                </c:pt>
                <c:pt idx="182">
                  <c:v>7.1539904000000004E-6</c:v>
                </c:pt>
                <c:pt idx="183">
                  <c:v>7.1745709999999997E-6</c:v>
                </c:pt>
                <c:pt idx="184">
                  <c:v>7.1949610999999996E-6</c:v>
                </c:pt>
                <c:pt idx="185">
                  <c:v>7.233283249999999E-6</c:v>
                </c:pt>
                <c:pt idx="186">
                  <c:v>7.2693662999999995E-6</c:v>
                </c:pt>
                <c:pt idx="187">
                  <c:v>7.3238477499999999E-6</c:v>
                </c:pt>
                <c:pt idx="188">
                  <c:v>7.365569500000001E-6</c:v>
                </c:pt>
                <c:pt idx="189">
                  <c:v>7.3728372000000002E-6</c:v>
                </c:pt>
                <c:pt idx="190">
                  <c:v>7.3983641499999999E-6</c:v>
                </c:pt>
                <c:pt idx="191">
                  <c:v>7.429693649999999E-6</c:v>
                </c:pt>
                <c:pt idx="192">
                  <c:v>7.47171385E-6</c:v>
                </c:pt>
                <c:pt idx="193">
                  <c:v>7.5161323000000006E-6</c:v>
                </c:pt>
                <c:pt idx="194">
                  <c:v>7.547280199999999E-6</c:v>
                </c:pt>
                <c:pt idx="195">
                  <c:v>7.5745257500000005E-6</c:v>
                </c:pt>
                <c:pt idx="196">
                  <c:v>7.6187442999999998E-6</c:v>
                </c:pt>
                <c:pt idx="197">
                  <c:v>7.6521864000000008E-6</c:v>
                </c:pt>
                <c:pt idx="198">
                  <c:v>7.6759060000000002E-6</c:v>
                </c:pt>
                <c:pt idx="199">
                  <c:v>7.6973417500000009E-6</c:v>
                </c:pt>
                <c:pt idx="200">
                  <c:v>7.7224221000000009E-6</c:v>
                </c:pt>
                <c:pt idx="201">
                  <c:v>7.7687848E-6</c:v>
                </c:pt>
                <c:pt idx="202">
                  <c:v>7.8241468500000014E-6</c:v>
                </c:pt>
                <c:pt idx="203">
                  <c:v>7.8784560500000013E-6</c:v>
                </c:pt>
                <c:pt idx="204">
                  <c:v>7.9233066500000011E-6</c:v>
                </c:pt>
                <c:pt idx="205">
                  <c:v>7.9554739000000026E-6</c:v>
                </c:pt>
                <c:pt idx="206">
                  <c:v>7.9890944500000003E-6</c:v>
                </c:pt>
                <c:pt idx="207">
                  <c:v>8.0196876500000004E-6</c:v>
                </c:pt>
                <c:pt idx="208">
                  <c:v>8.0532262000000004E-6</c:v>
                </c:pt>
                <c:pt idx="209">
                  <c:v>8.1015730499999974E-6</c:v>
                </c:pt>
                <c:pt idx="210">
                  <c:v>8.1443906999999984E-6</c:v>
                </c:pt>
                <c:pt idx="211">
                  <c:v>8.171480149999999E-6</c:v>
                </c:pt>
                <c:pt idx="212">
                  <c:v>8.1945222500000001E-6</c:v>
                </c:pt>
                <c:pt idx="213">
                  <c:v>8.2195804499999992E-6</c:v>
                </c:pt>
                <c:pt idx="214">
                  <c:v>8.2659773499999995E-6</c:v>
                </c:pt>
                <c:pt idx="215">
                  <c:v>8.3044469999999999E-6</c:v>
                </c:pt>
                <c:pt idx="216">
                  <c:v>8.3292425500000002E-6</c:v>
                </c:pt>
                <c:pt idx="217">
                  <c:v>8.3631526499999989E-6</c:v>
                </c:pt>
                <c:pt idx="218">
                  <c:v>8.413714949999999E-6</c:v>
                </c:pt>
                <c:pt idx="219">
                  <c:v>8.4478817499999993E-6</c:v>
                </c:pt>
                <c:pt idx="220">
                  <c:v>8.4828903499999996E-6</c:v>
                </c:pt>
                <c:pt idx="221">
                  <c:v>8.5099584500000022E-6</c:v>
                </c:pt>
                <c:pt idx="222">
                  <c:v>8.5342089000000001E-6</c:v>
                </c:pt>
                <c:pt idx="223">
                  <c:v>8.5399142000000009E-6</c:v>
                </c:pt>
                <c:pt idx="224">
                  <c:v>8.5647019500000009E-6</c:v>
                </c:pt>
                <c:pt idx="225">
                  <c:v>8.5993279999999991E-6</c:v>
                </c:pt>
                <c:pt idx="226">
                  <c:v>8.647965699999998E-6</c:v>
                </c:pt>
                <c:pt idx="227">
                  <c:v>8.6880473000000006E-6</c:v>
                </c:pt>
                <c:pt idx="228">
                  <c:v>8.7399700000000006E-6</c:v>
                </c:pt>
                <c:pt idx="229">
                  <c:v>8.7771798499999991E-6</c:v>
                </c:pt>
                <c:pt idx="230">
                  <c:v>8.8203796E-6</c:v>
                </c:pt>
                <c:pt idx="231">
                  <c:v>8.8566541499999993E-6</c:v>
                </c:pt>
                <c:pt idx="232">
                  <c:v>8.8998030499999997E-6</c:v>
                </c:pt>
                <c:pt idx="233">
                  <c:v>8.9530933499999988E-6</c:v>
                </c:pt>
                <c:pt idx="234">
                  <c:v>8.9997398499999999E-6</c:v>
                </c:pt>
                <c:pt idx="235">
                  <c:v>9.0266730499999998E-6</c:v>
                </c:pt>
                <c:pt idx="236">
                  <c:v>9.0837225999999989E-6</c:v>
                </c:pt>
                <c:pt idx="237">
                  <c:v>9.1271468500000006E-6</c:v>
                </c:pt>
                <c:pt idx="238">
                  <c:v>9.1589447499999987E-6</c:v>
                </c:pt>
                <c:pt idx="239">
                  <c:v>9.1946281999999998E-6</c:v>
                </c:pt>
                <c:pt idx="240">
                  <c:v>9.2280328499999999E-6</c:v>
                </c:pt>
                <c:pt idx="241">
                  <c:v>9.273898149999998E-6</c:v>
                </c:pt>
                <c:pt idx="242">
                  <c:v>9.3079415499999987E-6</c:v>
                </c:pt>
                <c:pt idx="243">
                  <c:v>9.3582736499999981E-6</c:v>
                </c:pt>
                <c:pt idx="244">
                  <c:v>9.3995889999999988E-6</c:v>
                </c:pt>
                <c:pt idx="245">
                  <c:v>9.4550961500000001E-6</c:v>
                </c:pt>
                <c:pt idx="246">
                  <c:v>9.4822009999999998E-6</c:v>
                </c:pt>
                <c:pt idx="247">
                  <c:v>9.5188118500000015E-6</c:v>
                </c:pt>
                <c:pt idx="248">
                  <c:v>9.5515871500000003E-6</c:v>
                </c:pt>
                <c:pt idx="249">
                  <c:v>9.5806387500000004E-6</c:v>
                </c:pt>
                <c:pt idx="250">
                  <c:v>9.6306470000000008E-6</c:v>
                </c:pt>
                <c:pt idx="251">
                  <c:v>9.7003456499999995E-6</c:v>
                </c:pt>
                <c:pt idx="252">
                  <c:v>9.7364034000000001E-6</c:v>
                </c:pt>
                <c:pt idx="253">
                  <c:v>9.802316700000001E-6</c:v>
                </c:pt>
                <c:pt idx="254">
                  <c:v>9.84692175E-6</c:v>
                </c:pt>
                <c:pt idx="255">
                  <c:v>9.8897086499999985E-6</c:v>
                </c:pt>
                <c:pt idx="256">
                  <c:v>9.9229046499999992E-6</c:v>
                </c:pt>
                <c:pt idx="257">
                  <c:v>9.9952404999999996E-6</c:v>
                </c:pt>
                <c:pt idx="258">
                  <c:v>1.0037474100000001E-5</c:v>
                </c:pt>
                <c:pt idx="259">
                  <c:v>1.0114486200000001E-5</c:v>
                </c:pt>
                <c:pt idx="260">
                  <c:v>1.0163697749999999E-5</c:v>
                </c:pt>
                <c:pt idx="261">
                  <c:v>1.021253035E-5</c:v>
                </c:pt>
                <c:pt idx="262">
                  <c:v>1.0271536350000001E-5</c:v>
                </c:pt>
                <c:pt idx="263">
                  <c:v>1.033160865E-5</c:v>
                </c:pt>
                <c:pt idx="264">
                  <c:v>1.037366335E-5</c:v>
                </c:pt>
                <c:pt idx="265">
                  <c:v>1.0410380349999999E-5</c:v>
                </c:pt>
                <c:pt idx="266">
                  <c:v>1.0458194349999998E-5</c:v>
                </c:pt>
                <c:pt idx="267">
                  <c:v>1.0520509849999999E-5</c:v>
                </c:pt>
                <c:pt idx="268">
                  <c:v>1.0530194849999998E-5</c:v>
                </c:pt>
                <c:pt idx="269">
                  <c:v>1.05577535E-5</c:v>
                </c:pt>
                <c:pt idx="270">
                  <c:v>1.05548485E-5</c:v>
                </c:pt>
                <c:pt idx="271">
                  <c:v>1.0578299000000001E-5</c:v>
                </c:pt>
                <c:pt idx="272">
                  <c:v>1.0594994000000001E-5</c:v>
                </c:pt>
                <c:pt idx="273">
                  <c:v>1.0598758500000001E-5</c:v>
                </c:pt>
                <c:pt idx="274">
                  <c:v>1.0602775000000001E-5</c:v>
                </c:pt>
                <c:pt idx="275">
                  <c:v>1.0621062000000002E-5</c:v>
                </c:pt>
                <c:pt idx="276">
                  <c:v>1.0679105000000001E-5</c:v>
                </c:pt>
                <c:pt idx="277">
                  <c:v>1.07052955E-5</c:v>
                </c:pt>
                <c:pt idx="278">
                  <c:v>1.07457125E-5</c:v>
                </c:pt>
                <c:pt idx="279">
                  <c:v>1.07387945E-5</c:v>
                </c:pt>
                <c:pt idx="280">
                  <c:v>1.0763903500000002E-5</c:v>
                </c:pt>
                <c:pt idx="281">
                  <c:v>1.07901815E-5</c:v>
                </c:pt>
                <c:pt idx="282">
                  <c:v>1.0825341999999999E-5</c:v>
                </c:pt>
                <c:pt idx="283">
                  <c:v>1.08293975E-5</c:v>
                </c:pt>
                <c:pt idx="284">
                  <c:v>1.08896445E-5</c:v>
                </c:pt>
                <c:pt idx="285">
                  <c:v>1.0897060999999998E-5</c:v>
                </c:pt>
                <c:pt idx="286">
                  <c:v>1.0948112999999998E-5</c:v>
                </c:pt>
                <c:pt idx="287">
                  <c:v>1.0971383999999999E-5</c:v>
                </c:pt>
                <c:pt idx="288">
                  <c:v>1.1017832999999998E-5</c:v>
                </c:pt>
                <c:pt idx="289">
                  <c:v>1.1063005999999999E-5</c:v>
                </c:pt>
                <c:pt idx="290">
                  <c:v>1.1138255999999998E-5</c:v>
                </c:pt>
                <c:pt idx="291">
                  <c:v>1.1184964999999998E-5</c:v>
                </c:pt>
                <c:pt idx="292">
                  <c:v>1.1260839999999998E-5</c:v>
                </c:pt>
                <c:pt idx="293">
                  <c:v>1.1271549999999999E-5</c:v>
                </c:pt>
                <c:pt idx="294">
                  <c:v>1.1346259999999999E-5</c:v>
                </c:pt>
                <c:pt idx="295">
                  <c:v>1.1421645499999999E-5</c:v>
                </c:pt>
                <c:pt idx="296">
                  <c:v>1.14301375E-5</c:v>
                </c:pt>
                <c:pt idx="297">
                  <c:v>1.1427036499999999E-5</c:v>
                </c:pt>
                <c:pt idx="298">
                  <c:v>1.1475542999999998E-5</c:v>
                </c:pt>
                <c:pt idx="299">
                  <c:v>1.1508849999999999E-5</c:v>
                </c:pt>
                <c:pt idx="300">
                  <c:v>1.1572505E-5</c:v>
                </c:pt>
                <c:pt idx="301">
                  <c:v>1.16059945E-5</c:v>
                </c:pt>
                <c:pt idx="302">
                  <c:v>1.1599742E-5</c:v>
                </c:pt>
                <c:pt idx="303">
                  <c:v>1.1666959500000001E-5</c:v>
                </c:pt>
                <c:pt idx="304">
                  <c:v>1.1661644999999998E-5</c:v>
                </c:pt>
                <c:pt idx="305">
                  <c:v>1.1694053999999998E-5</c:v>
                </c:pt>
                <c:pt idx="306">
                  <c:v>1.1718163000000001E-5</c:v>
                </c:pt>
                <c:pt idx="307">
                  <c:v>1.1754455500000001E-5</c:v>
                </c:pt>
                <c:pt idx="308">
                  <c:v>1.1794745499999999E-5</c:v>
                </c:pt>
                <c:pt idx="309">
                  <c:v>1.1835238500000002E-5</c:v>
                </c:pt>
                <c:pt idx="310">
                  <c:v>1.18602565E-5</c:v>
                </c:pt>
                <c:pt idx="311">
                  <c:v>1.1887774999999998E-5</c:v>
                </c:pt>
                <c:pt idx="312">
                  <c:v>1.1877148999999999E-5</c:v>
                </c:pt>
                <c:pt idx="313">
                  <c:v>1.1937944999999999E-5</c:v>
                </c:pt>
                <c:pt idx="314">
                  <c:v>1.1962025E-5</c:v>
                </c:pt>
                <c:pt idx="315">
                  <c:v>1.1969201499999998E-5</c:v>
                </c:pt>
                <c:pt idx="316">
                  <c:v>1.2015876999999997E-5</c:v>
                </c:pt>
                <c:pt idx="317">
                  <c:v>1.2078177999999999E-5</c:v>
                </c:pt>
                <c:pt idx="318">
                  <c:v>1.2113670499999998E-5</c:v>
                </c:pt>
                <c:pt idx="319">
                  <c:v>1.21773835E-5</c:v>
                </c:pt>
                <c:pt idx="320">
                  <c:v>1.2178412500000001E-5</c:v>
                </c:pt>
                <c:pt idx="321">
                  <c:v>1.2197354500000002E-5</c:v>
                </c:pt>
                <c:pt idx="322">
                  <c:v>1.2256459E-5</c:v>
                </c:pt>
                <c:pt idx="323">
                  <c:v>1.2260969000000002E-5</c:v>
                </c:pt>
                <c:pt idx="324">
                  <c:v>1.2338253999999999E-5</c:v>
                </c:pt>
                <c:pt idx="325">
                  <c:v>1.2406819999999998E-5</c:v>
                </c:pt>
                <c:pt idx="326">
                  <c:v>1.2423928999999997E-5</c:v>
                </c:pt>
                <c:pt idx="327">
                  <c:v>1.2484599500000001E-5</c:v>
                </c:pt>
                <c:pt idx="328">
                  <c:v>1.25374265E-5</c:v>
                </c:pt>
                <c:pt idx="329">
                  <c:v>1.25983205E-5</c:v>
                </c:pt>
                <c:pt idx="330">
                  <c:v>1.265514E-5</c:v>
                </c:pt>
                <c:pt idx="331">
                  <c:v>1.2665676999999998E-5</c:v>
                </c:pt>
                <c:pt idx="332">
                  <c:v>1.2726122500000002E-5</c:v>
                </c:pt>
                <c:pt idx="333">
                  <c:v>1.2753434E-5</c:v>
                </c:pt>
                <c:pt idx="334">
                  <c:v>1.2812147500000002E-5</c:v>
                </c:pt>
                <c:pt idx="335">
                  <c:v>1.2890937500000001E-5</c:v>
                </c:pt>
                <c:pt idx="336">
                  <c:v>1.2903295500000002E-5</c:v>
                </c:pt>
                <c:pt idx="337">
                  <c:v>1.29358395E-5</c:v>
                </c:pt>
                <c:pt idx="338">
                  <c:v>1.2992056000000002E-5</c:v>
                </c:pt>
                <c:pt idx="339">
                  <c:v>1.3051524500000004E-5</c:v>
                </c:pt>
                <c:pt idx="340">
                  <c:v>1.3130136500000001E-5</c:v>
                </c:pt>
                <c:pt idx="341">
                  <c:v>1.3204442500000001E-5</c:v>
                </c:pt>
                <c:pt idx="342">
                  <c:v>1.3235338000000004E-5</c:v>
                </c:pt>
                <c:pt idx="343">
                  <c:v>1.3314581000000003E-5</c:v>
                </c:pt>
                <c:pt idx="344">
                  <c:v>1.3360228500000003E-5</c:v>
                </c:pt>
                <c:pt idx="345">
                  <c:v>1.3399699500000003E-5</c:v>
                </c:pt>
                <c:pt idx="346">
                  <c:v>1.3473544500000001E-5</c:v>
                </c:pt>
                <c:pt idx="347">
                  <c:v>1.34689295E-5</c:v>
                </c:pt>
                <c:pt idx="348">
                  <c:v>1.3490191500000002E-5</c:v>
                </c:pt>
                <c:pt idx="349">
                  <c:v>1.3548384500000003E-5</c:v>
                </c:pt>
                <c:pt idx="350">
                  <c:v>1.35996715E-5</c:v>
                </c:pt>
                <c:pt idx="351">
                  <c:v>1.3684217E-5</c:v>
                </c:pt>
                <c:pt idx="352">
                  <c:v>1.3728673500000002E-5</c:v>
                </c:pt>
                <c:pt idx="353">
                  <c:v>1.3815829000000002E-5</c:v>
                </c:pt>
                <c:pt idx="354">
                  <c:v>1.3839544500000002E-5</c:v>
                </c:pt>
                <c:pt idx="355">
                  <c:v>1.3894343500000001E-5</c:v>
                </c:pt>
                <c:pt idx="356">
                  <c:v>1.3977081500000001E-5</c:v>
                </c:pt>
                <c:pt idx="357">
                  <c:v>1.3999921000000002E-5</c:v>
                </c:pt>
                <c:pt idx="358">
                  <c:v>1.3998482000000001E-5</c:v>
                </c:pt>
                <c:pt idx="359">
                  <c:v>1.3993879500000001E-5</c:v>
                </c:pt>
                <c:pt idx="360">
                  <c:v>1.4016064000000001E-5</c:v>
                </c:pt>
                <c:pt idx="361">
                  <c:v>1.4034513E-5</c:v>
                </c:pt>
                <c:pt idx="362">
                  <c:v>1.4090255999999999E-5</c:v>
                </c:pt>
                <c:pt idx="363">
                  <c:v>1.4113141499999999E-5</c:v>
                </c:pt>
                <c:pt idx="364">
                  <c:v>1.4142972999999998E-5</c:v>
                </c:pt>
                <c:pt idx="365">
                  <c:v>1.4226737949999999E-5</c:v>
                </c:pt>
                <c:pt idx="366">
                  <c:v>1.4274253449999998E-5</c:v>
                </c:pt>
                <c:pt idx="367">
                  <c:v>1.4328096449999999E-5</c:v>
                </c:pt>
                <c:pt idx="368">
                  <c:v>1.4418108449999999E-5</c:v>
                </c:pt>
                <c:pt idx="369">
                  <c:v>1.4427810450000001E-5</c:v>
                </c:pt>
                <c:pt idx="370">
                  <c:v>1.4451475950000002E-5</c:v>
                </c:pt>
                <c:pt idx="371">
                  <c:v>1.4475107949999999E-5</c:v>
                </c:pt>
                <c:pt idx="372">
                  <c:v>1.4548253949999999E-5</c:v>
                </c:pt>
                <c:pt idx="373">
                  <c:v>1.4583277449999997E-5</c:v>
                </c:pt>
                <c:pt idx="374">
                  <c:v>1.4622240950000003E-5</c:v>
                </c:pt>
                <c:pt idx="375">
                  <c:v>1.46535824E-5</c:v>
                </c:pt>
                <c:pt idx="376">
                  <c:v>1.470624085E-5</c:v>
                </c:pt>
                <c:pt idx="377">
                  <c:v>1.4802933849999999E-5</c:v>
                </c:pt>
                <c:pt idx="378">
                  <c:v>1.4891276300000003E-5</c:v>
                </c:pt>
                <c:pt idx="379">
                  <c:v>1.4974148250000003E-5</c:v>
                </c:pt>
                <c:pt idx="380">
                  <c:v>1.5044839750000002E-5</c:v>
                </c:pt>
                <c:pt idx="381">
                  <c:v>1.5094052750000002E-5</c:v>
                </c:pt>
                <c:pt idx="382">
                  <c:v>1.5117796750000002E-5</c:v>
                </c:pt>
                <c:pt idx="383">
                  <c:v>1.5165377199999999E-5</c:v>
                </c:pt>
                <c:pt idx="384">
                  <c:v>1.5165240199999998E-5</c:v>
                </c:pt>
                <c:pt idx="385">
                  <c:v>1.5163811199999999E-5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E1-40D8-A61B-3860D7BB359A}"/>
            </c:ext>
          </c:extLst>
        </c:ser>
        <c:ser>
          <c:idx val="1"/>
          <c:order val="1"/>
          <c:tx>
            <c:strRef>
              <c:f>GRAPH!$S$29</c:f>
              <c:strCache>
                <c:ptCount val="1"/>
                <c:pt idx="0">
                  <c:v>IDS__ R140-2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Wafer1!$E$2:$E$348</c:f>
              <c:numCache>
                <c:formatCode>0.00E+00</c:formatCode>
                <c:ptCount val="3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398.41467654156338</c:v>
                </c:pt>
                <c:pt idx="4">
                  <c:v>30841.382268691792</c:v>
                </c:pt>
                <c:pt idx="5">
                  <c:v>64849.650427842171</c:v>
                </c:pt>
                <c:pt idx="6">
                  <c:v>90858.977773350387</c:v>
                </c:pt>
                <c:pt idx="7">
                  <c:v>125888.82202619707</c:v>
                </c:pt>
                <c:pt idx="8">
                  <c:v>156198.98472616679</c:v>
                </c:pt>
                <c:pt idx="9">
                  <c:v>184465.99523874387</c:v>
                </c:pt>
                <c:pt idx="10">
                  <c:v>205714.77798762725</c:v>
                </c:pt>
                <c:pt idx="11">
                  <c:v>224685.44604756785</c:v>
                </c:pt>
                <c:pt idx="12">
                  <c:v>249121.54620878372</c:v>
                </c:pt>
                <c:pt idx="13">
                  <c:v>281331.8404430286</c:v>
                </c:pt>
                <c:pt idx="14">
                  <c:v>310773.66346335644</c:v>
                </c:pt>
                <c:pt idx="15">
                  <c:v>331123.45924978703</c:v>
                </c:pt>
                <c:pt idx="16">
                  <c:v>341931.73432109406</c:v>
                </c:pt>
                <c:pt idx="17">
                  <c:v>351973.82732212887</c:v>
                </c:pt>
                <c:pt idx="18">
                  <c:v>370382.62853053649</c:v>
                </c:pt>
                <c:pt idx="19">
                  <c:v>387361.22320776928</c:v>
                </c:pt>
                <c:pt idx="20">
                  <c:v>419142.45548266167</c:v>
                </c:pt>
                <c:pt idx="21">
                  <c:v>441341.30399868265</c:v>
                </c:pt>
                <c:pt idx="22">
                  <c:v>470997.65799868671</c:v>
                </c:pt>
                <c:pt idx="23">
                  <c:v>498100.07176444994</c:v>
                </c:pt>
                <c:pt idx="24">
                  <c:v>529952.81436590117</c:v>
                </c:pt>
                <c:pt idx="25">
                  <c:v>546951.84056500776</c:v>
                </c:pt>
                <c:pt idx="26">
                  <c:v>567230.12602487975</c:v>
                </c:pt>
                <c:pt idx="27">
                  <c:v>572184.77007930679</c:v>
                </c:pt>
                <c:pt idx="28">
                  <c:v>577006.60924155347</c:v>
                </c:pt>
                <c:pt idx="29">
                  <c:v>600768.46918092982</c:v>
                </c:pt>
                <c:pt idx="30">
                  <c:v>627666.56772795378</c:v>
                </c:pt>
                <c:pt idx="31">
                  <c:v>645309.18686608912</c:v>
                </c:pt>
                <c:pt idx="32">
                  <c:v>667119.83646650554</c:v>
                </c:pt>
                <c:pt idx="33">
                  <c:v>693977.07196978165</c:v>
                </c:pt>
                <c:pt idx="34">
                  <c:v>717197.49657949898</c:v>
                </c:pt>
                <c:pt idx="35">
                  <c:v>730958.12656158837</c:v>
                </c:pt>
                <c:pt idx="36">
                  <c:v>761881.23491777584</c:v>
                </c:pt>
                <c:pt idx="37">
                  <c:v>795817.9927503675</c:v>
                </c:pt>
                <c:pt idx="38">
                  <c:v>832053.29679377587</c:v>
                </c:pt>
                <c:pt idx="39">
                  <c:v>866081.99647480017</c:v>
                </c:pt>
                <c:pt idx="40">
                  <c:v>894604.40101080132</c:v>
                </c:pt>
                <c:pt idx="41">
                  <c:v>912267.45167081058</c:v>
                </c:pt>
                <c:pt idx="42">
                  <c:v>940115.61598497222</c:v>
                </c:pt>
                <c:pt idx="43">
                  <c:v>971028.50858022273</c:v>
                </c:pt>
                <c:pt idx="44">
                  <c:v>1001011.7669302096</c:v>
                </c:pt>
                <c:pt idx="45">
                  <c:v>1032343.5057238756</c:v>
                </c:pt>
                <c:pt idx="46">
                  <c:v>1054767.1009805098</c:v>
                </c:pt>
                <c:pt idx="47">
                  <c:v>1083994.3930211614</c:v>
                </c:pt>
                <c:pt idx="48">
                  <c:v>1107184.1703480678</c:v>
                </c:pt>
                <c:pt idx="49">
                  <c:v>1131885.8802936447</c:v>
                </c:pt>
                <c:pt idx="50">
                  <c:v>1153798.6875034308</c:v>
                </c:pt>
                <c:pt idx="51">
                  <c:v>1185416.4676033317</c:v>
                </c:pt>
                <c:pt idx="52">
                  <c:v>1205817.3421944471</c:v>
                </c:pt>
                <c:pt idx="53">
                  <c:v>1235065.0657569726</c:v>
                </c:pt>
                <c:pt idx="54">
                  <c:v>1255271.8408902858</c:v>
                </c:pt>
                <c:pt idx="55">
                  <c:v>1277858.8883219115</c:v>
                </c:pt>
                <c:pt idx="56">
                  <c:v>1310007.8879905343</c:v>
                </c:pt>
                <c:pt idx="57">
                  <c:v>1326833.2462537128</c:v>
                </c:pt>
                <c:pt idx="58">
                  <c:v>1361291.0078940894</c:v>
                </c:pt>
                <c:pt idx="59">
                  <c:v>1391253.8347222025</c:v>
                </c:pt>
                <c:pt idx="60">
                  <c:v>1421206.4457893784</c:v>
                </c:pt>
                <c:pt idx="61">
                  <c:v>1454826.5150329242</c:v>
                </c:pt>
                <c:pt idx="62">
                  <c:v>1489907.4380904557</c:v>
                </c:pt>
                <c:pt idx="63">
                  <c:v>1522751.1095027924</c:v>
                </c:pt>
                <c:pt idx="64">
                  <c:v>1556565.2782041405</c:v>
                </c:pt>
                <c:pt idx="65">
                  <c:v>1589797.1485320816</c:v>
                </c:pt>
                <c:pt idx="66">
                  <c:v>1621843.9905913351</c:v>
                </c:pt>
                <c:pt idx="67">
                  <c:v>1646893.0364087687</c:v>
                </c:pt>
                <c:pt idx="68">
                  <c:v>1678878.5839024005</c:v>
                </c:pt>
                <c:pt idx="69">
                  <c:v>1706931.0634353012</c:v>
                </c:pt>
                <c:pt idx="70">
                  <c:v>1737557.9147243167</c:v>
                </c:pt>
                <c:pt idx="71">
                  <c:v>1759726.1159575267</c:v>
                </c:pt>
                <c:pt idx="72">
                  <c:v>1784989.6927546368</c:v>
                </c:pt>
                <c:pt idx="73">
                  <c:v>1819488.3174387612</c:v>
                </c:pt>
                <c:pt idx="74">
                  <c:v>1852679.3247229548</c:v>
                </c:pt>
                <c:pt idx="75">
                  <c:v>1870270.8650564053</c:v>
                </c:pt>
                <c:pt idx="76">
                  <c:v>1904871.6473498994</c:v>
                </c:pt>
                <c:pt idx="77">
                  <c:v>1935835.6187498348</c:v>
                </c:pt>
                <c:pt idx="78">
                  <c:v>1966237.7232982372</c:v>
                </c:pt>
                <c:pt idx="79">
                  <c:v>1999326.5729730609</c:v>
                </c:pt>
                <c:pt idx="80">
                  <c:v>2024682.0916186036</c:v>
                </c:pt>
                <c:pt idx="81">
                  <c:v>2040414.3634615268</c:v>
                </c:pt>
                <c:pt idx="82">
                  <c:v>2066525.8484164046</c:v>
                </c:pt>
                <c:pt idx="83">
                  <c:v>2099808.7975490307</c:v>
                </c:pt>
                <c:pt idx="84">
                  <c:v>2134368.7167987768</c:v>
                </c:pt>
                <c:pt idx="85">
                  <c:v>2163830.9713409785</c:v>
                </c:pt>
                <c:pt idx="86">
                  <c:v>2191495.2519582747</c:v>
                </c:pt>
                <c:pt idx="87">
                  <c:v>2225666.9722924167</c:v>
                </c:pt>
                <c:pt idx="88">
                  <c:v>2258306.3284860142</c:v>
                </c:pt>
                <c:pt idx="89">
                  <c:v>2289178.3580375169</c:v>
                </c:pt>
                <c:pt idx="90">
                  <c:v>2315647.3946251883</c:v>
                </c:pt>
                <c:pt idx="91">
                  <c:v>2347796.3942938112</c:v>
                </c:pt>
                <c:pt idx="92">
                  <c:v>2382529.981479486</c:v>
                </c:pt>
                <c:pt idx="93">
                  <c:v>2410694.8343826937</c:v>
                </c:pt>
                <c:pt idx="94">
                  <c:v>2442608.8715497665</c:v>
                </c:pt>
                <c:pt idx="95">
                  <c:v>2476310.6668808078</c:v>
                </c:pt>
                <c:pt idx="96">
                  <c:v>2510421.0926493281</c:v>
                </c:pt>
                <c:pt idx="97">
                  <c:v>2544061.5934147476</c:v>
                </c:pt>
                <c:pt idx="98">
                  <c:v>2577834.8990723481</c:v>
                </c:pt>
                <c:pt idx="99">
                  <c:v>2607787.510139524</c:v>
                </c:pt>
                <c:pt idx="100">
                  <c:v>2632632.2407382182</c:v>
                </c:pt>
                <c:pt idx="101">
                  <c:v>2667713.1637957497</c:v>
                </c:pt>
                <c:pt idx="102">
                  <c:v>2700342.3042284101</c:v>
                </c:pt>
                <c:pt idx="103">
                  <c:v>2724175.6744943452</c:v>
                </c:pt>
                <c:pt idx="104">
                  <c:v>2755578.9236145699</c:v>
                </c:pt>
                <c:pt idx="105">
                  <c:v>2788310.2216566</c:v>
                </c:pt>
                <c:pt idx="106">
                  <c:v>2823615.8914547446</c:v>
                </c:pt>
                <c:pt idx="107">
                  <c:v>2856786.467217064</c:v>
                </c:pt>
                <c:pt idx="108">
                  <c:v>2888608.5625357046</c:v>
                </c:pt>
                <c:pt idx="109">
                  <c:v>2918029.9540341585</c:v>
                </c:pt>
                <c:pt idx="110">
                  <c:v>2947757.8183607212</c:v>
                </c:pt>
                <c:pt idx="111">
                  <c:v>2977220.072902923</c:v>
                </c:pt>
                <c:pt idx="112">
                  <c:v>3009665.3296387177</c:v>
                </c:pt>
                <c:pt idx="113">
                  <c:v>3032078.7091344153</c:v>
                </c:pt>
                <c:pt idx="114">
                  <c:v>3064472.8870655252</c:v>
                </c:pt>
                <c:pt idx="115">
                  <c:v>3095549.2318357672</c:v>
                </c:pt>
                <c:pt idx="116">
                  <c:v>3119995.5477579199</c:v>
                </c:pt>
                <c:pt idx="117">
                  <c:v>3149519.0968657434</c:v>
                </c:pt>
                <c:pt idx="118">
                  <c:v>3182097.1584937191</c:v>
                </c:pt>
                <c:pt idx="119">
                  <c:v>3213725.1543545569</c:v>
                </c:pt>
                <c:pt idx="120">
                  <c:v>3246824.2197903176</c:v>
                </c:pt>
                <c:pt idx="121">
                  <c:v>3278860.8460886343</c:v>
                </c:pt>
                <c:pt idx="122">
                  <c:v>3311806.6751103406</c:v>
                </c:pt>
                <c:pt idx="123">
                  <c:v>3345345.0182663905</c:v>
                </c:pt>
                <c:pt idx="124">
                  <c:v>3377902.6483724923</c:v>
                </c:pt>
                <c:pt idx="125">
                  <c:v>3410153.8056504847</c:v>
                </c:pt>
                <c:pt idx="126">
                  <c:v>3435437.8139694687</c:v>
                </c:pt>
                <c:pt idx="127">
                  <c:v>3463694.6087211086</c:v>
                </c:pt>
                <c:pt idx="128">
                  <c:v>3495128.5051241443</c:v>
                </c:pt>
                <c:pt idx="129">
                  <c:v>3526899.5216381</c:v>
                </c:pt>
                <c:pt idx="130">
                  <c:v>3561061.0262113046</c:v>
                </c:pt>
                <c:pt idx="131">
                  <c:v>3595294.0411110683</c:v>
                </c:pt>
                <c:pt idx="132">
                  <c:v>3630569.0636264021</c:v>
                </c:pt>
                <c:pt idx="133">
                  <c:v>3664945.0991792833</c:v>
                </c:pt>
                <c:pt idx="134">
                  <c:v>3684763.6753969914</c:v>
                </c:pt>
                <c:pt idx="135">
                  <c:v>3713265.6484111189</c:v>
                </c:pt>
                <c:pt idx="136">
                  <c:v>3745649.6105812918</c:v>
                </c:pt>
                <c:pt idx="137">
                  <c:v>3772435.3357580095</c:v>
                </c:pt>
                <c:pt idx="138">
                  <c:v>3806024.7577187442</c:v>
                </c:pt>
                <c:pt idx="139">
                  <c:v>3834945.5769312871</c:v>
                </c:pt>
                <c:pt idx="140">
                  <c:v>3866440.7678999444</c:v>
                </c:pt>
                <c:pt idx="141">
                  <c:v>3889436.4457690488</c:v>
                </c:pt>
                <c:pt idx="142">
                  <c:v>3914587.6491958518</c:v>
                </c:pt>
                <c:pt idx="143">
                  <c:v>3945132.7743973718</c:v>
                </c:pt>
                <c:pt idx="144">
                  <c:v>3978936.7273377827</c:v>
                </c:pt>
                <c:pt idx="145">
                  <c:v>4009114.0851455722</c:v>
                </c:pt>
                <c:pt idx="146">
                  <c:v>4040507.11850486</c:v>
                </c:pt>
                <c:pt idx="147">
                  <c:v>4069683.3317408268</c:v>
                </c:pt>
                <c:pt idx="148">
                  <c:v>4097776.6743174754</c:v>
                </c:pt>
                <c:pt idx="149">
                  <c:v>4129925.6739860983</c:v>
                </c:pt>
                <c:pt idx="150">
                  <c:v>4164056.5312764924</c:v>
                </c:pt>
                <c:pt idx="151">
                  <c:v>4198371.2722637514</c:v>
                </c:pt>
                <c:pt idx="152">
                  <c:v>4231940.2627026122</c:v>
                </c:pt>
                <c:pt idx="153">
                  <c:v>4264211.8515024791</c:v>
                </c:pt>
                <c:pt idx="154">
                  <c:v>4300089.6039130939</c:v>
                </c:pt>
                <c:pt idx="155">
                  <c:v>4333862.909570694</c:v>
                </c:pt>
                <c:pt idx="156">
                  <c:v>4368504.5549079366</c:v>
                </c:pt>
                <c:pt idx="157">
                  <c:v>4396720.4866158282</c:v>
                </c:pt>
                <c:pt idx="158">
                  <c:v>4426162.3096361561</c:v>
                </c:pt>
                <c:pt idx="159">
                  <c:v>4461396.4691077424</c:v>
                </c:pt>
                <c:pt idx="160">
                  <c:v>4488090.2524360269</c:v>
                </c:pt>
                <c:pt idx="161">
                  <c:v>4522936.2129920088</c:v>
                </c:pt>
                <c:pt idx="162">
                  <c:v>4553900.1843919437</c:v>
                </c:pt>
                <c:pt idx="163">
                  <c:v>4587806.2949417243</c:v>
                </c:pt>
                <c:pt idx="164">
                  <c:v>4615858.7744746255</c:v>
                </c:pt>
                <c:pt idx="165">
                  <c:v>4648968.0556713231</c:v>
                </c:pt>
                <c:pt idx="166">
                  <c:v>4685315.7330850381</c:v>
                </c:pt>
                <c:pt idx="167">
                  <c:v>4720222.9882066408</c:v>
                </c:pt>
                <c:pt idx="168">
                  <c:v>4747458.2068645852</c:v>
                </c:pt>
                <c:pt idx="169">
                  <c:v>4779535.6962066488</c:v>
                </c:pt>
                <c:pt idx="170">
                  <c:v>4807159.1137801977</c:v>
                </c:pt>
                <c:pt idx="171">
                  <c:v>4838112.8694191957</c:v>
                </c:pt>
                <c:pt idx="172">
                  <c:v>4873193.7924767276</c:v>
                </c:pt>
                <c:pt idx="173">
                  <c:v>4907723.0644436628</c:v>
                </c:pt>
                <c:pt idx="174">
                  <c:v>4941179.681512217</c:v>
                </c:pt>
                <c:pt idx="175">
                  <c:v>4971081.2137747081</c:v>
                </c:pt>
                <c:pt idx="176">
                  <c:v>5001861.3014777787</c:v>
                </c:pt>
                <c:pt idx="177">
                  <c:v>5035603.9598525679</c:v>
                </c:pt>
                <c:pt idx="178">
                  <c:v>5072482.8568350049</c:v>
                </c:pt>
                <c:pt idx="179">
                  <c:v>5106317.4570582267</c:v>
                </c:pt>
                <c:pt idx="180">
                  <c:v>5130058.8854757296</c:v>
                </c:pt>
                <c:pt idx="181">
                  <c:v>5160277.1063272664</c:v>
                </c:pt>
                <c:pt idx="182">
                  <c:v>5195082.2038394995</c:v>
                </c:pt>
                <c:pt idx="183">
                  <c:v>5229907.7328736074</c:v>
                </c:pt>
                <c:pt idx="184">
                  <c:v>5262925.0722218724</c:v>
                </c:pt>
                <c:pt idx="185">
                  <c:v>5298506.5675653145</c:v>
                </c:pt>
                <c:pt idx="186">
                  <c:v>5333771.3743197117</c:v>
                </c:pt>
                <c:pt idx="187">
                  <c:v>5360393.6473214375</c:v>
                </c:pt>
                <c:pt idx="188">
                  <c:v>5384421.1170451753</c:v>
                </c:pt>
                <c:pt idx="189">
                  <c:v>5413985.5291967466</c:v>
                </c:pt>
                <c:pt idx="190">
                  <c:v>5445991.5082122516</c:v>
                </c:pt>
                <c:pt idx="191">
                  <c:v>5474636.5018794965</c:v>
                </c:pt>
                <c:pt idx="192">
                  <c:v>5500625.3977031307</c:v>
                </c:pt>
                <c:pt idx="193">
                  <c:v>5538188.750668345</c:v>
                </c:pt>
                <c:pt idx="194">
                  <c:v>5572993.8481805781</c:v>
                </c:pt>
                <c:pt idx="195">
                  <c:v>5609259.7995067975</c:v>
                </c:pt>
                <c:pt idx="196">
                  <c:v>5648100.1225891309</c:v>
                </c:pt>
                <c:pt idx="197">
                  <c:v>5682762.1994482474</c:v>
                </c:pt>
                <c:pt idx="198">
                  <c:v>5713184.7355185235</c:v>
                </c:pt>
                <c:pt idx="199">
                  <c:v>5748194.1482494967</c:v>
                </c:pt>
                <c:pt idx="200">
                  <c:v>5771772.1244920073</c:v>
                </c:pt>
                <c:pt idx="201">
                  <c:v>5792969.8284362061</c:v>
                </c:pt>
                <c:pt idx="202">
                  <c:v>5823913.3683142671</c:v>
                </c:pt>
                <c:pt idx="203">
                  <c:v>5852098.6527393488</c:v>
                </c:pt>
                <c:pt idx="204">
                  <c:v>5877903.6648661178</c:v>
                </c:pt>
                <c:pt idx="205">
                  <c:v>5905649.6715709092</c:v>
                </c:pt>
                <c:pt idx="206">
                  <c:v>5929901.8880352601</c:v>
                </c:pt>
                <c:pt idx="207">
                  <c:v>5964206.4132615821</c:v>
                </c:pt>
                <c:pt idx="208">
                  <c:v>5995813.9776005466</c:v>
                </c:pt>
                <c:pt idx="209">
                  <c:v>6025327.3109474331</c:v>
                </c:pt>
                <c:pt idx="210">
                  <c:v>6058794.1437769243</c:v>
                </c:pt>
                <c:pt idx="211">
                  <c:v>6084476.5667724498</c:v>
                </c:pt>
                <c:pt idx="212">
                  <c:v>6116748.1555723166</c:v>
                </c:pt>
                <c:pt idx="213">
                  <c:v>6143983.37423026</c:v>
                </c:pt>
                <c:pt idx="214">
                  <c:v>6168276.4537383588</c:v>
                </c:pt>
                <c:pt idx="215">
                  <c:v>6188238.0506091844</c:v>
                </c:pt>
                <c:pt idx="216">
                  <c:v>6209190.5762908962</c:v>
                </c:pt>
                <c:pt idx="217">
                  <c:v>6232380.3536178023</c:v>
                </c:pt>
                <c:pt idx="218">
                  <c:v>6259309.0994476378</c:v>
                </c:pt>
                <c:pt idx="219">
                  <c:v>6288771.3539898396</c:v>
                </c:pt>
                <c:pt idx="220">
                  <c:v>6303696.5807187427</c:v>
                </c:pt>
                <c:pt idx="221">
                  <c:v>6319428.8525616657</c:v>
                </c:pt>
                <c:pt idx="222">
                  <c:v>6352415.5446271198</c:v>
                </c:pt>
                <c:pt idx="223">
                  <c:v>6387036.7584424876</c:v>
                </c:pt>
                <c:pt idx="224">
                  <c:v>6421014.3793188278</c:v>
                </c:pt>
                <c:pt idx="225">
                  <c:v>6457872.8447793908</c:v>
                </c:pt>
                <c:pt idx="226">
                  <c:v>6495609.8656805325</c:v>
                </c:pt>
                <c:pt idx="227">
                  <c:v>6520117.4761683065</c:v>
                </c:pt>
                <c:pt idx="228">
                  <c:v>6545381.0529654166</c:v>
                </c:pt>
                <c:pt idx="229">
                  <c:v>6584415.4755055532</c:v>
                </c:pt>
                <c:pt idx="230">
                  <c:v>6612273.8555806521</c:v>
                </c:pt>
                <c:pt idx="231">
                  <c:v>6639815.5470667044</c:v>
                </c:pt>
                <c:pt idx="232">
                  <c:v>6672219.9407587517</c:v>
                </c:pt>
                <c:pt idx="233">
                  <c:v>6712991.0426581716</c:v>
                </c:pt>
                <c:pt idx="234">
                  <c:v>6744659.9015627569</c:v>
                </c:pt>
                <c:pt idx="235">
                  <c:v>6777748.7512375806</c:v>
                </c:pt>
                <c:pt idx="236">
                  <c:v>6799477.6747505013</c:v>
                </c:pt>
                <c:pt idx="237">
                  <c:v>6827438.2124349698</c:v>
                </c:pt>
                <c:pt idx="238">
                  <c:v>6856277.305560017</c:v>
                </c:pt>
                <c:pt idx="239">
                  <c:v>6888804.2883833079</c:v>
                </c:pt>
                <c:pt idx="240">
                  <c:v>6921842.0592534468</c:v>
                </c:pt>
                <c:pt idx="241">
                  <c:v>6954675.5149048464</c:v>
                </c:pt>
                <c:pt idx="242">
                  <c:v>6991431.8227560399</c:v>
                </c:pt>
                <c:pt idx="243">
                  <c:v>7023396.938727797</c:v>
                </c:pt>
                <c:pt idx="244">
                  <c:v>7056557.2987291794</c:v>
                </c:pt>
                <c:pt idx="245">
                  <c:v>7090034.3473196076</c:v>
                </c:pt>
                <c:pt idx="246">
                  <c:v>7109842.7077763798</c:v>
                </c:pt>
                <c:pt idx="247">
                  <c:v>7141225.5253747301</c:v>
                </c:pt>
                <c:pt idx="248">
                  <c:v>7173926.1761339493</c:v>
                </c:pt>
                <c:pt idx="249">
                  <c:v>7208874.2942993008</c:v>
                </c:pt>
                <c:pt idx="250">
                  <c:v>7244149.316814634</c:v>
                </c:pt>
                <c:pt idx="251">
                  <c:v>7268575.2012149133</c:v>
                </c:pt>
                <c:pt idx="252">
                  <c:v>7301561.8932803674</c:v>
                </c:pt>
                <c:pt idx="253">
                  <c:v>7333904.9924067929</c:v>
                </c:pt>
                <c:pt idx="254">
                  <c:v>7361916.6088959454</c:v>
                </c:pt>
                <c:pt idx="255">
                  <c:v>7384340.2041525794</c:v>
                </c:pt>
                <c:pt idx="256">
                  <c:v>7419891.0522132115</c:v>
                </c:pt>
                <c:pt idx="257">
                  <c:v>7438943.4463606477</c:v>
                </c:pt>
                <c:pt idx="258">
                  <c:v>7466239.9595842138</c:v>
                </c:pt>
                <c:pt idx="259">
                  <c:v>7484199.2673113951</c:v>
                </c:pt>
                <c:pt idx="260">
                  <c:v>7513876.0528332731</c:v>
                </c:pt>
                <c:pt idx="261">
                  <c:v>7545595.9905425431</c:v>
                </c:pt>
                <c:pt idx="262">
                  <c:v>7565016.1520837108</c:v>
                </c:pt>
                <c:pt idx="263">
                  <c:v>7589176.4266996281</c:v>
                </c:pt>
                <c:pt idx="264">
                  <c:v>7623092.7530103456</c:v>
                </c:pt>
                <c:pt idx="265">
                  <c:v>7658725.3271584734</c:v>
                </c:pt>
                <c:pt idx="266">
                  <c:v>7691926.5502036037</c:v>
                </c:pt>
                <c:pt idx="267">
                  <c:v>7727130.0623923792</c:v>
                </c:pt>
                <c:pt idx="268">
                  <c:v>7752996.3690847699</c:v>
                </c:pt>
                <c:pt idx="269">
                  <c:v>7788445.0595360314</c:v>
                </c:pt>
                <c:pt idx="270">
                  <c:v>7825303.5249965945</c:v>
                </c:pt>
                <c:pt idx="271">
                  <c:v>7862294.7953493381</c:v>
                </c:pt>
                <c:pt idx="272">
                  <c:v>7897641.328191231</c:v>
                </c:pt>
                <c:pt idx="273">
                  <c:v>7933284.1181002958</c:v>
                </c:pt>
                <c:pt idx="274">
                  <c:v>7969478.5590999555</c:v>
                </c:pt>
                <c:pt idx="275">
                  <c:v>7992269.9217503211</c:v>
                </c:pt>
                <c:pt idx="276">
                  <c:v>8025828.6964282449</c:v>
                </c:pt>
                <c:pt idx="277">
                  <c:v>8061287.6026404435</c:v>
                </c:pt>
                <c:pt idx="278">
                  <c:v>8083537.5299611492</c:v>
                </c:pt>
                <c:pt idx="279">
                  <c:v>8113224.531243965</c:v>
                </c:pt>
                <c:pt idx="280">
                  <c:v>8141113.5586018739</c:v>
                </c:pt>
                <c:pt idx="281">
                  <c:v>8163649.5272288145</c:v>
                </c:pt>
                <c:pt idx="282">
                  <c:v>8198689.5872425986</c:v>
                </c:pt>
                <c:pt idx="283">
                  <c:v>8235221.148353179</c:v>
                </c:pt>
                <c:pt idx="284">
                  <c:v>8264703.8344172547</c:v>
                </c:pt>
                <c:pt idx="285">
                  <c:v>8291162.6552439891</c:v>
                </c:pt>
                <c:pt idx="286">
                  <c:v>8320195.8478268385</c:v>
                </c:pt>
                <c:pt idx="287">
                  <c:v>8352579.8099970119</c:v>
                </c:pt>
                <c:pt idx="288">
                  <c:v>8380509.7003986686</c:v>
                </c:pt>
                <c:pt idx="289">
                  <c:v>8412096.8332157582</c:v>
                </c:pt>
                <c:pt idx="290">
                  <c:v>8443459.2192922365</c:v>
                </c:pt>
                <c:pt idx="291">
                  <c:v>8472962.3368781861</c:v>
                </c:pt>
                <c:pt idx="292">
                  <c:v>8499942.1615127046</c:v>
                </c:pt>
                <c:pt idx="293">
                  <c:v>8535002.6530483626</c:v>
                </c:pt>
                <c:pt idx="294">
                  <c:v>8568438.8385950439</c:v>
                </c:pt>
                <c:pt idx="295">
                  <c:v>8603540.1931744479</c:v>
                </c:pt>
                <c:pt idx="296">
                  <c:v>8628568.8074700087</c:v>
                </c:pt>
                <c:pt idx="297">
                  <c:v>8663843.8299853429</c:v>
                </c:pt>
                <c:pt idx="298">
                  <c:v>8695441.1785633694</c:v>
                </c:pt>
                <c:pt idx="299">
                  <c:v>8730838.7902099472</c:v>
                </c:pt>
                <c:pt idx="300">
                  <c:v>8765776.6926143598</c:v>
                </c:pt>
                <c:pt idx="301">
                  <c:v>8800735.0265406482</c:v>
                </c:pt>
                <c:pt idx="302">
                  <c:v>8832128.0598999355</c:v>
                </c:pt>
                <c:pt idx="303">
                  <c:v>8869231.7036229875</c:v>
                </c:pt>
                <c:pt idx="304">
                  <c:v>8901554.3712275382</c:v>
                </c:pt>
                <c:pt idx="305">
                  <c:v>8935950.8383022938</c:v>
                </c:pt>
                <c:pt idx="306">
                  <c:v>8969805.8700473886</c:v>
                </c:pt>
                <c:pt idx="307">
                  <c:v>8997929.8599068485</c:v>
                </c:pt>
                <c:pt idx="308">
                  <c:v>9030303.606316084</c:v>
                </c:pt>
                <c:pt idx="309">
                  <c:v>9057947.4554115068</c:v>
                </c:pt>
                <c:pt idx="310">
                  <c:v>9080391.4821900148</c:v>
                </c:pt>
                <c:pt idx="311">
                  <c:v>9108392.8829182312</c:v>
                </c:pt>
                <c:pt idx="312">
                  <c:v>9138938.0081197508</c:v>
                </c:pt>
                <c:pt idx="313">
                  <c:v>9172660.2349726669</c:v>
                </c:pt>
                <c:pt idx="314">
                  <c:v>9202602.6302789059</c:v>
                </c:pt>
                <c:pt idx="315">
                  <c:v>9230961.5826399159</c:v>
                </c:pt>
                <c:pt idx="316">
                  <c:v>9265817.7589568328</c:v>
                </c:pt>
                <c:pt idx="317">
                  <c:v>9292531.9738069922</c:v>
                </c:pt>
                <c:pt idx="318">
                  <c:v>9315272.257652672</c:v>
                </c:pt>
                <c:pt idx="319">
                  <c:v>9348299.8127618749</c:v>
                </c:pt>
                <c:pt idx="320">
                  <c:v>9380847.2271070387</c:v>
                </c:pt>
                <c:pt idx="321">
                  <c:v>9414232.3338490352</c:v>
                </c:pt>
                <c:pt idx="322">
                  <c:v>9447750.2454832103</c:v>
                </c:pt>
                <c:pt idx="323">
                  <c:v>9472983.1749975104</c:v>
                </c:pt>
                <c:pt idx="324">
                  <c:v>9504120.8143333737</c:v>
                </c:pt>
                <c:pt idx="325">
                  <c:v>9530416.1829851158</c:v>
                </c:pt>
                <c:pt idx="326">
                  <c:v>9558478.878278954</c:v>
                </c:pt>
                <c:pt idx="327">
                  <c:v>9583231.6670292169</c:v>
                </c:pt>
                <c:pt idx="328">
                  <c:v>9613909.597122917</c:v>
                </c:pt>
                <c:pt idx="329">
                  <c:v>9646344.6380977742</c:v>
                </c:pt>
                <c:pt idx="330">
                  <c:v>9658521.825134635</c:v>
                </c:pt>
                <c:pt idx="331">
                  <c:v>9687125.955758132</c:v>
                </c:pt>
                <c:pt idx="332">
                  <c:v>9721951.4847922381</c:v>
                </c:pt>
                <c:pt idx="333">
                  <c:v>9750892.7355266549</c:v>
                </c:pt>
                <c:pt idx="334">
                  <c:v>9779343.6297360975</c:v>
                </c:pt>
                <c:pt idx="335">
                  <c:v>9797497.0369210821</c:v>
                </c:pt>
                <c:pt idx="336">
                  <c:v>9820605.0881604925</c:v>
                </c:pt>
                <c:pt idx="337">
                  <c:v>9847319.30301065</c:v>
                </c:pt>
                <c:pt idx="338">
                  <c:v>9880214.0532276724</c:v>
                </c:pt>
                <c:pt idx="339">
                  <c:v>9910309.6849479657</c:v>
                </c:pt>
                <c:pt idx="340">
                  <c:v>9938433.6748074256</c:v>
                </c:pt>
                <c:pt idx="341">
                  <c:v>9974086.6804774273</c:v>
                </c:pt>
                <c:pt idx="342">
                  <c:v>10005295.830139849</c:v>
                </c:pt>
                <c:pt idx="343">
                  <c:v>10037158.788502237</c:v>
                </c:pt>
                <c:pt idx="344">
                  <c:v>10050000</c:v>
                </c:pt>
                <c:pt idx="345">
                  <c:v>10050000</c:v>
                </c:pt>
                <c:pt idx="346">
                  <c:v>10050000</c:v>
                </c:pt>
              </c:numCache>
            </c:numRef>
          </c:xVal>
          <c:yVal>
            <c:numRef>
              <c:f>Wafer1!$F$2:$F$348</c:f>
              <c:numCache>
                <c:formatCode>0.00E+00</c:formatCode>
                <c:ptCount val="347"/>
                <c:pt idx="0">
                  <c:v>1.234514E-6</c:v>
                </c:pt>
                <c:pt idx="1">
                  <c:v>1.2792835E-6</c:v>
                </c:pt>
                <c:pt idx="2">
                  <c:v>1.1861983333333335E-6</c:v>
                </c:pt>
                <c:pt idx="3">
                  <c:v>1.1997952500000001E-6</c:v>
                </c:pt>
                <c:pt idx="4">
                  <c:v>1.1873972000000001E-6</c:v>
                </c:pt>
                <c:pt idx="5">
                  <c:v>1.2414601666666668E-6</c:v>
                </c:pt>
                <c:pt idx="6">
                  <c:v>1.2774920000000003E-6</c:v>
                </c:pt>
                <c:pt idx="7">
                  <c:v>1.3050878750000002E-6</c:v>
                </c:pt>
                <c:pt idx="8">
                  <c:v>1.3132656666666668E-6</c:v>
                </c:pt>
                <c:pt idx="9">
                  <c:v>1.3035610000000001E-6</c:v>
                </c:pt>
                <c:pt idx="10">
                  <c:v>1.3295875454545456E-6</c:v>
                </c:pt>
                <c:pt idx="11">
                  <c:v>1.3455310000000001E-6</c:v>
                </c:pt>
                <c:pt idx="12">
                  <c:v>1.3625885384615385E-6</c:v>
                </c:pt>
                <c:pt idx="13">
                  <c:v>1.376331642857143E-6</c:v>
                </c:pt>
                <c:pt idx="14">
                  <c:v>1.4011296000000002E-6</c:v>
                </c:pt>
                <c:pt idx="15">
                  <c:v>1.4262389375000001E-6</c:v>
                </c:pt>
                <c:pt idx="16">
                  <c:v>1.4437994705882354E-6</c:v>
                </c:pt>
                <c:pt idx="17">
                  <c:v>1.4420384444444444E-6</c:v>
                </c:pt>
                <c:pt idx="18">
                  <c:v>1.4594207894736842E-6</c:v>
                </c:pt>
                <c:pt idx="19">
                  <c:v>1.4696652000000001E-6</c:v>
                </c:pt>
                <c:pt idx="20">
                  <c:v>1.4906099500000001E-6</c:v>
                </c:pt>
                <c:pt idx="21">
                  <c:v>1.5045199999999999E-6</c:v>
                </c:pt>
                <c:pt idx="22">
                  <c:v>1.5483751500000004E-6</c:v>
                </c:pt>
                <c:pt idx="23">
                  <c:v>1.5770957500000002E-6</c:v>
                </c:pt>
                <c:pt idx="24">
                  <c:v>1.6091571E-6</c:v>
                </c:pt>
                <c:pt idx="25">
                  <c:v>1.6206584500000003E-6</c:v>
                </c:pt>
                <c:pt idx="26">
                  <c:v>1.6351768500000001E-6</c:v>
                </c:pt>
                <c:pt idx="27">
                  <c:v>1.6555008500000004E-6</c:v>
                </c:pt>
                <c:pt idx="28">
                  <c:v>1.6849698000000003E-6</c:v>
                </c:pt>
                <c:pt idx="29">
                  <c:v>1.7158792000000003E-6</c:v>
                </c:pt>
                <c:pt idx="30">
                  <c:v>1.7269661000000002E-6</c:v>
                </c:pt>
                <c:pt idx="31">
                  <c:v>1.7510262499999998E-6</c:v>
                </c:pt>
                <c:pt idx="32">
                  <c:v>1.7903593999999995E-6</c:v>
                </c:pt>
                <c:pt idx="33">
                  <c:v>1.8298641000000001E-6</c:v>
                </c:pt>
                <c:pt idx="34">
                  <c:v>1.8580644500000001E-6</c:v>
                </c:pt>
                <c:pt idx="35">
                  <c:v>1.871777E-6</c:v>
                </c:pt>
                <c:pt idx="36">
                  <c:v>1.8904032500000003E-6</c:v>
                </c:pt>
                <c:pt idx="37">
                  <c:v>1.9449032999999999E-6</c:v>
                </c:pt>
                <c:pt idx="38">
                  <c:v>1.9789539500000001E-6</c:v>
                </c:pt>
                <c:pt idx="39">
                  <c:v>2.0251859500000002E-6</c:v>
                </c:pt>
                <c:pt idx="40">
                  <c:v>2.0622277E-6</c:v>
                </c:pt>
                <c:pt idx="41">
                  <c:v>2.1135203000000001E-6</c:v>
                </c:pt>
                <c:pt idx="42">
                  <c:v>2.1561043499999999E-6</c:v>
                </c:pt>
                <c:pt idx="43">
                  <c:v>2.1821908999999996E-6</c:v>
                </c:pt>
                <c:pt idx="44">
                  <c:v>2.2146065499999998E-6</c:v>
                </c:pt>
                <c:pt idx="45">
                  <c:v>2.2549006999999998E-6</c:v>
                </c:pt>
                <c:pt idx="46">
                  <c:v>2.3150114500000001E-6</c:v>
                </c:pt>
                <c:pt idx="47">
                  <c:v>2.3646168000000002E-6</c:v>
                </c:pt>
                <c:pt idx="48">
                  <c:v>2.4052337500000001E-6</c:v>
                </c:pt>
                <c:pt idx="49">
                  <c:v>2.4624283500000001E-6</c:v>
                </c:pt>
                <c:pt idx="50">
                  <c:v>2.5149843499999998E-6</c:v>
                </c:pt>
                <c:pt idx="51">
                  <c:v>2.5380232500000004E-6</c:v>
                </c:pt>
                <c:pt idx="52">
                  <c:v>2.5416666500000001E-6</c:v>
                </c:pt>
                <c:pt idx="53">
                  <c:v>2.5631337999999999E-6</c:v>
                </c:pt>
                <c:pt idx="54">
                  <c:v>2.5843810499999998E-6</c:v>
                </c:pt>
                <c:pt idx="55">
                  <c:v>2.6142186E-6</c:v>
                </c:pt>
                <c:pt idx="56">
                  <c:v>2.6454659500000003E-6</c:v>
                </c:pt>
                <c:pt idx="57">
                  <c:v>2.6588372000000005E-6</c:v>
                </c:pt>
                <c:pt idx="58">
                  <c:v>2.6757568499999998E-6</c:v>
                </c:pt>
                <c:pt idx="59">
                  <c:v>2.7010082000000002E-6</c:v>
                </c:pt>
                <c:pt idx="60">
                  <c:v>2.7407481999999998E-6</c:v>
                </c:pt>
                <c:pt idx="61">
                  <c:v>2.7609501499999997E-6</c:v>
                </c:pt>
                <c:pt idx="62">
                  <c:v>2.7704563500000003E-6</c:v>
                </c:pt>
                <c:pt idx="63">
                  <c:v>2.8069939500000003E-6</c:v>
                </c:pt>
                <c:pt idx="64">
                  <c:v>2.8401301999999996E-6</c:v>
                </c:pt>
                <c:pt idx="65">
                  <c:v>2.8707427499999997E-6</c:v>
                </c:pt>
                <c:pt idx="66">
                  <c:v>2.8725796999999999E-6</c:v>
                </c:pt>
                <c:pt idx="67">
                  <c:v>2.8973401999999999E-6</c:v>
                </c:pt>
                <c:pt idx="68">
                  <c:v>2.9193571499999993E-6</c:v>
                </c:pt>
                <c:pt idx="69">
                  <c:v>2.9273083999999999E-6</c:v>
                </c:pt>
                <c:pt idx="70">
                  <c:v>2.9499283499999996E-6</c:v>
                </c:pt>
                <c:pt idx="71">
                  <c:v>2.9826464999999997E-6</c:v>
                </c:pt>
                <c:pt idx="72">
                  <c:v>3.0146920499999999E-6</c:v>
                </c:pt>
                <c:pt idx="73">
                  <c:v>3.0453137E-6</c:v>
                </c:pt>
                <c:pt idx="74">
                  <c:v>3.0781428000000001E-6</c:v>
                </c:pt>
                <c:pt idx="75">
                  <c:v>3.1080231000000001E-6</c:v>
                </c:pt>
                <c:pt idx="76">
                  <c:v>3.1441894999999999E-6</c:v>
                </c:pt>
                <c:pt idx="77">
                  <c:v>3.1885559499999999E-6</c:v>
                </c:pt>
                <c:pt idx="78">
                  <c:v>3.2191956000000006E-6</c:v>
                </c:pt>
                <c:pt idx="79">
                  <c:v>3.2359172000000004E-6</c:v>
                </c:pt>
                <c:pt idx="80">
                  <c:v>3.2581461500000005E-6</c:v>
                </c:pt>
                <c:pt idx="81">
                  <c:v>3.2968856999999999E-6</c:v>
                </c:pt>
                <c:pt idx="82">
                  <c:v>3.3389122500000001E-6</c:v>
                </c:pt>
                <c:pt idx="83">
                  <c:v>3.3801020499999996E-6</c:v>
                </c:pt>
                <c:pt idx="84">
                  <c:v>3.4340131499999997E-6</c:v>
                </c:pt>
                <c:pt idx="85">
                  <c:v>3.4881588999999999E-6</c:v>
                </c:pt>
                <c:pt idx="86">
                  <c:v>3.5378989500000003E-6</c:v>
                </c:pt>
                <c:pt idx="87">
                  <c:v>3.5574276500000002E-6</c:v>
                </c:pt>
                <c:pt idx="88">
                  <c:v>3.6102475499999997E-6</c:v>
                </c:pt>
                <c:pt idx="89">
                  <c:v>3.6609369499999995E-6</c:v>
                </c:pt>
                <c:pt idx="90">
                  <c:v>3.7015782999999999E-6</c:v>
                </c:pt>
                <c:pt idx="91">
                  <c:v>3.7685095999999993E-6</c:v>
                </c:pt>
                <c:pt idx="92">
                  <c:v>3.8406044999999991E-6</c:v>
                </c:pt>
                <c:pt idx="93">
                  <c:v>3.8832166499999996E-6</c:v>
                </c:pt>
                <c:pt idx="94">
                  <c:v>3.9246042999999996E-6</c:v>
                </c:pt>
                <c:pt idx="95">
                  <c:v>3.9809401499999996E-6</c:v>
                </c:pt>
                <c:pt idx="96">
                  <c:v>4.0324656999999996E-6</c:v>
                </c:pt>
                <c:pt idx="97">
                  <c:v>4.0752266499999994E-6</c:v>
                </c:pt>
                <c:pt idx="98">
                  <c:v>4.1355453E-6</c:v>
                </c:pt>
                <c:pt idx="99">
                  <c:v>4.1827235499999999E-6</c:v>
                </c:pt>
                <c:pt idx="100">
                  <c:v>4.2347676499999998E-6</c:v>
                </c:pt>
                <c:pt idx="101">
                  <c:v>4.2657742500000003E-6</c:v>
                </c:pt>
                <c:pt idx="102">
                  <c:v>4.3140459000000006E-6</c:v>
                </c:pt>
                <c:pt idx="103">
                  <c:v>4.3590684000000009E-6</c:v>
                </c:pt>
                <c:pt idx="104">
                  <c:v>4.3822117999999998E-6</c:v>
                </c:pt>
                <c:pt idx="105">
                  <c:v>4.3975327999999994E-6</c:v>
                </c:pt>
                <c:pt idx="106">
                  <c:v>4.4417910999999999E-6</c:v>
                </c:pt>
                <c:pt idx="107">
                  <c:v>4.4937872000000002E-6</c:v>
                </c:pt>
                <c:pt idx="108">
                  <c:v>4.5254106000000011E-6</c:v>
                </c:pt>
                <c:pt idx="109">
                  <c:v>4.5792303499999995E-6</c:v>
                </c:pt>
                <c:pt idx="110">
                  <c:v>4.626973599999999E-6</c:v>
                </c:pt>
                <c:pt idx="111">
                  <c:v>4.6695031500000006E-6</c:v>
                </c:pt>
                <c:pt idx="112">
                  <c:v>4.7094659499999999E-6</c:v>
                </c:pt>
                <c:pt idx="113">
                  <c:v>4.7720320000000003E-6</c:v>
                </c:pt>
                <c:pt idx="114">
                  <c:v>4.8399040999999992E-6</c:v>
                </c:pt>
                <c:pt idx="115">
                  <c:v>4.9098031499999989E-6</c:v>
                </c:pt>
                <c:pt idx="116">
                  <c:v>4.9557570999999999E-6</c:v>
                </c:pt>
                <c:pt idx="117">
                  <c:v>5.0006113000000008E-6</c:v>
                </c:pt>
                <c:pt idx="118">
                  <c:v>5.03780325E-6</c:v>
                </c:pt>
                <c:pt idx="119">
                  <c:v>5.1058911E-6</c:v>
                </c:pt>
                <c:pt idx="120">
                  <c:v>5.1559745000000005E-6</c:v>
                </c:pt>
                <c:pt idx="121">
                  <c:v>5.2194527500000005E-6</c:v>
                </c:pt>
                <c:pt idx="122">
                  <c:v>5.2605864500000007E-6</c:v>
                </c:pt>
                <c:pt idx="123">
                  <c:v>5.3001605000000008E-6</c:v>
                </c:pt>
                <c:pt idx="124">
                  <c:v>5.3580297499999999E-6</c:v>
                </c:pt>
                <c:pt idx="125">
                  <c:v>5.4152348000000003E-6</c:v>
                </c:pt>
                <c:pt idx="126">
                  <c:v>5.4479309000000007E-6</c:v>
                </c:pt>
                <c:pt idx="127">
                  <c:v>5.4941727000000012E-6</c:v>
                </c:pt>
                <c:pt idx="128">
                  <c:v>5.5362838000000004E-6</c:v>
                </c:pt>
                <c:pt idx="129">
                  <c:v>5.5761586499999998E-6</c:v>
                </c:pt>
                <c:pt idx="130">
                  <c:v>5.6247829000000001E-6</c:v>
                </c:pt>
                <c:pt idx="131">
                  <c:v>5.6554295999999999E-6</c:v>
                </c:pt>
                <c:pt idx="132">
                  <c:v>5.6901676499999995E-6</c:v>
                </c:pt>
                <c:pt idx="133">
                  <c:v>5.7134259999999997E-6</c:v>
                </c:pt>
                <c:pt idx="134">
                  <c:v>5.7515484000000001E-6</c:v>
                </c:pt>
                <c:pt idx="135">
                  <c:v>5.7784656999999995E-6</c:v>
                </c:pt>
                <c:pt idx="136">
                  <c:v>5.8176116499999989E-6</c:v>
                </c:pt>
                <c:pt idx="137">
                  <c:v>5.8482323E-6</c:v>
                </c:pt>
                <c:pt idx="138">
                  <c:v>5.8876621999999988E-6</c:v>
                </c:pt>
                <c:pt idx="139">
                  <c:v>5.9204487999999984E-6</c:v>
                </c:pt>
                <c:pt idx="140">
                  <c:v>5.9469897999999994E-6</c:v>
                </c:pt>
                <c:pt idx="141">
                  <c:v>5.9815671500000001E-6</c:v>
                </c:pt>
                <c:pt idx="142">
                  <c:v>6.0143426499999997E-6</c:v>
                </c:pt>
                <c:pt idx="143">
                  <c:v>6.0570062500000002E-6</c:v>
                </c:pt>
                <c:pt idx="144">
                  <c:v>6.0892831499999995E-6</c:v>
                </c:pt>
                <c:pt idx="145">
                  <c:v>6.1360464E-6</c:v>
                </c:pt>
                <c:pt idx="146">
                  <c:v>6.1853524999999993E-6</c:v>
                </c:pt>
                <c:pt idx="147">
                  <c:v>6.2224101499999997E-6</c:v>
                </c:pt>
                <c:pt idx="148">
                  <c:v>6.2684334999999991E-6</c:v>
                </c:pt>
                <c:pt idx="149">
                  <c:v>6.3131819000000008E-6</c:v>
                </c:pt>
                <c:pt idx="150">
                  <c:v>6.34288865E-6</c:v>
                </c:pt>
                <c:pt idx="151">
                  <c:v>6.3892334499999997E-6</c:v>
                </c:pt>
                <c:pt idx="152">
                  <c:v>6.4328083499999988E-6</c:v>
                </c:pt>
                <c:pt idx="153">
                  <c:v>6.485879449999999E-6</c:v>
                </c:pt>
                <c:pt idx="154">
                  <c:v>6.5121475499999989E-6</c:v>
                </c:pt>
                <c:pt idx="155">
                  <c:v>6.5402552999999991E-6</c:v>
                </c:pt>
                <c:pt idx="156">
                  <c:v>6.582090150000001E-6</c:v>
                </c:pt>
                <c:pt idx="157">
                  <c:v>6.6528735000000003E-6</c:v>
                </c:pt>
                <c:pt idx="158">
                  <c:v>6.718937700000001E-6</c:v>
                </c:pt>
                <c:pt idx="159">
                  <c:v>6.7762162000000008E-6</c:v>
                </c:pt>
                <c:pt idx="160">
                  <c:v>6.8384200500000001E-6</c:v>
                </c:pt>
                <c:pt idx="161">
                  <c:v>6.8830444500000001E-6</c:v>
                </c:pt>
                <c:pt idx="162">
                  <c:v>6.9547800500000002E-6</c:v>
                </c:pt>
                <c:pt idx="163">
                  <c:v>7.0129046499999999E-6</c:v>
                </c:pt>
                <c:pt idx="164">
                  <c:v>7.0723729000000006E-6</c:v>
                </c:pt>
                <c:pt idx="165">
                  <c:v>7.113517899999999E-6</c:v>
                </c:pt>
                <c:pt idx="166">
                  <c:v>7.1639081999999977E-6</c:v>
                </c:pt>
                <c:pt idx="167">
                  <c:v>7.2384034499999971E-6</c:v>
                </c:pt>
                <c:pt idx="168">
                  <c:v>7.3021204499999985E-6</c:v>
                </c:pt>
                <c:pt idx="169">
                  <c:v>7.3457647500000003E-6</c:v>
                </c:pt>
                <c:pt idx="170">
                  <c:v>7.4046475000000002E-6</c:v>
                </c:pt>
                <c:pt idx="171">
                  <c:v>7.4548957000000005E-6</c:v>
                </c:pt>
                <c:pt idx="172">
                  <c:v>7.5032713500000003E-6</c:v>
                </c:pt>
                <c:pt idx="173">
                  <c:v>7.5626716500000007E-6</c:v>
                </c:pt>
                <c:pt idx="174">
                  <c:v>7.6197016999999999E-6</c:v>
                </c:pt>
                <c:pt idx="175">
                  <c:v>7.6636043999999996E-6</c:v>
                </c:pt>
                <c:pt idx="176">
                  <c:v>7.7082571500000002E-6</c:v>
                </c:pt>
                <c:pt idx="177">
                  <c:v>7.7347536000000003E-6</c:v>
                </c:pt>
                <c:pt idx="178">
                  <c:v>7.7673579999999996E-6</c:v>
                </c:pt>
                <c:pt idx="179">
                  <c:v>7.7891288499999982E-6</c:v>
                </c:pt>
                <c:pt idx="180">
                  <c:v>7.8237548999999998E-6</c:v>
                </c:pt>
                <c:pt idx="181">
                  <c:v>7.8777497999999977E-6</c:v>
                </c:pt>
                <c:pt idx="182">
                  <c:v>7.9195763999999986E-6</c:v>
                </c:pt>
                <c:pt idx="183">
                  <c:v>7.9507342999999994E-6</c:v>
                </c:pt>
                <c:pt idx="184">
                  <c:v>7.9776332499999989E-6</c:v>
                </c:pt>
                <c:pt idx="185">
                  <c:v>8.0104735999999997E-6</c:v>
                </c:pt>
                <c:pt idx="186">
                  <c:v>8.0551042499999984E-6</c:v>
                </c:pt>
                <c:pt idx="187">
                  <c:v>8.0795948499999986E-6</c:v>
                </c:pt>
                <c:pt idx="188">
                  <c:v>8.1169080500000012E-6</c:v>
                </c:pt>
                <c:pt idx="189">
                  <c:v>8.1670879500000015E-6</c:v>
                </c:pt>
                <c:pt idx="190">
                  <c:v>8.2223170000000007E-6</c:v>
                </c:pt>
                <c:pt idx="191">
                  <c:v>8.277472349999999E-6</c:v>
                </c:pt>
                <c:pt idx="192">
                  <c:v>8.3209128499999984E-6</c:v>
                </c:pt>
                <c:pt idx="193">
                  <c:v>8.3563093500000002E-6</c:v>
                </c:pt>
                <c:pt idx="194">
                  <c:v>8.3873668499999993E-6</c:v>
                </c:pt>
                <c:pt idx="195">
                  <c:v>8.430648549999997E-6</c:v>
                </c:pt>
                <c:pt idx="196">
                  <c:v>8.4804621499999997E-6</c:v>
                </c:pt>
                <c:pt idx="197">
                  <c:v>8.5318822999999993E-6</c:v>
                </c:pt>
                <c:pt idx="198">
                  <c:v>8.5772982999999994E-6</c:v>
                </c:pt>
                <c:pt idx="199">
                  <c:v>8.6240048500000004E-6</c:v>
                </c:pt>
                <c:pt idx="200">
                  <c:v>8.6693126999999992E-6</c:v>
                </c:pt>
                <c:pt idx="201">
                  <c:v>8.7208767500000012E-6</c:v>
                </c:pt>
                <c:pt idx="202">
                  <c:v>8.7687353499999993E-6</c:v>
                </c:pt>
                <c:pt idx="203">
                  <c:v>8.8101675999999985E-6</c:v>
                </c:pt>
                <c:pt idx="204">
                  <c:v>8.8554070499999982E-6</c:v>
                </c:pt>
                <c:pt idx="205">
                  <c:v>8.9097166499999996E-6</c:v>
                </c:pt>
                <c:pt idx="206">
                  <c:v>8.9575044499999984E-6</c:v>
                </c:pt>
                <c:pt idx="207">
                  <c:v>9.0092542499999984E-6</c:v>
                </c:pt>
                <c:pt idx="208">
                  <c:v>9.0634810499999977E-6</c:v>
                </c:pt>
                <c:pt idx="209">
                  <c:v>9.0914164499999984E-6</c:v>
                </c:pt>
                <c:pt idx="210">
                  <c:v>9.1150470999999985E-6</c:v>
                </c:pt>
                <c:pt idx="211">
                  <c:v>9.1520267999999988E-6</c:v>
                </c:pt>
                <c:pt idx="212">
                  <c:v>9.1969065999999994E-6</c:v>
                </c:pt>
                <c:pt idx="213">
                  <c:v>9.2348961500000018E-6</c:v>
                </c:pt>
                <c:pt idx="214">
                  <c:v>9.2790553500000015E-6</c:v>
                </c:pt>
                <c:pt idx="215">
                  <c:v>9.3303772999999999E-6</c:v>
                </c:pt>
                <c:pt idx="216">
                  <c:v>9.3650304999999994E-6</c:v>
                </c:pt>
                <c:pt idx="217">
                  <c:v>9.4009910499999998E-6</c:v>
                </c:pt>
                <c:pt idx="218">
                  <c:v>9.4339071499999978E-6</c:v>
                </c:pt>
                <c:pt idx="219">
                  <c:v>9.4771743999999983E-6</c:v>
                </c:pt>
                <c:pt idx="220">
                  <c:v>9.5248549999999978E-6</c:v>
                </c:pt>
                <c:pt idx="221">
                  <c:v>9.5624686499999982E-6</c:v>
                </c:pt>
                <c:pt idx="222">
                  <c:v>9.5943456499999974E-6</c:v>
                </c:pt>
                <c:pt idx="223">
                  <c:v>9.6417009499999998E-6</c:v>
                </c:pt>
                <c:pt idx="224">
                  <c:v>9.6864057000000009E-6</c:v>
                </c:pt>
                <c:pt idx="225">
                  <c:v>9.7255037000000015E-6</c:v>
                </c:pt>
                <c:pt idx="226">
                  <c:v>9.7519616499999996E-6</c:v>
                </c:pt>
                <c:pt idx="227">
                  <c:v>9.7347000499999993E-6</c:v>
                </c:pt>
                <c:pt idx="228">
                  <c:v>9.7545200499999984E-6</c:v>
                </c:pt>
                <c:pt idx="229">
                  <c:v>9.7876323499999991E-6</c:v>
                </c:pt>
                <c:pt idx="230">
                  <c:v>9.7630588999999993E-6</c:v>
                </c:pt>
                <c:pt idx="231">
                  <c:v>9.7914206499999993E-6</c:v>
                </c:pt>
                <c:pt idx="232">
                  <c:v>9.8234979999999979E-6</c:v>
                </c:pt>
                <c:pt idx="233">
                  <c:v>9.8816908999999977E-6</c:v>
                </c:pt>
                <c:pt idx="234">
                  <c:v>9.9152696499999987E-6</c:v>
                </c:pt>
                <c:pt idx="235">
                  <c:v>9.9542124999999995E-6</c:v>
                </c:pt>
                <c:pt idx="236">
                  <c:v>9.9867207499999989E-6</c:v>
                </c:pt>
                <c:pt idx="237">
                  <c:v>1.005203765E-5</c:v>
                </c:pt>
                <c:pt idx="238">
                  <c:v>1.011657235E-5</c:v>
                </c:pt>
                <c:pt idx="239">
                  <c:v>1.0182582099999999E-5</c:v>
                </c:pt>
                <c:pt idx="240">
                  <c:v>1.02397946E-5</c:v>
                </c:pt>
                <c:pt idx="241">
                  <c:v>1.0268822600000001E-5</c:v>
                </c:pt>
                <c:pt idx="242">
                  <c:v>1.0295428100000001E-5</c:v>
                </c:pt>
                <c:pt idx="243">
                  <c:v>1.0374022550000002E-5</c:v>
                </c:pt>
                <c:pt idx="244">
                  <c:v>1.0409639500000003E-5</c:v>
                </c:pt>
                <c:pt idx="245">
                  <c:v>1.0450886200000002E-5</c:v>
                </c:pt>
                <c:pt idx="246">
                  <c:v>1.0491115699999999E-5</c:v>
                </c:pt>
                <c:pt idx="247">
                  <c:v>1.0587969599999999E-5</c:v>
                </c:pt>
                <c:pt idx="248">
                  <c:v>1.06532001E-5</c:v>
                </c:pt>
                <c:pt idx="249">
                  <c:v>1.0738465599999999E-5</c:v>
                </c:pt>
                <c:pt idx="250">
                  <c:v>1.0872808499999999E-5</c:v>
                </c:pt>
                <c:pt idx="251">
                  <c:v>1.0912054499999999E-5</c:v>
                </c:pt>
                <c:pt idx="252">
                  <c:v>1.0943472999999999E-5</c:v>
                </c:pt>
                <c:pt idx="253">
                  <c:v>1.0945114499999999E-5</c:v>
                </c:pt>
                <c:pt idx="254">
                  <c:v>1.0994282E-5</c:v>
                </c:pt>
                <c:pt idx="255">
                  <c:v>1.1037209000000001E-5</c:v>
                </c:pt>
                <c:pt idx="256">
                  <c:v>1.1102757499999999E-5</c:v>
                </c:pt>
                <c:pt idx="257">
                  <c:v>1.11290995E-5</c:v>
                </c:pt>
                <c:pt idx="258">
                  <c:v>1.1178176500000002E-5</c:v>
                </c:pt>
                <c:pt idx="259">
                  <c:v>1.1187527E-5</c:v>
                </c:pt>
                <c:pt idx="260">
                  <c:v>1.1184184500000001E-5</c:v>
                </c:pt>
                <c:pt idx="261">
                  <c:v>1.1256913999999999E-5</c:v>
                </c:pt>
                <c:pt idx="262">
                  <c:v>1.1325041999999999E-5</c:v>
                </c:pt>
                <c:pt idx="263">
                  <c:v>1.1322284499999999E-5</c:v>
                </c:pt>
                <c:pt idx="264">
                  <c:v>1.1379055999999999E-5</c:v>
                </c:pt>
                <c:pt idx="265">
                  <c:v>1.1464892999999998E-5</c:v>
                </c:pt>
                <c:pt idx="266">
                  <c:v>1.1563524999999999E-5</c:v>
                </c:pt>
                <c:pt idx="267">
                  <c:v>1.1638046E-5</c:v>
                </c:pt>
                <c:pt idx="268">
                  <c:v>1.1670289999999998E-5</c:v>
                </c:pt>
                <c:pt idx="269">
                  <c:v>1.1692605999999999E-5</c:v>
                </c:pt>
                <c:pt idx="270">
                  <c:v>1.1720480999999999E-5</c:v>
                </c:pt>
                <c:pt idx="271">
                  <c:v>1.1814204999999998E-5</c:v>
                </c:pt>
                <c:pt idx="272">
                  <c:v>1.1908309999999998E-5</c:v>
                </c:pt>
                <c:pt idx="273">
                  <c:v>1.19857385E-5</c:v>
                </c:pt>
                <c:pt idx="274">
                  <c:v>1.2052790999999998E-5</c:v>
                </c:pt>
                <c:pt idx="275">
                  <c:v>1.2103755999999999E-5</c:v>
                </c:pt>
                <c:pt idx="276">
                  <c:v>1.2136703499999998E-5</c:v>
                </c:pt>
                <c:pt idx="277">
                  <c:v>1.2195485999999999E-5</c:v>
                </c:pt>
                <c:pt idx="278">
                  <c:v>1.2235353999999997E-5</c:v>
                </c:pt>
                <c:pt idx="279">
                  <c:v>1.2333461499999999E-5</c:v>
                </c:pt>
                <c:pt idx="280">
                  <c:v>1.2394495999999997E-5</c:v>
                </c:pt>
                <c:pt idx="281">
                  <c:v>1.2451194499999999E-5</c:v>
                </c:pt>
                <c:pt idx="282">
                  <c:v>1.2518319499999998E-5</c:v>
                </c:pt>
                <c:pt idx="283">
                  <c:v>1.2600116E-5</c:v>
                </c:pt>
                <c:pt idx="284">
                  <c:v>1.2667203500000001E-5</c:v>
                </c:pt>
                <c:pt idx="285">
                  <c:v>1.2717096E-5</c:v>
                </c:pt>
                <c:pt idx="286">
                  <c:v>1.2719536500000001E-5</c:v>
                </c:pt>
                <c:pt idx="287">
                  <c:v>1.2732092000000003E-5</c:v>
                </c:pt>
                <c:pt idx="288">
                  <c:v>1.27700435E-5</c:v>
                </c:pt>
                <c:pt idx="289">
                  <c:v>1.2823260500000002E-5</c:v>
                </c:pt>
                <c:pt idx="290">
                  <c:v>1.2895440500000003E-5</c:v>
                </c:pt>
                <c:pt idx="291">
                  <c:v>1.2929559E-5</c:v>
                </c:pt>
                <c:pt idx="292">
                  <c:v>1.2941495499999999E-5</c:v>
                </c:pt>
                <c:pt idx="293">
                  <c:v>1.2998592000000001E-5</c:v>
                </c:pt>
                <c:pt idx="294">
                  <c:v>1.3035880000000002E-5</c:v>
                </c:pt>
                <c:pt idx="295">
                  <c:v>1.3117015000000003E-5</c:v>
                </c:pt>
                <c:pt idx="296">
                  <c:v>1.3197315000000004E-5</c:v>
                </c:pt>
                <c:pt idx="297">
                  <c:v>1.3232283000000002E-5</c:v>
                </c:pt>
                <c:pt idx="298">
                  <c:v>1.3296131000000003E-5</c:v>
                </c:pt>
                <c:pt idx="299">
                  <c:v>1.33076905E-5</c:v>
                </c:pt>
                <c:pt idx="300">
                  <c:v>1.3352945E-5</c:v>
                </c:pt>
                <c:pt idx="301">
                  <c:v>1.3386252500000001E-5</c:v>
                </c:pt>
                <c:pt idx="302">
                  <c:v>1.3424578999999999E-5</c:v>
                </c:pt>
                <c:pt idx="303">
                  <c:v>1.3453329500000001E-5</c:v>
                </c:pt>
                <c:pt idx="304">
                  <c:v>1.3488615000000003E-5</c:v>
                </c:pt>
                <c:pt idx="305">
                  <c:v>1.3551241499999998E-5</c:v>
                </c:pt>
                <c:pt idx="306">
                  <c:v>1.36304465E-5</c:v>
                </c:pt>
                <c:pt idx="307">
                  <c:v>1.3677588500000001E-5</c:v>
                </c:pt>
                <c:pt idx="308">
                  <c:v>1.3735853E-5</c:v>
                </c:pt>
                <c:pt idx="309">
                  <c:v>1.3812907E-5</c:v>
                </c:pt>
                <c:pt idx="310">
                  <c:v>1.3857943999999999E-5</c:v>
                </c:pt>
                <c:pt idx="311">
                  <c:v>1.3883197000000001E-5</c:v>
                </c:pt>
                <c:pt idx="312">
                  <c:v>1.3946746000000002E-5</c:v>
                </c:pt>
                <c:pt idx="313">
                  <c:v>1.3981492000000003E-5</c:v>
                </c:pt>
                <c:pt idx="314">
                  <c:v>1.4052532000000001E-5</c:v>
                </c:pt>
                <c:pt idx="315">
                  <c:v>1.4104492000000002E-5</c:v>
                </c:pt>
                <c:pt idx="316">
                  <c:v>1.4132294999999998E-5</c:v>
                </c:pt>
                <c:pt idx="317">
                  <c:v>1.41599775E-5</c:v>
                </c:pt>
                <c:pt idx="318">
                  <c:v>1.4170764000000001E-5</c:v>
                </c:pt>
                <c:pt idx="319">
                  <c:v>1.4251310500000002E-5</c:v>
                </c:pt>
                <c:pt idx="320">
                  <c:v>1.43385725E-5</c:v>
                </c:pt>
                <c:pt idx="321">
                  <c:v>1.4365675000000002E-5</c:v>
                </c:pt>
                <c:pt idx="322">
                  <c:v>1.4396204000000004E-5</c:v>
                </c:pt>
                <c:pt idx="323">
                  <c:v>1.4455293499999999E-5</c:v>
                </c:pt>
                <c:pt idx="324">
                  <c:v>1.45144445E-5</c:v>
                </c:pt>
                <c:pt idx="325">
                  <c:v>1.4536080999999999E-5</c:v>
                </c:pt>
                <c:pt idx="326">
                  <c:v>1.4552138999999997E-5</c:v>
                </c:pt>
                <c:pt idx="327">
                  <c:v>1.4625739E-5</c:v>
                </c:pt>
                <c:pt idx="328">
                  <c:v>1.46946635E-5</c:v>
                </c:pt>
                <c:pt idx="329">
                  <c:v>1.4722838999999999E-5</c:v>
                </c:pt>
                <c:pt idx="330">
                  <c:v>1.47437325E-5</c:v>
                </c:pt>
                <c:pt idx="331">
                  <c:v>1.4785230500000002E-5</c:v>
                </c:pt>
                <c:pt idx="332">
                  <c:v>1.4829467000000002E-5</c:v>
                </c:pt>
                <c:pt idx="333">
                  <c:v>1.4877981E-5</c:v>
                </c:pt>
                <c:pt idx="334">
                  <c:v>1.4916364000000003E-5</c:v>
                </c:pt>
                <c:pt idx="335">
                  <c:v>1.4908319000000003E-5</c:v>
                </c:pt>
                <c:pt idx="336">
                  <c:v>1.4959771000000003E-5</c:v>
                </c:pt>
                <c:pt idx="337">
                  <c:v>1.5015114000000001E-5</c:v>
                </c:pt>
                <c:pt idx="338">
                  <c:v>1.5083631500000002E-5</c:v>
                </c:pt>
                <c:pt idx="339">
                  <c:v>1.5118255500000001E-5</c:v>
                </c:pt>
                <c:pt idx="340">
                  <c:v>1.5179929950000001E-5</c:v>
                </c:pt>
                <c:pt idx="341">
                  <c:v>1.5251089E-5</c:v>
                </c:pt>
                <c:pt idx="342">
                  <c:v>1.53277065E-5</c:v>
                </c:pt>
                <c:pt idx="343">
                  <c:v>1.5386608549999998E-5</c:v>
                </c:pt>
                <c:pt idx="344">
                  <c:v>1.5445421599999997E-5</c:v>
                </c:pt>
                <c:pt idx="345">
                  <c:v>1.5483407649999999E-5</c:v>
                </c:pt>
                <c:pt idx="346">
                  <c:v>1.5532373150000001E-5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E1-40D8-A61B-3860D7BB359A}"/>
            </c:ext>
          </c:extLst>
        </c:ser>
        <c:ser>
          <c:idx val="2"/>
          <c:order val="2"/>
          <c:tx>
            <c:strRef>
              <c:f>GRAPH!$S$30</c:f>
              <c:strCache>
                <c:ptCount val="1"/>
                <c:pt idx="0">
                  <c:v>IDS__R140-3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Wafer1!$I$2:$I$316</c:f>
              <c:numCache>
                <c:formatCode>0.00E+00</c:formatCode>
                <c:ptCount val="3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14434.100905562744</c:v>
                </c:pt>
                <c:pt idx="4">
                  <c:v>54265.966364812419</c:v>
                </c:pt>
                <c:pt idx="5">
                  <c:v>89637.329883570506</c:v>
                </c:pt>
                <c:pt idx="6">
                  <c:v>134555.00129366107</c:v>
                </c:pt>
                <c:pt idx="7">
                  <c:v>169957.63001293663</c:v>
                </c:pt>
                <c:pt idx="8">
                  <c:v>204286.82018111256</c:v>
                </c:pt>
                <c:pt idx="9">
                  <c:v>239783.2445019405</c:v>
                </c:pt>
                <c:pt idx="10">
                  <c:v>274268.76067270373</c:v>
                </c:pt>
                <c:pt idx="11">
                  <c:v>310598.9236739974</c:v>
                </c:pt>
                <c:pt idx="12">
                  <c:v>341801.59379042691</c:v>
                </c:pt>
                <c:pt idx="13">
                  <c:v>365573.56791720568</c:v>
                </c:pt>
                <c:pt idx="14">
                  <c:v>401122.10090556275</c:v>
                </c:pt>
                <c:pt idx="15">
                  <c:v>434033.935316947</c:v>
                </c:pt>
                <c:pt idx="16">
                  <c:v>469624.15523932729</c:v>
                </c:pt>
                <c:pt idx="17">
                  <c:v>506152.33117723156</c:v>
                </c:pt>
                <c:pt idx="18">
                  <c:v>536958.97542043985</c:v>
                </c:pt>
                <c:pt idx="19">
                  <c:v>572632.56921086682</c:v>
                </c:pt>
                <c:pt idx="20">
                  <c:v>609066.94954721862</c:v>
                </c:pt>
                <c:pt idx="21">
                  <c:v>644865.60413971543</c:v>
                </c:pt>
                <c:pt idx="22">
                  <c:v>670909.51617076329</c:v>
                </c:pt>
                <c:pt idx="23">
                  <c:v>703175.20310478657</c:v>
                </c:pt>
                <c:pt idx="24">
                  <c:v>736347.58085381635</c:v>
                </c:pt>
                <c:pt idx="25">
                  <c:v>767623.20310478657</c:v>
                </c:pt>
                <c:pt idx="26">
                  <c:v>801816.91073738679</c:v>
                </c:pt>
                <c:pt idx="27">
                  <c:v>834322.29754204396</c:v>
                </c:pt>
                <c:pt idx="28">
                  <c:v>863972.12936610612</c:v>
                </c:pt>
                <c:pt idx="29">
                  <c:v>897863.60672703758</c:v>
                </c:pt>
                <c:pt idx="30">
                  <c:v>930504.47606727039</c:v>
                </c:pt>
                <c:pt idx="31">
                  <c:v>955641.69728331175</c:v>
                </c:pt>
                <c:pt idx="32">
                  <c:v>990022.9961190169</c:v>
                </c:pt>
                <c:pt idx="33">
                  <c:v>1025894.6028460544</c:v>
                </c:pt>
                <c:pt idx="34">
                  <c:v>1057931.0116429497</c:v>
                </c:pt>
                <c:pt idx="35">
                  <c:v>1090967.9068564037</c:v>
                </c:pt>
                <c:pt idx="36">
                  <c:v>1107111.1720569211</c:v>
                </c:pt>
                <c:pt idx="37">
                  <c:v>1133853.3402328591</c:v>
                </c:pt>
                <c:pt idx="38">
                  <c:v>1167056.9831824063</c:v>
                </c:pt>
                <c:pt idx="39">
                  <c:v>1200135.5653298837</c:v>
                </c:pt>
                <c:pt idx="40">
                  <c:v>1230775.4618369988</c:v>
                </c:pt>
                <c:pt idx="41">
                  <c:v>1258611.912031048</c:v>
                </c:pt>
                <c:pt idx="42">
                  <c:v>1292023.9896507117</c:v>
                </c:pt>
                <c:pt idx="43">
                  <c:v>1326895.1099611903</c:v>
                </c:pt>
                <c:pt idx="44">
                  <c:v>1362297.7386804658</c:v>
                </c:pt>
                <c:pt idx="45">
                  <c:v>1391363.9534282018</c:v>
                </c:pt>
                <c:pt idx="46">
                  <c:v>1423264.8796895214</c:v>
                </c:pt>
                <c:pt idx="47">
                  <c:v>1456822.8615782666</c:v>
                </c:pt>
                <c:pt idx="48">
                  <c:v>1491756.5122897802</c:v>
                </c:pt>
                <c:pt idx="49">
                  <c:v>1528138.7839586029</c:v>
                </c:pt>
                <c:pt idx="50">
                  <c:v>1552952.9314359638</c:v>
                </c:pt>
                <c:pt idx="51">
                  <c:v>1586271.2134540752</c:v>
                </c:pt>
                <c:pt idx="52">
                  <c:v>1619714.5562742562</c:v>
                </c:pt>
                <c:pt idx="53">
                  <c:v>1645570.8771021992</c:v>
                </c:pt>
                <c:pt idx="54">
                  <c:v>1679827.1151358346</c:v>
                </c:pt>
                <c:pt idx="55">
                  <c:v>1714531.48771022</c:v>
                </c:pt>
                <c:pt idx="56">
                  <c:v>1751361.893919793</c:v>
                </c:pt>
                <c:pt idx="57">
                  <c:v>1786743.679172057</c:v>
                </c:pt>
                <c:pt idx="58">
                  <c:v>1817623.275549806</c:v>
                </c:pt>
                <c:pt idx="59">
                  <c:v>1849690.9495472186</c:v>
                </c:pt>
                <c:pt idx="60">
                  <c:v>1883040.4967658473</c:v>
                </c:pt>
                <c:pt idx="61">
                  <c:v>1918140.895213454</c:v>
                </c:pt>
                <c:pt idx="62">
                  <c:v>1953668.5847347996</c:v>
                </c:pt>
                <c:pt idx="63">
                  <c:v>1989165.0090556275</c:v>
                </c:pt>
                <c:pt idx="64">
                  <c:v>2025078.3027166883</c:v>
                </c:pt>
                <c:pt idx="65">
                  <c:v>2057719.1720569211</c:v>
                </c:pt>
                <c:pt idx="66">
                  <c:v>2093257.2833117724</c:v>
                </c:pt>
                <c:pt idx="67">
                  <c:v>2117664.9831824061</c:v>
                </c:pt>
                <c:pt idx="68">
                  <c:v>2150055.7309184996</c:v>
                </c:pt>
                <c:pt idx="69">
                  <c:v>2181091.6532988357</c:v>
                </c:pt>
                <c:pt idx="70">
                  <c:v>2210637.2677878398</c:v>
                </c:pt>
                <c:pt idx="71">
                  <c:v>2245268.6882276842</c:v>
                </c:pt>
                <c:pt idx="72">
                  <c:v>2279462.3958602846</c:v>
                </c:pt>
                <c:pt idx="73">
                  <c:v>2313551.8861578265</c:v>
                </c:pt>
                <c:pt idx="74">
                  <c:v>2349256.745148771</c:v>
                </c:pt>
                <c:pt idx="75">
                  <c:v>2374446.0750323418</c:v>
                </c:pt>
                <c:pt idx="76">
                  <c:v>2405523.684346701</c:v>
                </c:pt>
                <c:pt idx="77">
                  <c:v>2435559.1203104788</c:v>
                </c:pt>
                <c:pt idx="78">
                  <c:v>2469784.0931435963</c:v>
                </c:pt>
                <c:pt idx="79">
                  <c:v>2504280.0310478657</c:v>
                </c:pt>
                <c:pt idx="80">
                  <c:v>2536003.7878395859</c:v>
                </c:pt>
                <c:pt idx="81">
                  <c:v>2562339.508408797</c:v>
                </c:pt>
                <c:pt idx="82">
                  <c:v>2594000.7347994824</c:v>
                </c:pt>
                <c:pt idx="83">
                  <c:v>2628038.1164294956</c:v>
                </c:pt>
                <c:pt idx="84">
                  <c:v>2662784.1759379045</c:v>
                </c:pt>
                <c:pt idx="85">
                  <c:v>2694382.8719275552</c:v>
                </c:pt>
                <c:pt idx="86">
                  <c:v>2724814.3337645535</c:v>
                </c:pt>
                <c:pt idx="87">
                  <c:v>2758414.0025873221</c:v>
                </c:pt>
                <c:pt idx="88">
                  <c:v>2793368.4967658473</c:v>
                </c:pt>
                <c:pt idx="89">
                  <c:v>2820558.7994825356</c:v>
                </c:pt>
                <c:pt idx="90">
                  <c:v>2849489.5316946963</c:v>
                </c:pt>
                <c:pt idx="91">
                  <c:v>2881942.8098318242</c:v>
                </c:pt>
                <c:pt idx="92">
                  <c:v>2915406.9961190168</c:v>
                </c:pt>
                <c:pt idx="93">
                  <c:v>2948172.9262613198</c:v>
                </c:pt>
                <c:pt idx="94">
                  <c:v>2982908.5640362226</c:v>
                </c:pt>
                <c:pt idx="95">
                  <c:v>3012047.7309184996</c:v>
                </c:pt>
                <c:pt idx="96">
                  <c:v>3044761.552393273</c:v>
                </c:pt>
                <c:pt idx="97">
                  <c:v>3077642.1216041399</c:v>
                </c:pt>
                <c:pt idx="98">
                  <c:v>3107521.2315653302</c:v>
                </c:pt>
                <c:pt idx="99">
                  <c:v>3138546.7322121607</c:v>
                </c:pt>
                <c:pt idx="100">
                  <c:v>3164944.9831824065</c:v>
                </c:pt>
                <c:pt idx="101">
                  <c:v>3196189.3402328589</c:v>
                </c:pt>
                <c:pt idx="102">
                  <c:v>3231612.8124191463</c:v>
                </c:pt>
                <c:pt idx="103">
                  <c:v>3267599.0582147478</c:v>
                </c:pt>
                <c:pt idx="104">
                  <c:v>3303220.5433376455</c:v>
                </c:pt>
                <c:pt idx="105">
                  <c:v>3339425.6455368693</c:v>
                </c:pt>
                <c:pt idx="106">
                  <c:v>3369179.6946959896</c:v>
                </c:pt>
                <c:pt idx="107">
                  <c:v>3401997.7335058218</c:v>
                </c:pt>
                <c:pt idx="108">
                  <c:v>3433419.2600258733</c:v>
                </c:pt>
                <c:pt idx="109">
                  <c:v>3460453.236739974</c:v>
                </c:pt>
                <c:pt idx="110">
                  <c:v>3487195.4049159121</c:v>
                </c:pt>
                <c:pt idx="111">
                  <c:v>3517856.1448900388</c:v>
                </c:pt>
                <c:pt idx="112">
                  <c:v>3547526.8201811127</c:v>
                </c:pt>
                <c:pt idx="113">
                  <c:v>3581970.6494178525</c:v>
                </c:pt>
                <c:pt idx="114">
                  <c:v>3616820.9262613198</c:v>
                </c:pt>
                <c:pt idx="115">
                  <c:v>3642385.4385510995</c:v>
                </c:pt>
                <c:pt idx="116">
                  <c:v>3672889.8525226391</c:v>
                </c:pt>
                <c:pt idx="117">
                  <c:v>3701956.0672703753</c:v>
                </c:pt>
                <c:pt idx="118">
                  <c:v>3737577.552393273</c:v>
                </c:pt>
                <c:pt idx="119">
                  <c:v>3770176.7347994829</c:v>
                </c:pt>
                <c:pt idx="120">
                  <c:v>3802786.3389391978</c:v>
                </c:pt>
                <c:pt idx="121">
                  <c:v>3836490.2250970248</c:v>
                </c:pt>
                <c:pt idx="122">
                  <c:v>3867619.9430789133</c:v>
                </c:pt>
                <c:pt idx="123">
                  <c:v>3896779.9534282018</c:v>
                </c:pt>
                <c:pt idx="124">
                  <c:v>3926638.2199223805</c:v>
                </c:pt>
                <c:pt idx="125">
                  <c:v>3949659.8292367402</c:v>
                </c:pt>
                <c:pt idx="126">
                  <c:v>3979059.5394566623</c:v>
                </c:pt>
                <c:pt idx="127">
                  <c:v>4008844.8538163002</c:v>
                </c:pt>
                <c:pt idx="128">
                  <c:v>4039130.4113842174</c:v>
                </c:pt>
                <c:pt idx="129">
                  <c:v>4074001.5316946963</c:v>
                </c:pt>
                <c:pt idx="130">
                  <c:v>4105725.2884864165</c:v>
                </c:pt>
                <c:pt idx="131">
                  <c:v>4140888.2173350584</c:v>
                </c:pt>
                <c:pt idx="132">
                  <c:v>4176009.4592496767</c:v>
                </c:pt>
                <c:pt idx="133">
                  <c:v>4210484.5536869345</c:v>
                </c:pt>
                <c:pt idx="134">
                  <c:v>4244949.2263906859</c:v>
                </c:pt>
                <c:pt idx="135">
                  <c:v>4281123.0633893916</c:v>
                </c:pt>
                <c:pt idx="136">
                  <c:v>4316869.6093143597</c:v>
                </c:pt>
                <c:pt idx="137">
                  <c:v>4354314.8978007762</c:v>
                </c:pt>
                <c:pt idx="138">
                  <c:v>4390926.4476067275</c:v>
                </c:pt>
                <c:pt idx="139">
                  <c:v>4425266.0595084094</c:v>
                </c:pt>
                <c:pt idx="140">
                  <c:v>4453821.6093143597</c:v>
                </c:pt>
                <c:pt idx="141">
                  <c:v>4488630.1992238034</c:v>
                </c:pt>
                <c:pt idx="142">
                  <c:v>4514142.6028460544</c:v>
                </c:pt>
                <c:pt idx="143">
                  <c:v>4542885.7438551104</c:v>
                </c:pt>
                <c:pt idx="144">
                  <c:v>4575266.069857697</c:v>
                </c:pt>
                <c:pt idx="145">
                  <c:v>4605666.2664941782</c:v>
                </c:pt>
                <c:pt idx="146">
                  <c:v>4637806.8926261319</c:v>
                </c:pt>
                <c:pt idx="147">
                  <c:v>4672646.7477360936</c:v>
                </c:pt>
                <c:pt idx="148">
                  <c:v>4700785.4282018114</c:v>
                </c:pt>
                <c:pt idx="149">
                  <c:v>4730122.6080206987</c:v>
                </c:pt>
                <c:pt idx="150">
                  <c:v>4760481.1177231567</c:v>
                </c:pt>
                <c:pt idx="151">
                  <c:v>4790266.4320827946</c:v>
                </c:pt>
                <c:pt idx="152">
                  <c:v>4818811.5601552399</c:v>
                </c:pt>
                <c:pt idx="153">
                  <c:v>4849524.4087968953</c:v>
                </c:pt>
                <c:pt idx="154">
                  <c:v>4881925.578266494</c:v>
                </c:pt>
                <c:pt idx="155">
                  <c:v>4907500.5122897802</c:v>
                </c:pt>
                <c:pt idx="156">
                  <c:v>4937588.0569210872</c:v>
                </c:pt>
                <c:pt idx="157">
                  <c:v>4965153.5420439849</c:v>
                </c:pt>
                <c:pt idx="158">
                  <c:v>4996720.9728331175</c:v>
                </c:pt>
                <c:pt idx="159">
                  <c:v>5031175.2238033637</c:v>
                </c:pt>
                <c:pt idx="160">
                  <c:v>5063680.6106080208</c:v>
                </c:pt>
                <c:pt idx="161">
                  <c:v>5098405.8266494181</c:v>
                </c:pt>
                <c:pt idx="162">
                  <c:v>5131265.5523932735</c:v>
                </c:pt>
                <c:pt idx="163">
                  <c:v>5166240.8900388097</c:v>
                </c:pt>
                <c:pt idx="164">
                  <c:v>5200288.6934023285</c:v>
                </c:pt>
                <c:pt idx="165">
                  <c:v>5235462.0439844765</c:v>
                </c:pt>
                <c:pt idx="166">
                  <c:v>5271792.2069857698</c:v>
                </c:pt>
                <c:pt idx="167">
                  <c:v>5298419.7360931439</c:v>
                </c:pt>
                <c:pt idx="168">
                  <c:v>5324870.0957309185</c:v>
                </c:pt>
                <c:pt idx="169">
                  <c:v>5358438.4993531695</c:v>
                </c:pt>
                <c:pt idx="170">
                  <c:v>5391819.3117723158</c:v>
                </c:pt>
                <c:pt idx="171">
                  <c:v>5425554.4631306604</c:v>
                </c:pt>
                <c:pt idx="172">
                  <c:v>5461874.2043984476</c:v>
                </c:pt>
                <c:pt idx="173">
                  <c:v>5492097.2315653302</c:v>
                </c:pt>
                <c:pt idx="174">
                  <c:v>5521486.5200517466</c:v>
                </c:pt>
                <c:pt idx="175">
                  <c:v>5555888.6623544637</c:v>
                </c:pt>
                <c:pt idx="176">
                  <c:v>5591353.8214747738</c:v>
                </c:pt>
                <c:pt idx="177">
                  <c:v>5626704.3415265204</c:v>
                </c:pt>
                <c:pt idx="178">
                  <c:v>5664066.2561448906</c:v>
                </c:pt>
                <c:pt idx="179">
                  <c:v>5697916.0465717986</c:v>
                </c:pt>
                <c:pt idx="180">
                  <c:v>5730963.3635187587</c:v>
                </c:pt>
                <c:pt idx="181">
                  <c:v>5758924.8745148769</c:v>
                </c:pt>
                <c:pt idx="182">
                  <c:v>5792983.0996119017</c:v>
                </c:pt>
                <c:pt idx="183">
                  <c:v>5818214.1164294956</c:v>
                </c:pt>
                <c:pt idx="184">
                  <c:v>5848958.2302716691</c:v>
                </c:pt>
                <c:pt idx="185">
                  <c:v>5884079.4721862869</c:v>
                </c:pt>
                <c:pt idx="186">
                  <c:v>5917043.4152652007</c:v>
                </c:pt>
                <c:pt idx="187">
                  <c:v>5951508.087968952</c:v>
                </c:pt>
                <c:pt idx="188">
                  <c:v>5987848.6727037514</c:v>
                </c:pt>
                <c:pt idx="189">
                  <c:v>6023001.1798188873</c:v>
                </c:pt>
                <c:pt idx="190">
                  <c:v>6057997.3609314365</c:v>
                </c:pt>
                <c:pt idx="191">
                  <c:v>6090846.6649417859</c:v>
                </c:pt>
                <c:pt idx="192">
                  <c:v>6124863.2031047866</c:v>
                </c:pt>
                <c:pt idx="193">
                  <c:v>6160130.3492884869</c:v>
                </c:pt>
                <c:pt idx="194">
                  <c:v>6189248.6727037514</c:v>
                </c:pt>
                <c:pt idx="195">
                  <c:v>6221545.6248382926</c:v>
                </c:pt>
                <c:pt idx="196">
                  <c:v>6254697.159120311</c:v>
                </c:pt>
                <c:pt idx="197">
                  <c:v>6285389.1642949553</c:v>
                </c:pt>
                <c:pt idx="198">
                  <c:v>6317290.0905562742</c:v>
                </c:pt>
                <c:pt idx="199">
                  <c:v>6351098.1940491591</c:v>
                </c:pt>
                <c:pt idx="200">
                  <c:v>6378319.7619663654</c:v>
                </c:pt>
                <c:pt idx="201">
                  <c:v>6411377.5006468305</c:v>
                </c:pt>
                <c:pt idx="202">
                  <c:v>6442538.4838292366</c:v>
                </c:pt>
                <c:pt idx="203">
                  <c:v>6473136.6934023285</c:v>
                </c:pt>
                <c:pt idx="204">
                  <c:v>6503526.4683053046</c:v>
                </c:pt>
                <c:pt idx="205">
                  <c:v>6531873.5834411383</c:v>
                </c:pt>
                <c:pt idx="206">
                  <c:v>6564285.174644243</c:v>
                </c:pt>
                <c:pt idx="207">
                  <c:v>6598718.5821474772</c:v>
                </c:pt>
                <c:pt idx="208">
                  <c:v>6632995.6636481248</c:v>
                </c:pt>
                <c:pt idx="209">
                  <c:v>6669555.104786546</c:v>
                </c:pt>
                <c:pt idx="210">
                  <c:v>6701518.561448901</c:v>
                </c:pt>
                <c:pt idx="211">
                  <c:v>6732523.2186287194</c:v>
                </c:pt>
                <c:pt idx="212">
                  <c:v>6764392.8796895212</c:v>
                </c:pt>
                <c:pt idx="213">
                  <c:v>6796470.9754204396</c:v>
                </c:pt>
                <c:pt idx="214">
                  <c:v>6828569.9146183701</c:v>
                </c:pt>
                <c:pt idx="215">
                  <c:v>6866473.7593790432</c:v>
                </c:pt>
                <c:pt idx="216">
                  <c:v>6899958.789133247</c:v>
                </c:pt>
                <c:pt idx="217">
                  <c:v>6929900.4294954725</c:v>
                </c:pt>
                <c:pt idx="218">
                  <c:v>6962874.7943078913</c:v>
                </c:pt>
                <c:pt idx="219">
                  <c:v>6998548.3880983181</c:v>
                </c:pt>
                <c:pt idx="220">
                  <c:v>7035410.0595084094</c:v>
                </c:pt>
                <c:pt idx="221">
                  <c:v>7073324.3260025876</c:v>
                </c:pt>
                <c:pt idx="222">
                  <c:v>7109112.5588615788</c:v>
                </c:pt>
                <c:pt idx="223">
                  <c:v>7146849.6558861583</c:v>
                </c:pt>
                <c:pt idx="224">
                  <c:v>7182116.8020698577</c:v>
                </c:pt>
                <c:pt idx="225">
                  <c:v>7220218.6597671416</c:v>
                </c:pt>
                <c:pt idx="226">
                  <c:v>7256840.631306598</c:v>
                </c:pt>
                <c:pt idx="227">
                  <c:v>7289960.9003880983</c:v>
                </c:pt>
                <c:pt idx="228">
                  <c:v>7318162.1112548513</c:v>
                </c:pt>
                <c:pt idx="229">
                  <c:v>7353127.0271668825</c:v>
                </c:pt>
                <c:pt idx="230">
                  <c:v>7396606.4993531695</c:v>
                </c:pt>
                <c:pt idx="231">
                  <c:v>7426996.2742561447</c:v>
                </c:pt>
                <c:pt idx="232">
                  <c:v>7456385.562742562</c:v>
                </c:pt>
                <c:pt idx="233">
                  <c:v>7483367.4307891335</c:v>
                </c:pt>
                <c:pt idx="234">
                  <c:v>7514893.174644243</c:v>
                </c:pt>
                <c:pt idx="235">
                  <c:v>7551713.159120311</c:v>
                </c:pt>
                <c:pt idx="236">
                  <c:v>7578517.8576972838</c:v>
                </c:pt>
                <c:pt idx="237">
                  <c:v>7613545.3040103493</c:v>
                </c:pt>
                <c:pt idx="238">
                  <c:v>7645873.5213454077</c:v>
                </c:pt>
                <c:pt idx="239">
                  <c:v>7678535.2341526523</c:v>
                </c:pt>
                <c:pt idx="240">
                  <c:v>7715407.3272962486</c:v>
                </c:pt>
                <c:pt idx="241">
                  <c:v>7744817.4592496771</c:v>
                </c:pt>
                <c:pt idx="242">
                  <c:v>7780636.9573091855</c:v>
                </c:pt>
                <c:pt idx="243">
                  <c:v>7809901.1849935316</c:v>
                </c:pt>
                <c:pt idx="244">
                  <c:v>7839582.2820181111</c:v>
                </c:pt>
                <c:pt idx="245">
                  <c:v>7871618.6908150064</c:v>
                </c:pt>
                <c:pt idx="246">
                  <c:v>7904269.981888745</c:v>
                </c:pt>
                <c:pt idx="247">
                  <c:v>7936421.0297542047</c:v>
                </c:pt>
                <c:pt idx="248">
                  <c:v>7971177.5109961191</c:v>
                </c:pt>
                <c:pt idx="249">
                  <c:v>8000608.4864165587</c:v>
                </c:pt>
                <c:pt idx="250">
                  <c:v>8034552.0724450201</c:v>
                </c:pt>
                <c:pt idx="251">
                  <c:v>8065577.5730918506</c:v>
                </c:pt>
                <c:pt idx="252">
                  <c:v>8099979.7153945668</c:v>
                </c:pt>
                <c:pt idx="253">
                  <c:v>8129619.1254851231</c:v>
                </c:pt>
                <c:pt idx="254">
                  <c:v>8149806.0232858993</c:v>
                </c:pt>
                <c:pt idx="255">
                  <c:v>8182040.4450194053</c:v>
                </c:pt>
                <c:pt idx="256">
                  <c:v>8213086.789133247</c:v>
                </c:pt>
                <c:pt idx="257">
                  <c:v>8244226.9288486419</c:v>
                </c:pt>
                <c:pt idx="258">
                  <c:v>8277941.2367399745</c:v>
                </c:pt>
                <c:pt idx="259">
                  <c:v>8311374.15782665</c:v>
                </c:pt>
                <c:pt idx="260">
                  <c:v>8345380.2742561456</c:v>
                </c:pt>
                <c:pt idx="261">
                  <c:v>8378427.5912031047</c:v>
                </c:pt>
                <c:pt idx="262">
                  <c:v>8409546.8874514885</c:v>
                </c:pt>
                <c:pt idx="263">
                  <c:v>8442396.1914618369</c:v>
                </c:pt>
                <c:pt idx="264">
                  <c:v>8477840.5071151368</c:v>
                </c:pt>
                <c:pt idx="265">
                  <c:v>8507552.8693402335</c:v>
                </c:pt>
                <c:pt idx="266">
                  <c:v>8539881.0866752919</c:v>
                </c:pt>
                <c:pt idx="267">
                  <c:v>8572459.4256144892</c:v>
                </c:pt>
                <c:pt idx="268">
                  <c:v>8605673.4902975429</c:v>
                </c:pt>
                <c:pt idx="269">
                  <c:v>8640523.7671410087</c:v>
                </c:pt>
                <c:pt idx="270">
                  <c:v>8674644.5226390697</c:v>
                </c:pt>
                <c:pt idx="271">
                  <c:v>8706441.2315653302</c:v>
                </c:pt>
                <c:pt idx="272">
                  <c:v>8740780.843467012</c:v>
                </c:pt>
                <c:pt idx="273">
                  <c:v>8774151.2341526523</c:v>
                </c:pt>
                <c:pt idx="274">
                  <c:v>8807813.4333764557</c:v>
                </c:pt>
                <c:pt idx="275">
                  <c:v>8844226.9702457953</c:v>
                </c:pt>
                <c:pt idx="276">
                  <c:v>8880067.3117723167</c:v>
                </c:pt>
                <c:pt idx="277">
                  <c:v>8915198.9754204396</c:v>
                </c:pt>
                <c:pt idx="278">
                  <c:v>8944181.8163001295</c:v>
                </c:pt>
                <c:pt idx="279">
                  <c:v>8977239.5549805947</c:v>
                </c:pt>
                <c:pt idx="280">
                  <c:v>9012694.2923674006</c:v>
                </c:pt>
                <c:pt idx="281">
                  <c:v>9050264.6416558865</c:v>
                </c:pt>
                <c:pt idx="282">
                  <c:v>9087209.6869340241</c:v>
                </c:pt>
                <c:pt idx="283">
                  <c:v>9121882.7943078913</c:v>
                </c:pt>
                <c:pt idx="284">
                  <c:v>9158369.2833117731</c:v>
                </c:pt>
                <c:pt idx="285">
                  <c:v>9186080.6727037523</c:v>
                </c:pt>
                <c:pt idx="286">
                  <c:v>9215032.2483829241</c:v>
                </c:pt>
                <c:pt idx="287">
                  <c:v>9248944.5692108665</c:v>
                </c:pt>
                <c:pt idx="288">
                  <c:v>9283784.4243208282</c:v>
                </c:pt>
                <c:pt idx="289">
                  <c:v>9314799.5032341536</c:v>
                </c:pt>
                <c:pt idx="290">
                  <c:v>9344345.1177231576</c:v>
                </c:pt>
                <c:pt idx="291">
                  <c:v>9375912.5485122893</c:v>
                </c:pt>
                <c:pt idx="292">
                  <c:v>9411534.0336351879</c:v>
                </c:pt>
                <c:pt idx="293">
                  <c:v>9447447.3272962496</c:v>
                </c:pt>
                <c:pt idx="294">
                  <c:v>9483381.4644243214</c:v>
                </c:pt>
                <c:pt idx="295">
                  <c:v>9517429.2677878402</c:v>
                </c:pt>
                <c:pt idx="296">
                  <c:v>9550414.0543337651</c:v>
                </c:pt>
                <c:pt idx="297">
                  <c:v>9585441.5006468315</c:v>
                </c:pt>
                <c:pt idx="298">
                  <c:v>9618593.034928849</c:v>
                </c:pt>
                <c:pt idx="299">
                  <c:v>9650004.139715394</c:v>
                </c:pt>
                <c:pt idx="300">
                  <c:v>9684177.0038809832</c:v>
                </c:pt>
                <c:pt idx="301">
                  <c:v>9717474.4424320832</c:v>
                </c:pt>
                <c:pt idx="302">
                  <c:v>9753627.4359637778</c:v>
                </c:pt>
                <c:pt idx="303">
                  <c:v>9784559.1410090551</c:v>
                </c:pt>
                <c:pt idx="304">
                  <c:v>9819023.8137128074</c:v>
                </c:pt>
                <c:pt idx="305">
                  <c:v>9852821.4954721872</c:v>
                </c:pt>
                <c:pt idx="306">
                  <c:v>9882304.579560155</c:v>
                </c:pt>
                <c:pt idx="307">
                  <c:v>9919551.8551099617</c:v>
                </c:pt>
                <c:pt idx="308">
                  <c:v>9954214.5407503229</c:v>
                </c:pt>
                <c:pt idx="309">
                  <c:v>9991232.5381630007</c:v>
                </c:pt>
                <c:pt idx="310">
                  <c:v>10024008.890038811</c:v>
                </c:pt>
                <c:pt idx="311">
                  <c:v>10048552.07244502</c:v>
                </c:pt>
                <c:pt idx="312">
                  <c:v>10070000</c:v>
                </c:pt>
                <c:pt idx="313">
                  <c:v>10070000</c:v>
                </c:pt>
                <c:pt idx="314">
                  <c:v>10070000</c:v>
                </c:pt>
              </c:numCache>
            </c:numRef>
          </c:xVal>
          <c:yVal>
            <c:numRef>
              <c:f>Wafer1!$J$2:$J$316</c:f>
              <c:numCache>
                <c:formatCode>0.00E+00</c:formatCode>
                <c:ptCount val="315"/>
                <c:pt idx="0">
                  <c:v>1.0585980000000001E-6</c:v>
                </c:pt>
                <c:pt idx="1">
                  <c:v>1.0862010000000001E-6</c:v>
                </c:pt>
                <c:pt idx="2">
                  <c:v>1.2206980000000002E-6</c:v>
                </c:pt>
                <c:pt idx="3">
                  <c:v>1.1894352500000002E-6</c:v>
                </c:pt>
                <c:pt idx="4">
                  <c:v>1.2887726000000002E-6</c:v>
                </c:pt>
                <c:pt idx="5">
                  <c:v>1.2573113333333334E-6</c:v>
                </c:pt>
                <c:pt idx="6">
                  <c:v>1.2319704285714287E-6</c:v>
                </c:pt>
                <c:pt idx="7">
                  <c:v>1.2512567500000002E-6</c:v>
                </c:pt>
                <c:pt idx="8">
                  <c:v>1.2684458888888891E-6</c:v>
                </c:pt>
                <c:pt idx="9">
                  <c:v>1.2880644000000002E-6</c:v>
                </c:pt>
                <c:pt idx="10">
                  <c:v>1.3048434545454548E-6</c:v>
                </c:pt>
                <c:pt idx="11">
                  <c:v>1.3255243333333334E-6</c:v>
                </c:pt>
                <c:pt idx="12">
                  <c:v>1.3488605384615386E-6</c:v>
                </c:pt>
                <c:pt idx="13">
                  <c:v>1.371572142857143E-6</c:v>
                </c:pt>
                <c:pt idx="14">
                  <c:v>1.3942069333333335E-6</c:v>
                </c:pt>
                <c:pt idx="15">
                  <c:v>1.4150339375000001E-6</c:v>
                </c:pt>
                <c:pt idx="16">
                  <c:v>1.4391177647058825E-6</c:v>
                </c:pt>
                <c:pt idx="17">
                  <c:v>1.4627060000000002E-6</c:v>
                </c:pt>
                <c:pt idx="18">
                  <c:v>1.4857045789473686E-6</c:v>
                </c:pt>
                <c:pt idx="19">
                  <c:v>1.5135505000000002E-6</c:v>
                </c:pt>
                <c:pt idx="20">
                  <c:v>1.5606140000000003E-6</c:v>
                </c:pt>
                <c:pt idx="21">
                  <c:v>1.6108586000000003E-6</c:v>
                </c:pt>
                <c:pt idx="22">
                  <c:v>1.6488692500000001E-6</c:v>
                </c:pt>
                <c:pt idx="23">
                  <c:v>1.7156295E-6</c:v>
                </c:pt>
                <c:pt idx="24">
                  <c:v>1.7817527500000002E-6</c:v>
                </c:pt>
                <c:pt idx="25">
                  <c:v>1.8605665500000002E-6</c:v>
                </c:pt>
                <c:pt idx="26">
                  <c:v>1.9392357500000003E-6</c:v>
                </c:pt>
                <c:pt idx="27">
                  <c:v>2.0028663500000005E-6</c:v>
                </c:pt>
                <c:pt idx="28">
                  <c:v>2.0510271000000004E-6</c:v>
                </c:pt>
                <c:pt idx="29">
                  <c:v>2.0978211499999999E-6</c:v>
                </c:pt>
                <c:pt idx="30">
                  <c:v>2.1474904000000001E-6</c:v>
                </c:pt>
                <c:pt idx="31">
                  <c:v>2.1869872999999997E-6</c:v>
                </c:pt>
                <c:pt idx="32">
                  <c:v>2.2308412000000003E-6</c:v>
                </c:pt>
                <c:pt idx="33">
                  <c:v>2.2716288000000003E-6</c:v>
                </c:pt>
                <c:pt idx="34">
                  <c:v>2.3078941000000002E-6</c:v>
                </c:pt>
                <c:pt idx="35">
                  <c:v>2.3532946500000003E-6</c:v>
                </c:pt>
                <c:pt idx="36">
                  <c:v>2.3963189000000006E-6</c:v>
                </c:pt>
                <c:pt idx="37">
                  <c:v>2.4454332500000005E-6</c:v>
                </c:pt>
                <c:pt idx="38">
                  <c:v>2.4885210500000003E-6</c:v>
                </c:pt>
                <c:pt idx="39">
                  <c:v>2.5226800500000003E-6</c:v>
                </c:pt>
                <c:pt idx="40">
                  <c:v>2.5620637E-6</c:v>
                </c:pt>
                <c:pt idx="41">
                  <c:v>2.5941929000000002E-6</c:v>
                </c:pt>
                <c:pt idx="42">
                  <c:v>2.6219485E-6</c:v>
                </c:pt>
                <c:pt idx="43">
                  <c:v>2.6492322999999998E-6</c:v>
                </c:pt>
                <c:pt idx="44">
                  <c:v>2.6451713999999993E-6</c:v>
                </c:pt>
                <c:pt idx="45">
                  <c:v>2.6520056499999997E-6</c:v>
                </c:pt>
                <c:pt idx="46">
                  <c:v>2.6709682499999997E-6</c:v>
                </c:pt>
                <c:pt idx="47">
                  <c:v>2.69725335E-6</c:v>
                </c:pt>
                <c:pt idx="48">
                  <c:v>2.7329689499999997E-6</c:v>
                </c:pt>
                <c:pt idx="49">
                  <c:v>2.7753392500000002E-6</c:v>
                </c:pt>
                <c:pt idx="50">
                  <c:v>2.8230696000000004E-6</c:v>
                </c:pt>
                <c:pt idx="51">
                  <c:v>2.8758531999999999E-6</c:v>
                </c:pt>
                <c:pt idx="52">
                  <c:v>2.9208419500000004E-6</c:v>
                </c:pt>
                <c:pt idx="53">
                  <c:v>2.9647677500000001E-6</c:v>
                </c:pt>
                <c:pt idx="54">
                  <c:v>3.0104547500000002E-6</c:v>
                </c:pt>
                <c:pt idx="55">
                  <c:v>3.0530751000000003E-6</c:v>
                </c:pt>
                <c:pt idx="56">
                  <c:v>3.0847569999999995E-6</c:v>
                </c:pt>
                <c:pt idx="57">
                  <c:v>3.1237317499999996E-6</c:v>
                </c:pt>
                <c:pt idx="58">
                  <c:v>3.1736035499999995E-6</c:v>
                </c:pt>
                <c:pt idx="59">
                  <c:v>3.2247786499999999E-6</c:v>
                </c:pt>
                <c:pt idx="60">
                  <c:v>3.2741437500000002E-6</c:v>
                </c:pt>
                <c:pt idx="61">
                  <c:v>3.3208265000000005E-6</c:v>
                </c:pt>
                <c:pt idx="62">
                  <c:v>3.3742489000000002E-6</c:v>
                </c:pt>
                <c:pt idx="63">
                  <c:v>3.41981865E-6</c:v>
                </c:pt>
                <c:pt idx="64">
                  <c:v>3.4682646000000007E-6</c:v>
                </c:pt>
                <c:pt idx="65">
                  <c:v>3.5191636000000011E-6</c:v>
                </c:pt>
                <c:pt idx="66">
                  <c:v>3.555964800000001E-6</c:v>
                </c:pt>
                <c:pt idx="67">
                  <c:v>3.5824116000000004E-6</c:v>
                </c:pt>
                <c:pt idx="68">
                  <c:v>3.607205300000001E-6</c:v>
                </c:pt>
                <c:pt idx="69">
                  <c:v>3.630262E-6</c:v>
                </c:pt>
                <c:pt idx="70">
                  <c:v>3.6543530999999998E-6</c:v>
                </c:pt>
                <c:pt idx="71">
                  <c:v>3.6812371499999999E-6</c:v>
                </c:pt>
                <c:pt idx="72">
                  <c:v>3.7060307000000002E-6</c:v>
                </c:pt>
                <c:pt idx="73">
                  <c:v>3.7447316499999997E-6</c:v>
                </c:pt>
                <c:pt idx="74">
                  <c:v>3.7837843499999994E-6</c:v>
                </c:pt>
                <c:pt idx="75">
                  <c:v>3.8098371499999998E-6</c:v>
                </c:pt>
                <c:pt idx="76">
                  <c:v>3.8551783500000004E-6</c:v>
                </c:pt>
                <c:pt idx="77">
                  <c:v>3.8941675000000002E-6</c:v>
                </c:pt>
                <c:pt idx="78">
                  <c:v>3.9311680500000005E-6</c:v>
                </c:pt>
                <c:pt idx="79">
                  <c:v>3.9582306500000005E-6</c:v>
                </c:pt>
                <c:pt idx="80">
                  <c:v>3.9881291499999992E-6</c:v>
                </c:pt>
                <c:pt idx="81">
                  <c:v>4.0085167499999998E-6</c:v>
                </c:pt>
                <c:pt idx="82">
                  <c:v>4.0201751499999999E-6</c:v>
                </c:pt>
                <c:pt idx="83">
                  <c:v>4.0377333999999995E-6</c:v>
                </c:pt>
                <c:pt idx="84">
                  <c:v>4.0660121999999999E-6</c:v>
                </c:pt>
                <c:pt idx="85">
                  <c:v>4.1007782500000003E-6</c:v>
                </c:pt>
                <c:pt idx="86">
                  <c:v>4.1433727999999996E-6</c:v>
                </c:pt>
                <c:pt idx="87">
                  <c:v>4.1871091999999996E-6</c:v>
                </c:pt>
                <c:pt idx="88">
                  <c:v>4.2305950999999994E-6</c:v>
                </c:pt>
                <c:pt idx="89">
                  <c:v>4.2702710000000003E-6</c:v>
                </c:pt>
                <c:pt idx="90">
                  <c:v>4.3056768499999998E-6</c:v>
                </c:pt>
                <c:pt idx="91">
                  <c:v>4.3342649500000003E-6</c:v>
                </c:pt>
                <c:pt idx="92">
                  <c:v>4.3726103999999999E-6</c:v>
                </c:pt>
                <c:pt idx="93">
                  <c:v>4.4082687499999993E-6</c:v>
                </c:pt>
                <c:pt idx="94">
                  <c:v>4.4411303499999991E-6</c:v>
                </c:pt>
                <c:pt idx="95">
                  <c:v>4.4839606999999991E-6</c:v>
                </c:pt>
                <c:pt idx="96">
                  <c:v>4.5173754999999989E-6</c:v>
                </c:pt>
                <c:pt idx="97">
                  <c:v>4.5409617999999989E-6</c:v>
                </c:pt>
                <c:pt idx="98">
                  <c:v>4.5652011999999992E-6</c:v>
                </c:pt>
                <c:pt idx="99">
                  <c:v>4.5989608499999987E-6</c:v>
                </c:pt>
                <c:pt idx="100">
                  <c:v>4.6346738999999996E-6</c:v>
                </c:pt>
                <c:pt idx="101">
                  <c:v>4.6836221499999996E-6</c:v>
                </c:pt>
                <c:pt idx="102">
                  <c:v>4.7329217000000004E-6</c:v>
                </c:pt>
                <c:pt idx="103">
                  <c:v>4.7743922000000001E-6</c:v>
                </c:pt>
                <c:pt idx="104">
                  <c:v>4.80978475E-6</c:v>
                </c:pt>
                <c:pt idx="105">
                  <c:v>4.8437938999999996E-6</c:v>
                </c:pt>
                <c:pt idx="106">
                  <c:v>4.8800451000000004E-6</c:v>
                </c:pt>
                <c:pt idx="107">
                  <c:v>4.9176189499999996E-6</c:v>
                </c:pt>
                <c:pt idx="108">
                  <c:v>4.9587789499999991E-6</c:v>
                </c:pt>
                <c:pt idx="109">
                  <c:v>4.9990617500000005E-6</c:v>
                </c:pt>
                <c:pt idx="110">
                  <c:v>5.0296916999999994E-6</c:v>
                </c:pt>
                <c:pt idx="111">
                  <c:v>5.0758949999999996E-6</c:v>
                </c:pt>
                <c:pt idx="112">
                  <c:v>5.1114901500000002E-6</c:v>
                </c:pt>
                <c:pt idx="113">
                  <c:v>5.1454732500000003E-6</c:v>
                </c:pt>
                <c:pt idx="114">
                  <c:v>5.1891730499999997E-6</c:v>
                </c:pt>
                <c:pt idx="115">
                  <c:v>5.24205715E-6</c:v>
                </c:pt>
                <c:pt idx="116">
                  <c:v>5.3089524500000004E-6</c:v>
                </c:pt>
                <c:pt idx="117">
                  <c:v>5.3663130000000003E-6</c:v>
                </c:pt>
                <c:pt idx="118">
                  <c:v>5.4208506000000004E-6</c:v>
                </c:pt>
                <c:pt idx="119">
                  <c:v>5.4665984500000013E-6</c:v>
                </c:pt>
                <c:pt idx="120">
                  <c:v>5.5112795500000006E-6</c:v>
                </c:pt>
                <c:pt idx="121">
                  <c:v>5.5524016000000003E-6</c:v>
                </c:pt>
                <c:pt idx="122">
                  <c:v>5.5856242000000001E-6</c:v>
                </c:pt>
                <c:pt idx="123">
                  <c:v>5.6304622000000007E-6</c:v>
                </c:pt>
                <c:pt idx="124">
                  <c:v>5.6763228500000007E-6</c:v>
                </c:pt>
                <c:pt idx="125">
                  <c:v>5.72094695E-6</c:v>
                </c:pt>
                <c:pt idx="126">
                  <c:v>5.7609808999999993E-6</c:v>
                </c:pt>
                <c:pt idx="127">
                  <c:v>5.8052087999999997E-6</c:v>
                </c:pt>
                <c:pt idx="128">
                  <c:v>5.8541686999999993E-6</c:v>
                </c:pt>
                <c:pt idx="129">
                  <c:v>5.8934068500000003E-6</c:v>
                </c:pt>
                <c:pt idx="130">
                  <c:v>5.9318454999999991E-6</c:v>
                </c:pt>
                <c:pt idx="131">
                  <c:v>5.9764360999999993E-6</c:v>
                </c:pt>
                <c:pt idx="132">
                  <c:v>6.0219122000000001E-6</c:v>
                </c:pt>
                <c:pt idx="133">
                  <c:v>6.0640794499999999E-6</c:v>
                </c:pt>
                <c:pt idx="134">
                  <c:v>6.1059907500000002E-6</c:v>
                </c:pt>
                <c:pt idx="135">
                  <c:v>6.1392458999999997E-6</c:v>
                </c:pt>
                <c:pt idx="136">
                  <c:v>6.1604139000000004E-6</c:v>
                </c:pt>
                <c:pt idx="137">
                  <c:v>6.1795210999999998E-6</c:v>
                </c:pt>
                <c:pt idx="138">
                  <c:v>6.2119632999999994E-6</c:v>
                </c:pt>
                <c:pt idx="139">
                  <c:v>6.2590766999999997E-6</c:v>
                </c:pt>
                <c:pt idx="140">
                  <c:v>6.303707649999999E-6</c:v>
                </c:pt>
                <c:pt idx="141">
                  <c:v>6.3505391000000004E-6</c:v>
                </c:pt>
                <c:pt idx="142">
                  <c:v>6.4072683000000003E-6</c:v>
                </c:pt>
                <c:pt idx="143">
                  <c:v>6.4480750500000001E-6</c:v>
                </c:pt>
                <c:pt idx="144">
                  <c:v>6.4875669500000001E-6</c:v>
                </c:pt>
                <c:pt idx="145">
                  <c:v>6.5294330499999999E-6</c:v>
                </c:pt>
                <c:pt idx="146">
                  <c:v>6.5640539000000005E-6</c:v>
                </c:pt>
                <c:pt idx="147">
                  <c:v>6.5924017500000012E-6</c:v>
                </c:pt>
                <c:pt idx="148">
                  <c:v>6.6240438000000018E-6</c:v>
                </c:pt>
                <c:pt idx="149">
                  <c:v>6.6618039499999996E-6</c:v>
                </c:pt>
                <c:pt idx="150">
                  <c:v>6.7054044999999992E-6</c:v>
                </c:pt>
                <c:pt idx="151">
                  <c:v>6.7370741500000007E-6</c:v>
                </c:pt>
                <c:pt idx="152">
                  <c:v>6.7729702499999996E-6</c:v>
                </c:pt>
                <c:pt idx="153">
                  <c:v>6.8038693999999993E-6</c:v>
                </c:pt>
                <c:pt idx="154">
                  <c:v>6.8269533999999987E-6</c:v>
                </c:pt>
                <c:pt idx="155">
                  <c:v>6.8503140499999985E-6</c:v>
                </c:pt>
                <c:pt idx="156">
                  <c:v>6.8647729499999994E-6</c:v>
                </c:pt>
                <c:pt idx="157">
                  <c:v>6.8945976499999998E-6</c:v>
                </c:pt>
                <c:pt idx="158">
                  <c:v>6.9257090000000001E-6</c:v>
                </c:pt>
                <c:pt idx="159">
                  <c:v>6.9588259499999988E-6</c:v>
                </c:pt>
                <c:pt idx="160">
                  <c:v>6.9903619500000003E-6</c:v>
                </c:pt>
                <c:pt idx="161">
                  <c:v>7.0227348000000006E-6</c:v>
                </c:pt>
                <c:pt idx="162">
                  <c:v>7.0645645000000013E-6</c:v>
                </c:pt>
                <c:pt idx="163">
                  <c:v>7.1022785999999992E-6</c:v>
                </c:pt>
                <c:pt idx="164">
                  <c:v>7.1492452499999997E-6</c:v>
                </c:pt>
                <c:pt idx="165">
                  <c:v>7.1846601999999996E-6</c:v>
                </c:pt>
                <c:pt idx="166">
                  <c:v>7.2250388000000004E-6</c:v>
                </c:pt>
                <c:pt idx="167">
                  <c:v>7.2820901500000002E-6</c:v>
                </c:pt>
                <c:pt idx="168">
                  <c:v>7.3280686499999998E-6</c:v>
                </c:pt>
                <c:pt idx="169">
                  <c:v>7.3818614999999984E-6</c:v>
                </c:pt>
                <c:pt idx="170">
                  <c:v>7.4402378499999985E-6</c:v>
                </c:pt>
                <c:pt idx="171">
                  <c:v>7.4933362499999999E-6</c:v>
                </c:pt>
                <c:pt idx="172">
                  <c:v>7.5293641500000009E-6</c:v>
                </c:pt>
                <c:pt idx="173">
                  <c:v>7.5721287499999994E-6</c:v>
                </c:pt>
                <c:pt idx="174">
                  <c:v>7.6260155499999994E-6</c:v>
                </c:pt>
                <c:pt idx="175">
                  <c:v>7.6797907500000003E-6</c:v>
                </c:pt>
                <c:pt idx="176">
                  <c:v>7.7446405500000003E-6</c:v>
                </c:pt>
                <c:pt idx="177">
                  <c:v>7.8014905000000005E-6</c:v>
                </c:pt>
                <c:pt idx="178">
                  <c:v>7.8379174500000004E-6</c:v>
                </c:pt>
                <c:pt idx="179">
                  <c:v>7.8735439000000022E-6</c:v>
                </c:pt>
                <c:pt idx="180">
                  <c:v>7.9193512500000008E-6</c:v>
                </c:pt>
                <c:pt idx="181">
                  <c:v>7.9677965500000014E-6</c:v>
                </c:pt>
                <c:pt idx="182">
                  <c:v>8.0012284000000003E-6</c:v>
                </c:pt>
                <c:pt idx="183">
                  <c:v>8.0392941500000004E-6</c:v>
                </c:pt>
                <c:pt idx="184">
                  <c:v>8.0684486499999989E-6</c:v>
                </c:pt>
                <c:pt idx="185">
                  <c:v>8.100116599999999E-6</c:v>
                </c:pt>
                <c:pt idx="186">
                  <c:v>8.1533123499999988E-6</c:v>
                </c:pt>
                <c:pt idx="187">
                  <c:v>8.192769199999999E-6</c:v>
                </c:pt>
                <c:pt idx="188">
                  <c:v>8.2352104999999991E-6</c:v>
                </c:pt>
                <c:pt idx="189">
                  <c:v>8.2753941999999989E-6</c:v>
                </c:pt>
                <c:pt idx="190">
                  <c:v>8.3109180000000013E-6</c:v>
                </c:pt>
                <c:pt idx="191">
                  <c:v>8.3444948000000009E-6</c:v>
                </c:pt>
                <c:pt idx="192">
                  <c:v>8.3929849999999997E-6</c:v>
                </c:pt>
                <c:pt idx="193">
                  <c:v>8.4376822500000003E-6</c:v>
                </c:pt>
                <c:pt idx="194">
                  <c:v>8.4688608499999987E-6</c:v>
                </c:pt>
                <c:pt idx="195">
                  <c:v>8.5029289499999997E-6</c:v>
                </c:pt>
                <c:pt idx="196">
                  <c:v>8.5295640999999969E-6</c:v>
                </c:pt>
                <c:pt idx="197">
                  <c:v>8.5736132999999974E-6</c:v>
                </c:pt>
                <c:pt idx="198">
                  <c:v>8.621371199999999E-6</c:v>
                </c:pt>
                <c:pt idx="199">
                  <c:v>8.6649406499999988E-6</c:v>
                </c:pt>
                <c:pt idx="200">
                  <c:v>8.6977477499999987E-6</c:v>
                </c:pt>
                <c:pt idx="201">
                  <c:v>8.7336965500000003E-6</c:v>
                </c:pt>
                <c:pt idx="202">
                  <c:v>8.766585950000001E-6</c:v>
                </c:pt>
                <c:pt idx="203">
                  <c:v>8.8056454500000012E-6</c:v>
                </c:pt>
                <c:pt idx="204">
                  <c:v>8.8436558000000012E-6</c:v>
                </c:pt>
                <c:pt idx="205">
                  <c:v>8.8902074000000006E-6</c:v>
                </c:pt>
                <c:pt idx="206">
                  <c:v>8.9168072000000015E-6</c:v>
                </c:pt>
                <c:pt idx="207">
                  <c:v>8.9418903499999998E-6</c:v>
                </c:pt>
                <c:pt idx="208">
                  <c:v>8.9749511000000005E-6</c:v>
                </c:pt>
                <c:pt idx="209">
                  <c:v>8.9919242499999991E-6</c:v>
                </c:pt>
                <c:pt idx="210">
                  <c:v>9.0146550999999988E-6</c:v>
                </c:pt>
                <c:pt idx="211">
                  <c:v>9.051067549999999E-6</c:v>
                </c:pt>
                <c:pt idx="212">
                  <c:v>9.0870054999999979E-6</c:v>
                </c:pt>
                <c:pt idx="213">
                  <c:v>9.1214482499999991E-6</c:v>
                </c:pt>
                <c:pt idx="214">
                  <c:v>9.1552963499999999E-6</c:v>
                </c:pt>
                <c:pt idx="215">
                  <c:v>9.1878163499999997E-6</c:v>
                </c:pt>
                <c:pt idx="216">
                  <c:v>9.2297000499999999E-6</c:v>
                </c:pt>
                <c:pt idx="217">
                  <c:v>9.2542790000000014E-6</c:v>
                </c:pt>
                <c:pt idx="218">
                  <c:v>9.2768246500000018E-6</c:v>
                </c:pt>
                <c:pt idx="219">
                  <c:v>9.2986162999999996E-6</c:v>
                </c:pt>
                <c:pt idx="220">
                  <c:v>9.3215799500000018E-6</c:v>
                </c:pt>
                <c:pt idx="221">
                  <c:v>9.3525784499999996E-6</c:v>
                </c:pt>
                <c:pt idx="222">
                  <c:v>9.4073425000000001E-6</c:v>
                </c:pt>
                <c:pt idx="223">
                  <c:v>9.4437380499999988E-6</c:v>
                </c:pt>
                <c:pt idx="224">
                  <c:v>9.4849976999999978E-6</c:v>
                </c:pt>
                <c:pt idx="225">
                  <c:v>9.5303440000000013E-6</c:v>
                </c:pt>
                <c:pt idx="226">
                  <c:v>9.5778800499999997E-6</c:v>
                </c:pt>
                <c:pt idx="227">
                  <c:v>9.6222336499999998E-6</c:v>
                </c:pt>
                <c:pt idx="228">
                  <c:v>9.6578412499999987E-6</c:v>
                </c:pt>
                <c:pt idx="229">
                  <c:v>9.7169914499999996E-6</c:v>
                </c:pt>
                <c:pt idx="230">
                  <c:v>9.7924940499999992E-6</c:v>
                </c:pt>
                <c:pt idx="231">
                  <c:v>9.851145499999999E-6</c:v>
                </c:pt>
                <c:pt idx="232">
                  <c:v>9.9081146999999971E-6</c:v>
                </c:pt>
                <c:pt idx="233">
                  <c:v>9.9423132499999992E-6</c:v>
                </c:pt>
                <c:pt idx="234">
                  <c:v>1.0007246349999999E-5</c:v>
                </c:pt>
                <c:pt idx="235">
                  <c:v>1.007503365E-5</c:v>
                </c:pt>
                <c:pt idx="236">
                  <c:v>1.0133532699999999E-5</c:v>
                </c:pt>
                <c:pt idx="237">
                  <c:v>1.02130318E-5</c:v>
                </c:pt>
                <c:pt idx="238">
                  <c:v>1.0281992649999999E-5</c:v>
                </c:pt>
                <c:pt idx="239">
                  <c:v>1.0351801900000002E-5</c:v>
                </c:pt>
                <c:pt idx="240">
                  <c:v>1.0397090549999999E-5</c:v>
                </c:pt>
                <c:pt idx="241">
                  <c:v>1.0441715E-5</c:v>
                </c:pt>
                <c:pt idx="242">
                  <c:v>1.045908E-5</c:v>
                </c:pt>
                <c:pt idx="243">
                  <c:v>1.0503909949999999E-5</c:v>
                </c:pt>
                <c:pt idx="244">
                  <c:v>1.0541041999999998E-5</c:v>
                </c:pt>
                <c:pt idx="245">
                  <c:v>1.0571392E-5</c:v>
                </c:pt>
                <c:pt idx="246">
                  <c:v>1.0620287500000001E-5</c:v>
                </c:pt>
                <c:pt idx="247">
                  <c:v>1.0668911999999998E-5</c:v>
                </c:pt>
                <c:pt idx="248">
                  <c:v>1.0724331000000001E-5</c:v>
                </c:pt>
                <c:pt idx="249">
                  <c:v>1.0786676000000002E-5</c:v>
                </c:pt>
                <c:pt idx="250">
                  <c:v>1.0818841000000001E-5</c:v>
                </c:pt>
                <c:pt idx="251">
                  <c:v>1.08479675E-5</c:v>
                </c:pt>
                <c:pt idx="252">
                  <c:v>1.0857666E-5</c:v>
                </c:pt>
                <c:pt idx="253">
                  <c:v>1.09054545E-5</c:v>
                </c:pt>
                <c:pt idx="254">
                  <c:v>1.0910015500000001E-5</c:v>
                </c:pt>
                <c:pt idx="255">
                  <c:v>1.0934345499999999E-5</c:v>
                </c:pt>
                <c:pt idx="256">
                  <c:v>1.0986460000000001E-5</c:v>
                </c:pt>
                <c:pt idx="257">
                  <c:v>1.1018727000000001E-5</c:v>
                </c:pt>
                <c:pt idx="258">
                  <c:v>1.1054702500000001E-5</c:v>
                </c:pt>
                <c:pt idx="259">
                  <c:v>1.1087764000000001E-5</c:v>
                </c:pt>
                <c:pt idx="260">
                  <c:v>1.1161579500000001E-5</c:v>
                </c:pt>
                <c:pt idx="261">
                  <c:v>1.1212482000000001E-5</c:v>
                </c:pt>
                <c:pt idx="262">
                  <c:v>1.1287359000000001E-5</c:v>
                </c:pt>
                <c:pt idx="263">
                  <c:v>1.1341304E-5</c:v>
                </c:pt>
                <c:pt idx="264">
                  <c:v>1.1408522000000001E-5</c:v>
                </c:pt>
                <c:pt idx="265">
                  <c:v>1.1482839000000001E-5</c:v>
                </c:pt>
                <c:pt idx="266">
                  <c:v>1.1518573E-5</c:v>
                </c:pt>
                <c:pt idx="267">
                  <c:v>1.1577782E-5</c:v>
                </c:pt>
                <c:pt idx="268">
                  <c:v>1.1607310000000001E-5</c:v>
                </c:pt>
                <c:pt idx="269">
                  <c:v>1.1606967000000001E-5</c:v>
                </c:pt>
                <c:pt idx="270">
                  <c:v>1.1632656000000001E-5</c:v>
                </c:pt>
                <c:pt idx="271">
                  <c:v>1.1687557500000002E-5</c:v>
                </c:pt>
                <c:pt idx="272">
                  <c:v>1.1756118999999999E-5</c:v>
                </c:pt>
                <c:pt idx="273">
                  <c:v>1.1804032E-5</c:v>
                </c:pt>
                <c:pt idx="274">
                  <c:v>1.19052485E-5</c:v>
                </c:pt>
                <c:pt idx="275">
                  <c:v>1.1944219E-5</c:v>
                </c:pt>
                <c:pt idx="276">
                  <c:v>1.1964547000000001E-5</c:v>
                </c:pt>
                <c:pt idx="277">
                  <c:v>1.1984229000000001E-5</c:v>
                </c:pt>
                <c:pt idx="278">
                  <c:v>1.2064471000000002E-5</c:v>
                </c:pt>
                <c:pt idx="279">
                  <c:v>1.2139523000000001E-5</c:v>
                </c:pt>
                <c:pt idx="280">
                  <c:v>1.2195169999999999E-5</c:v>
                </c:pt>
                <c:pt idx="281">
                  <c:v>1.225349E-5</c:v>
                </c:pt>
                <c:pt idx="282">
                  <c:v>1.23165475E-5</c:v>
                </c:pt>
                <c:pt idx="283">
                  <c:v>1.2388361999999999E-5</c:v>
                </c:pt>
                <c:pt idx="284">
                  <c:v>1.2448805499999998E-5</c:v>
                </c:pt>
                <c:pt idx="285">
                  <c:v>1.24918275E-5</c:v>
                </c:pt>
                <c:pt idx="286">
                  <c:v>1.2530829499999999E-5</c:v>
                </c:pt>
                <c:pt idx="287">
                  <c:v>1.2546041E-5</c:v>
                </c:pt>
                <c:pt idx="288">
                  <c:v>1.2592933499999998E-5</c:v>
                </c:pt>
                <c:pt idx="289">
                  <c:v>1.2647405499999999E-5</c:v>
                </c:pt>
                <c:pt idx="290">
                  <c:v>1.2725690500000003E-5</c:v>
                </c:pt>
                <c:pt idx="291">
                  <c:v>1.2781503000000003E-5</c:v>
                </c:pt>
                <c:pt idx="292">
                  <c:v>1.2846291499999998E-5</c:v>
                </c:pt>
                <c:pt idx="293">
                  <c:v>1.2909906500000001E-5</c:v>
                </c:pt>
                <c:pt idx="294">
                  <c:v>1.2957145E-5</c:v>
                </c:pt>
                <c:pt idx="295">
                  <c:v>1.3042632E-5</c:v>
                </c:pt>
                <c:pt idx="296">
                  <c:v>1.3126106000000001E-5</c:v>
                </c:pt>
                <c:pt idx="297">
                  <c:v>1.3238532500000001E-5</c:v>
                </c:pt>
                <c:pt idx="298">
                  <c:v>1.3277204000000003E-5</c:v>
                </c:pt>
                <c:pt idx="299">
                  <c:v>1.3310389E-5</c:v>
                </c:pt>
                <c:pt idx="300">
                  <c:v>1.3349882E-5</c:v>
                </c:pt>
                <c:pt idx="301">
                  <c:v>1.3421699999999997E-5</c:v>
                </c:pt>
                <c:pt idx="302">
                  <c:v>1.3473500499999999E-5</c:v>
                </c:pt>
                <c:pt idx="303">
                  <c:v>1.3498066499999999E-5</c:v>
                </c:pt>
                <c:pt idx="304">
                  <c:v>1.35121395E-5</c:v>
                </c:pt>
                <c:pt idx="305">
                  <c:v>1.35501175E-5</c:v>
                </c:pt>
                <c:pt idx="306">
                  <c:v>1.3642933000000001E-5</c:v>
                </c:pt>
                <c:pt idx="307">
                  <c:v>1.3753809E-5</c:v>
                </c:pt>
                <c:pt idx="308">
                  <c:v>1.3871081499999999E-5</c:v>
                </c:pt>
                <c:pt idx="309">
                  <c:v>1.3988973500000002E-5</c:v>
                </c:pt>
                <c:pt idx="310">
                  <c:v>1.4064305000000002E-5</c:v>
                </c:pt>
                <c:pt idx="311">
                  <c:v>1.4128557000000003E-5</c:v>
                </c:pt>
                <c:pt idx="312">
                  <c:v>1.4178812500000001E-5</c:v>
                </c:pt>
                <c:pt idx="313">
                  <c:v>1.4221945499999998E-5</c:v>
                </c:pt>
                <c:pt idx="314">
                  <c:v>1.4232074000000001E-5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E1-40D8-A61B-3860D7BB359A}"/>
            </c:ext>
          </c:extLst>
        </c:ser>
        <c:ser>
          <c:idx val="3"/>
          <c:order val="3"/>
          <c:tx>
            <c:strRef>
              <c:f>GRAPH!$S$31</c:f>
              <c:strCache>
                <c:ptCount val="1"/>
                <c:pt idx="0">
                  <c:v>IDS__R141-1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Wafer1!$M$2:$M$335</c:f>
              <c:numCache>
                <c:formatCode>0.00E+00</c:formatCode>
                <c:ptCount val="334"/>
                <c:pt idx="0">
                  <c:v>0</c:v>
                </c:pt>
                <c:pt idx="1">
                  <c:v>0</c:v>
                </c:pt>
                <c:pt idx="2">
                  <c:v>1171.8338826360359</c:v>
                </c:pt>
                <c:pt idx="3">
                  <c:v>31834.82047827898</c:v>
                </c:pt>
                <c:pt idx="4">
                  <c:v>66146.938901428875</c:v>
                </c:pt>
                <c:pt idx="5">
                  <c:v>101486.98178303144</c:v>
                </c:pt>
                <c:pt idx="6">
                  <c:v>128870.88935621038</c:v>
                </c:pt>
                <c:pt idx="7">
                  <c:v>150847.91427792833</c:v>
                </c:pt>
                <c:pt idx="8">
                  <c:v>182693.01400079182</c:v>
                </c:pt>
                <c:pt idx="9">
                  <c:v>216809.82677683572</c:v>
                </c:pt>
                <c:pt idx="10">
                  <c:v>248901.62836972787</c:v>
                </c:pt>
                <c:pt idx="11">
                  <c:v>281877.44499688927</c:v>
                </c:pt>
                <c:pt idx="12">
                  <c:v>309631.40537511121</c:v>
                </c:pt>
                <c:pt idx="13">
                  <c:v>336408.83751780307</c:v>
                </c:pt>
                <c:pt idx="14">
                  <c:v>362960.12627963535</c:v>
                </c:pt>
                <c:pt idx="15">
                  <c:v>390991.62626163947</c:v>
                </c:pt>
                <c:pt idx="16">
                  <c:v>420513.61670839996</c:v>
                </c:pt>
                <c:pt idx="17">
                  <c:v>453448.31635722332</c:v>
                </c:pt>
                <c:pt idx="18">
                  <c:v>484429.95953498658</c:v>
                </c:pt>
                <c:pt idx="19">
                  <c:v>525053.53413303581</c:v>
                </c:pt>
                <c:pt idx="20">
                  <c:v>554051.28310598549</c:v>
                </c:pt>
                <c:pt idx="21">
                  <c:v>583634.94902025315</c:v>
                </c:pt>
                <c:pt idx="22">
                  <c:v>612807.44515113963</c:v>
                </c:pt>
                <c:pt idx="23">
                  <c:v>645557.11839744158</c:v>
                </c:pt>
                <c:pt idx="24">
                  <c:v>679653.37268431636</c:v>
                </c:pt>
                <c:pt idx="25">
                  <c:v>708753.91410311125</c:v>
                </c:pt>
                <c:pt idx="26">
                  <c:v>744834.06259479979</c:v>
                </c:pt>
                <c:pt idx="27">
                  <c:v>778735.01123456855</c:v>
                </c:pt>
                <c:pt idx="28">
                  <c:v>816829.89166482422</c:v>
                </c:pt>
                <c:pt idx="29">
                  <c:v>853629.58727742964</c:v>
                </c:pt>
                <c:pt idx="30">
                  <c:v>887181.04160132457</c:v>
                </c:pt>
                <c:pt idx="31">
                  <c:v>913619.25867272704</c:v>
                </c:pt>
                <c:pt idx="32">
                  <c:v>947335.18090997438</c:v>
                </c:pt>
                <c:pt idx="33">
                  <c:v>976877.72984590393</c:v>
                </c:pt>
                <c:pt idx="34">
                  <c:v>1006523.0712276787</c:v>
                </c:pt>
                <c:pt idx="35">
                  <c:v>1040968.8198304275</c:v>
                </c:pt>
                <c:pt idx="36">
                  <c:v>1073862.4025009128</c:v>
                </c:pt>
                <c:pt idx="37">
                  <c:v>1106653.1927255527</c:v>
                </c:pt>
                <c:pt idx="38">
                  <c:v>1134427.7115929436</c:v>
                </c:pt>
                <c:pt idx="39">
                  <c:v>1169757.4752299616</c:v>
                </c:pt>
                <c:pt idx="40">
                  <c:v>1194150.1226290434</c:v>
                </c:pt>
                <c:pt idx="41">
                  <c:v>1226324.1581786117</c:v>
                </c:pt>
                <c:pt idx="42">
                  <c:v>1254396.7751389539</c:v>
                </c:pt>
                <c:pt idx="43">
                  <c:v>1283857.0901182073</c:v>
                </c:pt>
                <c:pt idx="44">
                  <c:v>1301866.3266302978</c:v>
                </c:pt>
                <c:pt idx="45">
                  <c:v>1333680.5886194077</c:v>
                </c:pt>
                <c:pt idx="46">
                  <c:v>1365237.8694939045</c:v>
                </c:pt>
                <c:pt idx="47">
                  <c:v>1395345.776881983</c:v>
                </c:pt>
                <c:pt idx="48">
                  <c:v>1427026.4086914943</c:v>
                </c:pt>
                <c:pt idx="49">
                  <c:v>1460207.8102103462</c:v>
                </c:pt>
                <c:pt idx="50">
                  <c:v>1489154.1629603731</c:v>
                </c:pt>
                <c:pt idx="51">
                  <c:v>1520228.3193393971</c:v>
                </c:pt>
                <c:pt idx="52">
                  <c:v>1552392.0756443809</c:v>
                </c:pt>
                <c:pt idx="53">
                  <c:v>1586282.7450395653</c:v>
                </c:pt>
                <c:pt idx="54">
                  <c:v>1617521.3693319417</c:v>
                </c:pt>
                <c:pt idx="55">
                  <c:v>1652419.4046964096</c:v>
                </c:pt>
                <c:pt idx="56">
                  <c:v>1685754.9948840295</c:v>
                </c:pt>
                <c:pt idx="57">
                  <c:v>1715811.5060491853</c:v>
                </c:pt>
                <c:pt idx="58">
                  <c:v>1746793.1492269486</c:v>
                </c:pt>
                <c:pt idx="59">
                  <c:v>1779861.4790553709</c:v>
                </c:pt>
                <c:pt idx="60">
                  <c:v>1807728.5111240225</c:v>
                </c:pt>
                <c:pt idx="61">
                  <c:v>1835071.3017188634</c:v>
                </c:pt>
                <c:pt idx="62">
                  <c:v>1871192.56718889</c:v>
                </c:pt>
                <c:pt idx="63">
                  <c:v>1906213.9534883723</c:v>
                </c:pt>
                <c:pt idx="64">
                  <c:v>1940484.954933184</c:v>
                </c:pt>
                <c:pt idx="65">
                  <c:v>1973070.1602661335</c:v>
                </c:pt>
                <c:pt idx="66">
                  <c:v>2005532.0146640686</c:v>
                </c:pt>
                <c:pt idx="67">
                  <c:v>2039350.729347161</c:v>
                </c:pt>
                <c:pt idx="68">
                  <c:v>2069242.7725989646</c:v>
                </c:pt>
                <c:pt idx="69">
                  <c:v>2100183.2987983897</c:v>
                </c:pt>
                <c:pt idx="70">
                  <c:v>2135019.6586953504</c:v>
                </c:pt>
                <c:pt idx="71">
                  <c:v>2168601.9507529992</c:v>
                </c:pt>
                <c:pt idx="72">
                  <c:v>2198504.2732493868</c:v>
                </c:pt>
                <c:pt idx="73">
                  <c:v>2233114.4897654881</c:v>
                </c:pt>
                <c:pt idx="74">
                  <c:v>2267745.2647707583</c:v>
                </c:pt>
                <c:pt idx="75">
                  <c:v>2300608.00970749</c:v>
                </c:pt>
                <c:pt idx="76">
                  <c:v>2335187.3884898378</c:v>
                </c:pt>
                <c:pt idx="77">
                  <c:v>2369437.8314454802</c:v>
                </c:pt>
                <c:pt idx="78">
                  <c:v>2404448.9385003778</c:v>
                </c:pt>
                <c:pt idx="79">
                  <c:v>2434197.072327998</c:v>
                </c:pt>
                <c:pt idx="80">
                  <c:v>2468077.4624785976</c:v>
                </c:pt>
                <c:pt idx="81">
                  <c:v>2498904.9169875933</c:v>
                </c:pt>
                <c:pt idx="82">
                  <c:v>2527882.1074713739</c:v>
                </c:pt>
                <c:pt idx="83">
                  <c:v>2562564.2786995666</c:v>
                </c:pt>
                <c:pt idx="84">
                  <c:v>2596598.8575189342</c:v>
                </c:pt>
                <c:pt idx="85">
                  <c:v>2631774.4324871846</c:v>
                </c:pt>
                <c:pt idx="86">
                  <c:v>2663825.1171017387</c:v>
                </c:pt>
                <c:pt idx="87">
                  <c:v>2691877.1755729117</c:v>
                </c:pt>
                <c:pt idx="88">
                  <c:v>2726888.2826278093</c:v>
                </c:pt>
                <c:pt idx="89">
                  <c:v>2754148.8392659742</c:v>
                </c:pt>
                <c:pt idx="90">
                  <c:v>2789118.8293425338</c:v>
                </c:pt>
                <c:pt idx="91">
                  <c:v>2822341.3478397238</c:v>
                </c:pt>
                <c:pt idx="92">
                  <c:v>2857845.8586346786</c:v>
                </c:pt>
                <c:pt idx="93">
                  <c:v>2887059.4717439036</c:v>
                </c:pt>
                <c:pt idx="94">
                  <c:v>2919870.8204577123</c:v>
                </c:pt>
                <c:pt idx="95">
                  <c:v>2954912.7652463638</c:v>
                </c:pt>
                <c:pt idx="96">
                  <c:v>2990078.0609700293</c:v>
                </c:pt>
                <c:pt idx="97">
                  <c:v>3024287.3869473338</c:v>
                </c:pt>
                <c:pt idx="98">
                  <c:v>3049409.8607119168</c:v>
                </c:pt>
                <c:pt idx="99">
                  <c:v>3084616.2734139208</c:v>
                </c:pt>
                <c:pt idx="100">
                  <c:v>3120490.8370139184</c:v>
                </c:pt>
                <c:pt idx="101">
                  <c:v>3153579.72533151</c:v>
                </c:pt>
                <c:pt idx="102">
                  <c:v>3185137.0062060067</c:v>
                </c:pt>
                <c:pt idx="103">
                  <c:v>3215933.6229812484</c:v>
                </c:pt>
                <c:pt idx="104">
                  <c:v>3249186.9792121919</c:v>
                </c:pt>
                <c:pt idx="105">
                  <c:v>3283601.8900811872</c:v>
                </c:pt>
                <c:pt idx="106">
                  <c:v>3309721.4505704693</c:v>
                </c:pt>
                <c:pt idx="107">
                  <c:v>3338513.6146517284</c:v>
                </c:pt>
                <c:pt idx="108">
                  <c:v>3374891.8612363683</c:v>
                </c:pt>
                <c:pt idx="109">
                  <c:v>3405441.7761415816</c:v>
                </c:pt>
                <c:pt idx="110">
                  <c:v>3443711.4037297741</c:v>
                </c:pt>
                <c:pt idx="111">
                  <c:v>3472914.737594414</c:v>
                </c:pt>
                <c:pt idx="112">
                  <c:v>3504492.5769580803</c:v>
                </c:pt>
                <c:pt idx="113">
                  <c:v>3536060.1370771611</c:v>
                </c:pt>
                <c:pt idx="114">
                  <c:v>3567864.1198216868</c:v>
                </c:pt>
                <c:pt idx="115">
                  <c:v>3603214.4419478737</c:v>
                </c:pt>
                <c:pt idx="116">
                  <c:v>3639294.5904395622</c:v>
                </c:pt>
                <c:pt idx="117">
                  <c:v>3667850.3318953775</c:v>
                </c:pt>
                <c:pt idx="118">
                  <c:v>3701113.9673709054</c:v>
                </c:pt>
                <c:pt idx="119">
                  <c:v>3736402.6140295854</c:v>
                </c:pt>
                <c:pt idx="120">
                  <c:v>3770252.1664464315</c:v>
                </c:pt>
                <c:pt idx="121">
                  <c:v>3805417.462170097</c:v>
                </c:pt>
                <c:pt idx="122">
                  <c:v>3837087.8147350238</c:v>
                </c:pt>
                <c:pt idx="123">
                  <c:v>3872129.7595236748</c:v>
                </c:pt>
                <c:pt idx="124">
                  <c:v>3898321.2747250488</c:v>
                </c:pt>
                <c:pt idx="125">
                  <c:v>3934010.8119225255</c:v>
                </c:pt>
                <c:pt idx="126">
                  <c:v>3969535.8812066494</c:v>
                </c:pt>
                <c:pt idx="127">
                  <c:v>4004218.0524348421</c:v>
                </c:pt>
                <c:pt idx="128">
                  <c:v>4036289.2955385651</c:v>
                </c:pt>
                <c:pt idx="129">
                  <c:v>4069172.5989644662</c:v>
                </c:pt>
                <c:pt idx="130">
                  <c:v>4104677.1097594211</c:v>
                </c:pt>
                <c:pt idx="131">
                  <c:v>4138454.7074641758</c:v>
                </c:pt>
                <c:pt idx="132">
                  <c:v>4168665.4072980992</c:v>
                </c:pt>
                <c:pt idx="133">
                  <c:v>4198876.1071320232</c:v>
                </c:pt>
                <c:pt idx="134">
                  <c:v>4235501.055586691</c:v>
                </c:pt>
                <c:pt idx="135">
                  <c:v>4265475.3327951711</c:v>
                </c:pt>
                <c:pt idx="136">
                  <c:v>4300846.2134105274</c:v>
                </c:pt>
                <c:pt idx="137">
                  <c:v>4332968.8527371734</c:v>
                </c:pt>
                <c:pt idx="138">
                  <c:v>4369408.7747893203</c:v>
                </c:pt>
                <c:pt idx="139">
                  <c:v>4396905.7540529286</c:v>
                </c:pt>
                <c:pt idx="140">
                  <c:v>4427722.9293173393</c:v>
                </c:pt>
                <c:pt idx="141">
                  <c:v>4461449.1307991715</c:v>
                </c:pt>
                <c:pt idx="142">
                  <c:v>4495843.4831789974</c:v>
                </c:pt>
                <c:pt idx="143">
                  <c:v>4528922.092252004</c:v>
                </c:pt>
                <c:pt idx="144">
                  <c:v>4560808.3089532061</c:v>
                </c:pt>
                <c:pt idx="145">
                  <c:v>4588480.0353747513</c:v>
                </c:pt>
                <c:pt idx="146">
                  <c:v>4613808.0940310247</c:v>
                </c:pt>
                <c:pt idx="147">
                  <c:v>4647739.8804045478</c:v>
                </c:pt>
                <c:pt idx="148">
                  <c:v>4681661.387533485</c:v>
                </c:pt>
                <c:pt idx="149">
                  <c:v>4711707.619454057</c:v>
                </c:pt>
                <c:pt idx="150">
                  <c:v>4738824.2666680384</c:v>
                </c:pt>
                <c:pt idx="151">
                  <c:v>4764090.6498568049</c:v>
                </c:pt>
                <c:pt idx="152">
                  <c:v>4794044.368576115</c:v>
                </c:pt>
                <c:pt idx="153">
                  <c:v>4814284.2011630479</c:v>
                </c:pt>
                <c:pt idx="154">
                  <c:v>4838553.4976271158</c:v>
                </c:pt>
                <c:pt idx="155">
                  <c:v>4870316.363393303</c:v>
                </c:pt>
                <c:pt idx="156">
                  <c:v>4903559.4403796615</c:v>
                </c:pt>
                <c:pt idx="157">
                  <c:v>4938025.7474715794</c:v>
                </c:pt>
                <c:pt idx="158">
                  <c:v>4968020.5831692284</c:v>
                </c:pt>
                <c:pt idx="159">
                  <c:v>4990984.415571061</c:v>
                </c:pt>
                <c:pt idx="160">
                  <c:v>5020249.4249032084</c:v>
                </c:pt>
                <c:pt idx="161">
                  <c:v>5056802.4186457852</c:v>
                </c:pt>
                <c:pt idx="162">
                  <c:v>5083805.9941693367</c:v>
                </c:pt>
                <c:pt idx="163">
                  <c:v>5114818.4750808533</c:v>
                </c:pt>
                <c:pt idx="164">
                  <c:v>5142058.4732298488</c:v>
                </c:pt>
                <c:pt idx="165">
                  <c:v>5172855.0900050905</c:v>
                </c:pt>
                <c:pt idx="166">
                  <c:v>5197854.212834659</c:v>
                </c:pt>
                <c:pt idx="167">
                  <c:v>5228054.633423999</c:v>
                </c:pt>
                <c:pt idx="168">
                  <c:v>5253094.8732319055</c:v>
                </c:pt>
                <c:pt idx="169">
                  <c:v>5288044.3048192961</c:v>
                </c:pt>
                <c:pt idx="170">
                  <c:v>5318008.3027831912</c:v>
                </c:pt>
                <c:pt idx="171">
                  <c:v>5354766.8814174579</c:v>
                </c:pt>
                <c:pt idx="172">
                  <c:v>5375119.7856948208</c:v>
                </c:pt>
                <c:pt idx="173">
                  <c:v>5408619.8437957931</c:v>
                </c:pt>
                <c:pt idx="174">
                  <c:v>5442860.0075068511</c:v>
                </c:pt>
                <c:pt idx="175">
                  <c:v>5475506.8883073078</c:v>
                </c:pt>
                <c:pt idx="176">
                  <c:v>5503096.3807721781</c:v>
                </c:pt>
                <c:pt idx="177">
                  <c:v>5529400.967663981</c:v>
                </c:pt>
                <c:pt idx="178">
                  <c:v>5563332.7540375041</c:v>
                </c:pt>
                <c:pt idx="179">
                  <c:v>5587283.3939194512</c:v>
                </c:pt>
                <c:pt idx="180">
                  <c:v>5617668.8409113111</c:v>
                </c:pt>
                <c:pt idx="181">
                  <c:v>5652114.5895140599</c:v>
                </c:pt>
                <c:pt idx="182">
                  <c:v>5682623.3874409348</c:v>
                </c:pt>
                <c:pt idx="183">
                  <c:v>5712977.9966990426</c:v>
                </c:pt>
                <c:pt idx="184">
                  <c:v>5743620.4248055164</c:v>
                </c:pt>
                <c:pt idx="185">
                  <c:v>5770192.2720565172</c:v>
                </c:pt>
                <c:pt idx="186">
                  <c:v>5805748.1790743954</c:v>
                </c:pt>
                <c:pt idx="187">
                  <c:v>5834396.4337314712</c:v>
                </c:pt>
                <c:pt idx="188">
                  <c:v>5868975.812513819</c:v>
                </c:pt>
                <c:pt idx="189">
                  <c:v>5892864.7769282581</c:v>
                </c:pt>
                <c:pt idx="190">
                  <c:v>5921985.8768362226</c:v>
                </c:pt>
                <c:pt idx="191">
                  <c:v>5951703.1729300888</c:v>
                </c:pt>
                <c:pt idx="192">
                  <c:v>5977113.4655430391</c:v>
                </c:pt>
                <c:pt idx="193">
                  <c:v>6013265.5687468192</c:v>
                </c:pt>
                <c:pt idx="194">
                  <c:v>6040680.3140537515</c:v>
                </c:pt>
                <c:pt idx="195">
                  <c:v>6075609.1871519731</c:v>
                </c:pt>
                <c:pt idx="196">
                  <c:v>6093155.8576577595</c:v>
                </c:pt>
                <c:pt idx="197">
                  <c:v>6119840.7765991911</c:v>
                </c:pt>
                <c:pt idx="198">
                  <c:v>6145456.6541038314</c:v>
                </c:pt>
                <c:pt idx="199">
                  <c:v>6178843.6405143738</c:v>
                </c:pt>
                <c:pt idx="200">
                  <c:v>6200409.495652711</c:v>
                </c:pt>
                <c:pt idx="201">
                  <c:v>6232655.485914371</c:v>
                </c:pt>
                <c:pt idx="202">
                  <c:v>6265621.0232969476</c:v>
                </c:pt>
                <c:pt idx="203">
                  <c:v>6301639.4963211287</c:v>
                </c:pt>
                <c:pt idx="204">
                  <c:v>6331644.6112633627</c:v>
                </c:pt>
                <c:pt idx="205">
                  <c:v>6361094.6469980311</c:v>
                </c:pt>
                <c:pt idx="206">
                  <c:v>6385713.4377779728</c:v>
                </c:pt>
                <c:pt idx="207">
                  <c:v>6418504.2280026125</c:v>
                </c:pt>
                <c:pt idx="208">
                  <c:v>6451325.8559610061</c:v>
                </c:pt>
                <c:pt idx="209">
                  <c:v>6483952.1782722929</c:v>
                </c:pt>
                <c:pt idx="210">
                  <c:v>6519508.0852901712</c:v>
                </c:pt>
                <c:pt idx="211">
                  <c:v>6550602.8001583638</c:v>
                </c:pt>
                <c:pt idx="212">
                  <c:v>6581440.5339119444</c:v>
                </c:pt>
                <c:pt idx="213">
                  <c:v>6616975.8824406527</c:v>
                </c:pt>
                <c:pt idx="214">
                  <c:v>6638408.1073993901</c:v>
                </c:pt>
                <c:pt idx="215">
                  <c:v>6674334.0672223112</c:v>
                </c:pt>
                <c:pt idx="216">
                  <c:v>6708111.6649270654</c:v>
                </c:pt>
                <c:pt idx="217">
                  <c:v>6736739.3610949721</c:v>
                </c:pt>
                <c:pt idx="218">
                  <c:v>6769869.3663909016</c:v>
                </c:pt>
                <c:pt idx="219">
                  <c:v>6797150.4815182351</c:v>
                </c:pt>
                <c:pt idx="220">
                  <c:v>6831349.528250955</c:v>
                </c:pt>
                <c:pt idx="221">
                  <c:v>6859442.703700467</c:v>
                </c:pt>
                <c:pt idx="222">
                  <c:v>6891832.6033863099</c:v>
                </c:pt>
                <c:pt idx="223">
                  <c:v>6919524.8882970251</c:v>
                </c:pt>
                <c:pt idx="224">
                  <c:v>6945747.2412321521</c:v>
                </c:pt>
                <c:pt idx="225">
                  <c:v>6978609.9861688837</c:v>
                </c:pt>
                <c:pt idx="226">
                  <c:v>7004719.2674135817</c:v>
                </c:pt>
                <c:pt idx="227">
                  <c:v>7036811.0690064738</c:v>
                </c:pt>
                <c:pt idx="228">
                  <c:v>7070598.9459558129</c:v>
                </c:pt>
                <c:pt idx="229">
                  <c:v>7092894.6274596509</c:v>
                </c:pt>
                <c:pt idx="230">
                  <c:v>7123084.7688044058</c:v>
                </c:pt>
                <c:pt idx="231">
                  <c:v>7146696.1936150631</c:v>
                </c:pt>
                <c:pt idx="232">
                  <c:v>7171376.6598625118</c:v>
                </c:pt>
                <c:pt idx="233">
                  <c:v>7199243.6919311639</c:v>
                </c:pt>
                <c:pt idx="234">
                  <c:v>7226144.4750088695</c:v>
                </c:pt>
                <c:pt idx="235">
                  <c:v>7252089.2883402146</c:v>
                </c:pt>
                <c:pt idx="236">
                  <c:v>7286154.7048933366</c:v>
                </c:pt>
                <c:pt idx="237">
                  <c:v>7311112.7107445672</c:v>
                </c:pt>
                <c:pt idx="238">
                  <c:v>7343512.8896749951</c:v>
                </c:pt>
                <c:pt idx="239">
                  <c:v>7377434.3968039323</c:v>
                </c:pt>
                <c:pt idx="240">
                  <c:v>7407254.4853436444</c:v>
                </c:pt>
                <c:pt idx="241">
                  <c:v>7432572.2647553338</c:v>
                </c:pt>
                <c:pt idx="242">
                  <c:v>7464777.1380386557</c:v>
                </c:pt>
                <c:pt idx="243">
                  <c:v>7495152.3057859316</c:v>
                </c:pt>
                <c:pt idx="244">
                  <c:v>7531119.3825871907</c:v>
                </c:pt>
                <c:pt idx="245">
                  <c:v>7556056.8299492523</c:v>
                </c:pt>
                <c:pt idx="246">
                  <c:v>7588343.9371892503</c:v>
                </c:pt>
                <c:pt idx="247">
                  <c:v>7622286.0028073573</c:v>
                </c:pt>
                <c:pt idx="248">
                  <c:v>7656577.5627413383</c:v>
                </c:pt>
                <c:pt idx="249">
                  <c:v>7683457.7873298749</c:v>
                </c:pt>
                <c:pt idx="250">
                  <c:v>7715590.705901105</c:v>
                </c:pt>
                <c:pt idx="251">
                  <c:v>7746078.9453388117</c:v>
                </c:pt>
                <c:pt idx="252">
                  <c:v>7770255.7286016177</c:v>
                </c:pt>
                <c:pt idx="253">
                  <c:v>7803889.416882189</c:v>
                </c:pt>
                <c:pt idx="254">
                  <c:v>7840195.7087547369</c:v>
                </c:pt>
                <c:pt idx="255">
                  <c:v>7856735.0132912407</c:v>
                </c:pt>
                <c:pt idx="256">
                  <c:v>7865986.3334173141</c:v>
                </c:pt>
                <c:pt idx="257">
                  <c:v>7892938.5127179436</c:v>
                </c:pt>
                <c:pt idx="258">
                  <c:v>7917392.8355845325</c:v>
                </c:pt>
                <c:pt idx="259">
                  <c:v>7944581.437510605</c:v>
                </c:pt>
                <c:pt idx="260">
                  <c:v>7971050.4923157608</c:v>
                </c:pt>
                <c:pt idx="261">
                  <c:v>7995134.7623773068</c:v>
                </c:pt>
                <c:pt idx="262">
                  <c:v>8020771.1983711161</c:v>
                </c:pt>
                <c:pt idx="263">
                  <c:v>8053068.584855699</c:v>
                </c:pt>
                <c:pt idx="264">
                  <c:v>8079702.1075742077</c:v>
                </c:pt>
                <c:pt idx="265">
                  <c:v>8106931.8264786191</c:v>
                </c:pt>
                <c:pt idx="266">
                  <c:v>8129073.3193136891</c:v>
                </c:pt>
                <c:pt idx="267">
                  <c:v>8163354.6000030851</c:v>
                </c:pt>
                <c:pt idx="268">
                  <c:v>8184920.4551414223</c:v>
                </c:pt>
                <c:pt idx="269">
                  <c:v>8210022.3704168359</c:v>
                </c:pt>
                <c:pt idx="270">
                  <c:v>8243337.4021152873</c:v>
                </c:pt>
                <c:pt idx="271">
                  <c:v>8261696.1329432521</c:v>
                </c:pt>
                <c:pt idx="272">
                  <c:v>8287692.3424975192</c:v>
                </c:pt>
                <c:pt idx="273">
                  <c:v>8314623.9633089798</c:v>
                </c:pt>
                <c:pt idx="274">
                  <c:v>8335922.5580881182</c:v>
                </c:pt>
                <c:pt idx="275">
                  <c:v>8365372.5938227875</c:v>
                </c:pt>
                <c:pt idx="276">
                  <c:v>8387750.5092833014</c:v>
                </c:pt>
                <c:pt idx="277">
                  <c:v>8422268.2125981413</c:v>
                </c:pt>
                <c:pt idx="278">
                  <c:v>8449590.4447038136</c:v>
                </c:pt>
                <c:pt idx="279">
                  <c:v>8477416.3597941268</c:v>
                </c:pt>
                <c:pt idx="280">
                  <c:v>8503340.6146363039</c:v>
                </c:pt>
                <c:pt idx="281">
                  <c:v>8538660.0990287364</c:v>
                </c:pt>
                <c:pt idx="282">
                  <c:v>8572756.3533156123</c:v>
                </c:pt>
                <c:pt idx="283">
                  <c:v>8603254.8719979022</c:v>
                </c:pt>
                <c:pt idx="284">
                  <c:v>8631759.217230795</c:v>
                </c:pt>
                <c:pt idx="285">
                  <c:v>8659636.5285440311</c:v>
                </c:pt>
                <c:pt idx="286">
                  <c:v>8695459.6959211063</c:v>
                </c:pt>
                <c:pt idx="287">
                  <c:v>8723480.9166585263</c:v>
                </c:pt>
                <c:pt idx="288">
                  <c:v>8759869.4424877502</c:v>
                </c:pt>
                <c:pt idx="289">
                  <c:v>8794397.425047176</c:v>
                </c:pt>
                <c:pt idx="290">
                  <c:v>8829048.7585416138</c:v>
                </c:pt>
                <c:pt idx="291">
                  <c:v>8856545.7378052231</c:v>
                </c:pt>
                <c:pt idx="292">
                  <c:v>8892081.0863339324</c:v>
                </c:pt>
                <c:pt idx="293">
                  <c:v>8927513.6424167957</c:v>
                </c:pt>
                <c:pt idx="294">
                  <c:v>8943436.1922782268</c:v>
                </c:pt>
                <c:pt idx="295">
                  <c:v>8955606.8178663068</c:v>
                </c:pt>
                <c:pt idx="296">
                  <c:v>8985704.4460097998</c:v>
                </c:pt>
                <c:pt idx="297">
                  <c:v>9007712.3086652718</c:v>
                </c:pt>
                <c:pt idx="298">
                  <c:v>9036021.3482510578</c:v>
                </c:pt>
                <c:pt idx="299">
                  <c:v>9066221.7688403968</c:v>
                </c:pt>
                <c:pt idx="300">
                  <c:v>9089380.9068893362</c:v>
                </c:pt>
                <c:pt idx="301">
                  <c:v>9124648.9950588476</c:v>
                </c:pt>
                <c:pt idx="302">
                  <c:v>9153985.9591030851</c:v>
                </c:pt>
                <c:pt idx="303">
                  <c:v>9188997.0661579836</c:v>
                </c:pt>
                <c:pt idx="304">
                  <c:v>9217419.1774342004</c:v>
                </c:pt>
                <c:pt idx="305">
                  <c:v>9235777.9082621653</c:v>
                </c:pt>
                <c:pt idx="306">
                  <c:v>9245234.8132799286</c:v>
                </c:pt>
                <c:pt idx="307">
                  <c:v>9279495.5354801565</c:v>
                </c:pt>
                <c:pt idx="308">
                  <c:v>9307640.1071525905</c:v>
                </c:pt>
                <c:pt idx="309">
                  <c:v>9340790.670937689</c:v>
                </c:pt>
                <c:pt idx="310">
                  <c:v>9371782.5933600366</c:v>
                </c:pt>
                <c:pt idx="311">
                  <c:v>9405395.7231514379</c:v>
                </c:pt>
                <c:pt idx="312">
                  <c:v>9427722.2423890308</c:v>
                </c:pt>
                <c:pt idx="313">
                  <c:v>9461756.8212083969</c:v>
                </c:pt>
                <c:pt idx="314">
                  <c:v>9495894.1924736109</c:v>
                </c:pt>
                <c:pt idx="315">
                  <c:v>9514365.9949920047</c:v>
                </c:pt>
                <c:pt idx="316">
                  <c:v>9543507.6533891372</c:v>
                </c:pt>
                <c:pt idx="317">
                  <c:v>9578148.707638992</c:v>
                </c:pt>
                <c:pt idx="318">
                  <c:v>9608811.6942346357</c:v>
                </c:pt>
                <c:pt idx="319">
                  <c:v>9637038.4998637456</c:v>
                </c:pt>
                <c:pt idx="320">
                  <c:v>9673149.4860891886</c:v>
                </c:pt>
                <c:pt idx="321">
                  <c:v>9703781.6349510774</c:v>
                </c:pt>
                <c:pt idx="322">
                  <c:v>9739131.9570772648</c:v>
                </c:pt>
                <c:pt idx="323">
                  <c:v>9764686.1591143981</c:v>
                </c:pt>
                <c:pt idx="324">
                  <c:v>9790260.9196406994</c:v>
                </c:pt>
                <c:pt idx="325">
                  <c:v>9821787.3627814427</c:v>
                </c:pt>
                <c:pt idx="326">
                  <c:v>9856233.1113841925</c:v>
                </c:pt>
                <c:pt idx="327">
                  <c:v>9884028.1887407526</c:v>
                </c:pt>
                <c:pt idx="328">
                  <c:v>9917219.8695041891</c:v>
                </c:pt>
                <c:pt idx="329">
                  <c:v>9949722.840880461</c:v>
                </c:pt>
                <c:pt idx="330">
                  <c:v>9979727.955822695</c:v>
                </c:pt>
                <c:pt idx="331">
                  <c:v>9996000</c:v>
                </c:pt>
                <c:pt idx="332">
                  <c:v>9996000</c:v>
                </c:pt>
                <c:pt idx="333">
                  <c:v>9996000</c:v>
                </c:pt>
              </c:numCache>
            </c:numRef>
          </c:xVal>
          <c:yVal>
            <c:numRef>
              <c:f>Wafer1!$N$2:$N$335</c:f>
              <c:numCache>
                <c:formatCode>0.00E+00</c:formatCode>
                <c:ptCount val="334"/>
                <c:pt idx="0">
                  <c:v>1.51455E-6</c:v>
                </c:pt>
                <c:pt idx="1">
                  <c:v>1.3598695E-6</c:v>
                </c:pt>
                <c:pt idx="2">
                  <c:v>1.3053739999999999E-6</c:v>
                </c:pt>
                <c:pt idx="3">
                  <c:v>1.3270735E-6</c:v>
                </c:pt>
                <c:pt idx="4">
                  <c:v>1.4228288E-6</c:v>
                </c:pt>
                <c:pt idx="5">
                  <c:v>1.5202754999999999E-6</c:v>
                </c:pt>
                <c:pt idx="6">
                  <c:v>1.5370238571428571E-6</c:v>
                </c:pt>
                <c:pt idx="7">
                  <c:v>1.5644895E-6</c:v>
                </c:pt>
                <c:pt idx="8">
                  <c:v>1.589602E-6</c:v>
                </c:pt>
                <c:pt idx="9">
                  <c:v>1.6447189000000001E-6</c:v>
                </c:pt>
                <c:pt idx="10">
                  <c:v>1.7119979090909093E-6</c:v>
                </c:pt>
                <c:pt idx="11">
                  <c:v>1.76953575E-6</c:v>
                </c:pt>
                <c:pt idx="12">
                  <c:v>1.8297696923076923E-6</c:v>
                </c:pt>
                <c:pt idx="13">
                  <c:v>1.8781585714285716E-6</c:v>
                </c:pt>
                <c:pt idx="14">
                  <c:v>1.9102441333333336E-6</c:v>
                </c:pt>
                <c:pt idx="15">
                  <c:v>1.9400361250000001E-6</c:v>
                </c:pt>
                <c:pt idx="16">
                  <c:v>1.9908840000000003E-6</c:v>
                </c:pt>
                <c:pt idx="17">
                  <c:v>2.0322558888888892E-6</c:v>
                </c:pt>
                <c:pt idx="18">
                  <c:v>2.0806134210526316E-6</c:v>
                </c:pt>
                <c:pt idx="19">
                  <c:v>2.1310497500000003E-6</c:v>
                </c:pt>
                <c:pt idx="20">
                  <c:v>2.2158487500000001E-6</c:v>
                </c:pt>
                <c:pt idx="21">
                  <c:v>2.2912423500000003E-6</c:v>
                </c:pt>
                <c:pt idx="22">
                  <c:v>2.3706867000000001E-6</c:v>
                </c:pt>
                <c:pt idx="23">
                  <c:v>2.4447647000000001E-6</c:v>
                </c:pt>
                <c:pt idx="24">
                  <c:v>2.5096435000000003E-6</c:v>
                </c:pt>
                <c:pt idx="25">
                  <c:v>2.5774417500000001E-6</c:v>
                </c:pt>
                <c:pt idx="26">
                  <c:v>2.6839746500000002E-6</c:v>
                </c:pt>
                <c:pt idx="27">
                  <c:v>2.7853649999999997E-6</c:v>
                </c:pt>
                <c:pt idx="28">
                  <c:v>2.8965834499999998E-6</c:v>
                </c:pt>
                <c:pt idx="29">
                  <c:v>2.9858242E-6</c:v>
                </c:pt>
                <c:pt idx="30">
                  <c:v>3.0554666499999997E-6</c:v>
                </c:pt>
                <c:pt idx="31">
                  <c:v>3.1296132500000001E-6</c:v>
                </c:pt>
                <c:pt idx="32">
                  <c:v>3.1905938999999995E-6</c:v>
                </c:pt>
                <c:pt idx="33">
                  <c:v>3.26338875E-6</c:v>
                </c:pt>
                <c:pt idx="34">
                  <c:v>3.352465499999999E-6</c:v>
                </c:pt>
                <c:pt idx="35">
                  <c:v>3.448247349999999E-6</c:v>
                </c:pt>
                <c:pt idx="36">
                  <c:v>3.5355190499999993E-6</c:v>
                </c:pt>
                <c:pt idx="37">
                  <c:v>3.6318495999999996E-6</c:v>
                </c:pt>
                <c:pt idx="38">
                  <c:v>3.7095983999999993E-6</c:v>
                </c:pt>
                <c:pt idx="39">
                  <c:v>3.7891805999999992E-6</c:v>
                </c:pt>
                <c:pt idx="40">
                  <c:v>3.8600953499999991E-6</c:v>
                </c:pt>
                <c:pt idx="41">
                  <c:v>3.9583410499999995E-6</c:v>
                </c:pt>
                <c:pt idx="42">
                  <c:v>4.0659232499999997E-6</c:v>
                </c:pt>
                <c:pt idx="43">
                  <c:v>4.1527500999999993E-6</c:v>
                </c:pt>
                <c:pt idx="44">
                  <c:v>4.2381458999999993E-6</c:v>
                </c:pt>
                <c:pt idx="45">
                  <c:v>4.3140649000000001E-6</c:v>
                </c:pt>
                <c:pt idx="46">
                  <c:v>4.3799191999999987E-6</c:v>
                </c:pt>
                <c:pt idx="47">
                  <c:v>4.4536737999999992E-6</c:v>
                </c:pt>
                <c:pt idx="48">
                  <c:v>4.5162428999999994E-6</c:v>
                </c:pt>
                <c:pt idx="49">
                  <c:v>4.5808788499999998E-6</c:v>
                </c:pt>
                <c:pt idx="50">
                  <c:v>4.6567972E-6</c:v>
                </c:pt>
                <c:pt idx="51">
                  <c:v>4.7351874E-6</c:v>
                </c:pt>
                <c:pt idx="52">
                  <c:v>4.82821505E-6</c:v>
                </c:pt>
                <c:pt idx="53">
                  <c:v>4.9226031500000007E-6</c:v>
                </c:pt>
                <c:pt idx="54">
                  <c:v>5.0022172500000007E-6</c:v>
                </c:pt>
                <c:pt idx="55">
                  <c:v>5.0820246000000001E-6</c:v>
                </c:pt>
                <c:pt idx="56">
                  <c:v>5.1352684500000003E-6</c:v>
                </c:pt>
                <c:pt idx="57">
                  <c:v>5.1938793000000002E-6</c:v>
                </c:pt>
                <c:pt idx="58">
                  <c:v>5.2522728000000001E-6</c:v>
                </c:pt>
                <c:pt idx="59">
                  <c:v>5.3069810500000007E-6</c:v>
                </c:pt>
                <c:pt idx="60">
                  <c:v>5.3789358000000006E-6</c:v>
                </c:pt>
                <c:pt idx="61">
                  <c:v>5.4547834500000006E-6</c:v>
                </c:pt>
                <c:pt idx="62">
                  <c:v>5.5128017999999997E-6</c:v>
                </c:pt>
                <c:pt idx="63">
                  <c:v>5.5819685499999997E-6</c:v>
                </c:pt>
                <c:pt idx="64">
                  <c:v>5.6511832500000002E-6</c:v>
                </c:pt>
                <c:pt idx="65">
                  <c:v>5.7335906499999994E-6</c:v>
                </c:pt>
                <c:pt idx="66">
                  <c:v>5.8114732999999995E-6</c:v>
                </c:pt>
                <c:pt idx="67">
                  <c:v>5.8887061499999989E-6</c:v>
                </c:pt>
                <c:pt idx="68">
                  <c:v>5.9762150499999998E-6</c:v>
                </c:pt>
                <c:pt idx="69">
                  <c:v>6.0560463999999982E-6</c:v>
                </c:pt>
                <c:pt idx="70">
                  <c:v>6.138641949999999E-6</c:v>
                </c:pt>
                <c:pt idx="71">
                  <c:v>6.2071387499999996E-6</c:v>
                </c:pt>
                <c:pt idx="72">
                  <c:v>6.2671048499999993E-6</c:v>
                </c:pt>
                <c:pt idx="73">
                  <c:v>6.3287859000000004E-6</c:v>
                </c:pt>
                <c:pt idx="74">
                  <c:v>6.3957345999999997E-6</c:v>
                </c:pt>
                <c:pt idx="75">
                  <c:v>6.4610677999999991E-6</c:v>
                </c:pt>
                <c:pt idx="76">
                  <c:v>6.5347665499999997E-6</c:v>
                </c:pt>
                <c:pt idx="77">
                  <c:v>6.6159323500000011E-6</c:v>
                </c:pt>
                <c:pt idx="78">
                  <c:v>6.7182373499999996E-6</c:v>
                </c:pt>
                <c:pt idx="79">
                  <c:v>6.8213853999999992E-6</c:v>
                </c:pt>
                <c:pt idx="80">
                  <c:v>6.90664195E-6</c:v>
                </c:pt>
                <c:pt idx="81">
                  <c:v>7.0003980999999994E-6</c:v>
                </c:pt>
                <c:pt idx="82">
                  <c:v>7.0903650500000008E-6</c:v>
                </c:pt>
                <c:pt idx="83">
                  <c:v>7.1951314000000012E-6</c:v>
                </c:pt>
                <c:pt idx="84">
                  <c:v>7.3006617999999997E-6</c:v>
                </c:pt>
                <c:pt idx="85">
                  <c:v>7.3736047999999996E-6</c:v>
                </c:pt>
                <c:pt idx="86">
                  <c:v>7.4422519999999986E-6</c:v>
                </c:pt>
                <c:pt idx="87">
                  <c:v>7.5033677999999984E-6</c:v>
                </c:pt>
                <c:pt idx="88">
                  <c:v>7.5721615499999981E-6</c:v>
                </c:pt>
                <c:pt idx="89">
                  <c:v>7.6569946499999987E-6</c:v>
                </c:pt>
                <c:pt idx="90">
                  <c:v>7.7294918999999993E-6</c:v>
                </c:pt>
                <c:pt idx="91">
                  <c:v>7.8261571499999995E-6</c:v>
                </c:pt>
                <c:pt idx="92">
                  <c:v>7.9247595E-6</c:v>
                </c:pt>
                <c:pt idx="93">
                  <c:v>8.0260195000000008E-6</c:v>
                </c:pt>
                <c:pt idx="94">
                  <c:v>8.1344545499999995E-6</c:v>
                </c:pt>
                <c:pt idx="95">
                  <c:v>8.2366342999999978E-6</c:v>
                </c:pt>
                <c:pt idx="96">
                  <c:v>8.3432385999999986E-6</c:v>
                </c:pt>
                <c:pt idx="97">
                  <c:v>8.4349048499999991E-6</c:v>
                </c:pt>
                <c:pt idx="98">
                  <c:v>8.5309615500000006E-6</c:v>
                </c:pt>
                <c:pt idx="99">
                  <c:v>8.6349014000000001E-6</c:v>
                </c:pt>
                <c:pt idx="100">
                  <c:v>8.7372111E-6</c:v>
                </c:pt>
                <c:pt idx="101">
                  <c:v>8.8355965500000001E-6</c:v>
                </c:pt>
                <c:pt idx="102">
                  <c:v>8.9252051000000025E-6</c:v>
                </c:pt>
                <c:pt idx="103">
                  <c:v>9.015217150000002E-6</c:v>
                </c:pt>
                <c:pt idx="104">
                  <c:v>9.0883574500000022E-6</c:v>
                </c:pt>
                <c:pt idx="105">
                  <c:v>9.2097173500000014E-6</c:v>
                </c:pt>
                <c:pt idx="106">
                  <c:v>9.323232600000003E-6</c:v>
                </c:pt>
                <c:pt idx="107">
                  <c:v>9.4420870500000026E-6</c:v>
                </c:pt>
                <c:pt idx="108">
                  <c:v>9.5271502499999998E-6</c:v>
                </c:pt>
                <c:pt idx="109">
                  <c:v>9.6321595500000024E-6</c:v>
                </c:pt>
                <c:pt idx="110">
                  <c:v>9.7693965500000013E-6</c:v>
                </c:pt>
                <c:pt idx="111">
                  <c:v>9.866565600000002E-6</c:v>
                </c:pt>
                <c:pt idx="112">
                  <c:v>9.9715084999999992E-6</c:v>
                </c:pt>
                <c:pt idx="113">
                  <c:v>1.0081080299999999E-5</c:v>
                </c:pt>
                <c:pt idx="114">
                  <c:v>1.0189801599999998E-5</c:v>
                </c:pt>
                <c:pt idx="115">
                  <c:v>1.0299819149999999E-5</c:v>
                </c:pt>
                <c:pt idx="116">
                  <c:v>1.0391737049999998E-5</c:v>
                </c:pt>
                <c:pt idx="117">
                  <c:v>1.0502496699999998E-5</c:v>
                </c:pt>
                <c:pt idx="118">
                  <c:v>1.060299925E-5</c:v>
                </c:pt>
                <c:pt idx="119">
                  <c:v>1.0701589899999997E-5</c:v>
                </c:pt>
                <c:pt idx="120">
                  <c:v>1.0764753649999998E-5</c:v>
                </c:pt>
                <c:pt idx="121">
                  <c:v>1.0858501649999998E-5</c:v>
                </c:pt>
                <c:pt idx="122">
                  <c:v>1.0945480099999999E-5</c:v>
                </c:pt>
                <c:pt idx="123">
                  <c:v>1.1030731500000002E-5</c:v>
                </c:pt>
                <c:pt idx="124">
                  <c:v>1.1131628000000002E-5</c:v>
                </c:pt>
                <c:pt idx="125">
                  <c:v>1.1227129000000002E-5</c:v>
                </c:pt>
                <c:pt idx="126">
                  <c:v>1.1305219000000002E-5</c:v>
                </c:pt>
                <c:pt idx="127">
                  <c:v>1.1367433500000001E-5</c:v>
                </c:pt>
                <c:pt idx="128">
                  <c:v>1.1451442500000003E-5</c:v>
                </c:pt>
                <c:pt idx="129">
                  <c:v>1.1521990500000003E-5</c:v>
                </c:pt>
                <c:pt idx="130">
                  <c:v>1.1567862500000002E-5</c:v>
                </c:pt>
                <c:pt idx="131">
                  <c:v>1.1634022000000003E-5</c:v>
                </c:pt>
                <c:pt idx="132">
                  <c:v>1.1716445000000002E-5</c:v>
                </c:pt>
                <c:pt idx="133">
                  <c:v>1.1777555500000002E-5</c:v>
                </c:pt>
                <c:pt idx="134">
                  <c:v>1.1851172000000003E-5</c:v>
                </c:pt>
                <c:pt idx="135">
                  <c:v>1.1897513500000003E-5</c:v>
                </c:pt>
                <c:pt idx="136">
                  <c:v>1.1987847500000002E-5</c:v>
                </c:pt>
                <c:pt idx="137">
                  <c:v>1.2067562500000002E-5</c:v>
                </c:pt>
                <c:pt idx="138">
                  <c:v>1.21374255E-5</c:v>
                </c:pt>
                <c:pt idx="139">
                  <c:v>1.2183701500000001E-5</c:v>
                </c:pt>
                <c:pt idx="140">
                  <c:v>1.2307638000000001E-5</c:v>
                </c:pt>
                <c:pt idx="141">
                  <c:v>1.2410179500000002E-5</c:v>
                </c:pt>
                <c:pt idx="142">
                  <c:v>1.2504179500000002E-5</c:v>
                </c:pt>
                <c:pt idx="143">
                  <c:v>1.2587511000000001E-5</c:v>
                </c:pt>
                <c:pt idx="144">
                  <c:v>1.2681971000000001E-5</c:v>
                </c:pt>
                <c:pt idx="145">
                  <c:v>1.27239285E-5</c:v>
                </c:pt>
                <c:pt idx="146">
                  <c:v>1.2823151999999998E-5</c:v>
                </c:pt>
                <c:pt idx="147">
                  <c:v>1.2948297999999997E-5</c:v>
                </c:pt>
                <c:pt idx="148">
                  <c:v>1.3051510999999999E-5</c:v>
                </c:pt>
                <c:pt idx="149">
                  <c:v>1.3141394500000001E-5</c:v>
                </c:pt>
                <c:pt idx="150">
                  <c:v>1.32444495E-5</c:v>
                </c:pt>
                <c:pt idx="151">
                  <c:v>1.3349140499999996E-5</c:v>
                </c:pt>
                <c:pt idx="152">
                  <c:v>1.3433653999999997E-5</c:v>
                </c:pt>
                <c:pt idx="153">
                  <c:v>1.3521051499999997E-5</c:v>
                </c:pt>
                <c:pt idx="154">
                  <c:v>1.3599044E-5</c:v>
                </c:pt>
                <c:pt idx="155">
                  <c:v>1.3728125500000001E-5</c:v>
                </c:pt>
                <c:pt idx="156">
                  <c:v>1.38016055E-5</c:v>
                </c:pt>
                <c:pt idx="157">
                  <c:v>1.3865017499999998E-5</c:v>
                </c:pt>
                <c:pt idx="158">
                  <c:v>1.3961312999999999E-5</c:v>
                </c:pt>
                <c:pt idx="159">
                  <c:v>1.4059953000000001E-5</c:v>
                </c:pt>
                <c:pt idx="160">
                  <c:v>1.4142972500000001E-5</c:v>
                </c:pt>
                <c:pt idx="161">
                  <c:v>1.4220911050000001E-5</c:v>
                </c:pt>
                <c:pt idx="162">
                  <c:v>1.4321129049999999E-5</c:v>
                </c:pt>
                <c:pt idx="163">
                  <c:v>1.444017205E-5</c:v>
                </c:pt>
                <c:pt idx="164">
                  <c:v>1.4531275099999999E-5</c:v>
                </c:pt>
                <c:pt idx="165">
                  <c:v>1.46607086E-5</c:v>
                </c:pt>
                <c:pt idx="166">
                  <c:v>1.4745746100000001E-5</c:v>
                </c:pt>
                <c:pt idx="167">
                  <c:v>1.4815997049999999E-5</c:v>
                </c:pt>
                <c:pt idx="168">
                  <c:v>1.4905263549999997E-5</c:v>
                </c:pt>
                <c:pt idx="169">
                  <c:v>1.4979175549999999E-5</c:v>
                </c:pt>
                <c:pt idx="170">
                  <c:v>1.5050701049999998E-5</c:v>
                </c:pt>
                <c:pt idx="171">
                  <c:v>1.5163629550000001E-5</c:v>
                </c:pt>
                <c:pt idx="172">
                  <c:v>1.530207955E-5</c:v>
                </c:pt>
                <c:pt idx="173">
                  <c:v>1.5420540550000002E-5</c:v>
                </c:pt>
                <c:pt idx="174">
                  <c:v>1.5512067099999998E-5</c:v>
                </c:pt>
                <c:pt idx="175">
                  <c:v>1.5572454099999999E-5</c:v>
                </c:pt>
                <c:pt idx="176">
                  <c:v>1.5671358599999998E-5</c:v>
                </c:pt>
                <c:pt idx="177">
                  <c:v>1.5775851600000001E-5</c:v>
                </c:pt>
                <c:pt idx="178">
                  <c:v>1.5866666550000003E-5</c:v>
                </c:pt>
                <c:pt idx="179">
                  <c:v>1.5989183999999995E-5</c:v>
                </c:pt>
                <c:pt idx="180">
                  <c:v>1.6090681499999998E-5</c:v>
                </c:pt>
                <c:pt idx="181">
                  <c:v>1.6177518499999999E-5</c:v>
                </c:pt>
                <c:pt idx="182">
                  <c:v>1.6282530499999999E-5</c:v>
                </c:pt>
                <c:pt idx="183">
                  <c:v>1.639296255E-5</c:v>
                </c:pt>
                <c:pt idx="184">
                  <c:v>1.648848705E-5</c:v>
                </c:pt>
                <c:pt idx="185">
                  <c:v>1.6572993999999996E-5</c:v>
                </c:pt>
                <c:pt idx="186">
                  <c:v>1.6701240050000001E-5</c:v>
                </c:pt>
                <c:pt idx="187">
                  <c:v>1.6819046650000001E-5</c:v>
                </c:pt>
                <c:pt idx="188">
                  <c:v>1.6942305199999999E-5</c:v>
                </c:pt>
                <c:pt idx="189">
                  <c:v>1.7103480699999996E-5</c:v>
                </c:pt>
                <c:pt idx="190">
                  <c:v>1.7238201699999998E-5</c:v>
                </c:pt>
                <c:pt idx="191">
                  <c:v>1.7351755199999999E-5</c:v>
                </c:pt>
                <c:pt idx="192">
                  <c:v>1.7452088749999999E-5</c:v>
                </c:pt>
                <c:pt idx="193">
                  <c:v>1.7563114200000003E-5</c:v>
                </c:pt>
                <c:pt idx="194">
                  <c:v>1.7695242099999999E-5</c:v>
                </c:pt>
                <c:pt idx="195">
                  <c:v>1.7853390100000002E-5</c:v>
                </c:pt>
                <c:pt idx="196">
                  <c:v>1.8007484599999999E-5</c:v>
                </c:pt>
                <c:pt idx="197">
                  <c:v>1.8177109649999999E-5</c:v>
                </c:pt>
                <c:pt idx="198">
                  <c:v>1.8293641649999998E-5</c:v>
                </c:pt>
                <c:pt idx="199">
                  <c:v>1.8420842250000002E-5</c:v>
                </c:pt>
                <c:pt idx="200">
                  <c:v>1.8513153800000002E-5</c:v>
                </c:pt>
                <c:pt idx="201">
                  <c:v>1.8612377750000002E-5</c:v>
                </c:pt>
                <c:pt idx="202">
                  <c:v>1.8711609700000001E-5</c:v>
                </c:pt>
                <c:pt idx="203">
                  <c:v>1.8812697200000002E-5</c:v>
                </c:pt>
                <c:pt idx="204">
                  <c:v>1.8915772149999997E-5</c:v>
                </c:pt>
                <c:pt idx="205">
                  <c:v>1.901740975E-5</c:v>
                </c:pt>
                <c:pt idx="206">
                  <c:v>1.909830075E-5</c:v>
                </c:pt>
                <c:pt idx="207">
                  <c:v>1.9194616200000001E-5</c:v>
                </c:pt>
                <c:pt idx="208">
                  <c:v>1.9302805699999999E-5</c:v>
                </c:pt>
                <c:pt idx="209">
                  <c:v>1.9399201199999998E-5</c:v>
                </c:pt>
                <c:pt idx="210">
                  <c:v>1.9518853250000004E-5</c:v>
                </c:pt>
                <c:pt idx="211">
                  <c:v>1.9610465749999999E-5</c:v>
                </c:pt>
                <c:pt idx="212">
                  <c:v>1.9665374199999999E-5</c:v>
                </c:pt>
                <c:pt idx="213">
                  <c:v>1.9711636200000001E-5</c:v>
                </c:pt>
                <c:pt idx="214">
                  <c:v>1.9772465749999999E-5</c:v>
                </c:pt>
                <c:pt idx="215">
                  <c:v>1.982265825E-5</c:v>
                </c:pt>
                <c:pt idx="216">
                  <c:v>1.9856371749999996E-5</c:v>
                </c:pt>
                <c:pt idx="217">
                  <c:v>1.9867898199999998E-5</c:v>
                </c:pt>
                <c:pt idx="218">
                  <c:v>1.9959063799999995E-5</c:v>
                </c:pt>
                <c:pt idx="219">
                  <c:v>2.0004071199999998E-5</c:v>
                </c:pt>
                <c:pt idx="220">
                  <c:v>2.0117280649999999E-5</c:v>
                </c:pt>
                <c:pt idx="221">
                  <c:v>2.0229162149999996E-5</c:v>
                </c:pt>
                <c:pt idx="222">
                  <c:v>2.0334302649999997E-5</c:v>
                </c:pt>
                <c:pt idx="223">
                  <c:v>2.0414978099999998E-5</c:v>
                </c:pt>
                <c:pt idx="224">
                  <c:v>2.0521670099999997E-5</c:v>
                </c:pt>
                <c:pt idx="225">
                  <c:v>2.0596037549999996E-5</c:v>
                </c:pt>
                <c:pt idx="226">
                  <c:v>2.0671977499999996E-5</c:v>
                </c:pt>
                <c:pt idx="227">
                  <c:v>2.0763398499999994E-5</c:v>
                </c:pt>
                <c:pt idx="228">
                  <c:v>2.0811228449999994E-5</c:v>
                </c:pt>
                <c:pt idx="229">
                  <c:v>2.0882816449999999E-5</c:v>
                </c:pt>
                <c:pt idx="230">
                  <c:v>2.0937162899999997E-5</c:v>
                </c:pt>
                <c:pt idx="231">
                  <c:v>2.1002028449999999E-5</c:v>
                </c:pt>
                <c:pt idx="232">
                  <c:v>2.110320145E-5</c:v>
                </c:pt>
                <c:pt idx="233">
                  <c:v>2.1225291499999998E-5</c:v>
                </c:pt>
                <c:pt idx="234">
                  <c:v>2.1325145500000001E-5</c:v>
                </c:pt>
                <c:pt idx="235">
                  <c:v>2.1408965500000004E-5</c:v>
                </c:pt>
                <c:pt idx="236">
                  <c:v>2.149677395E-5</c:v>
                </c:pt>
                <c:pt idx="237">
                  <c:v>2.1618937950000002E-5</c:v>
                </c:pt>
                <c:pt idx="238">
                  <c:v>2.1699886400000004E-5</c:v>
                </c:pt>
                <c:pt idx="239">
                  <c:v>2.1775599499999997E-5</c:v>
                </c:pt>
                <c:pt idx="240">
                  <c:v>2.1810958549999997E-5</c:v>
                </c:pt>
                <c:pt idx="241">
                  <c:v>2.18347291E-5</c:v>
                </c:pt>
                <c:pt idx="242">
                  <c:v>2.1872981650000006E-5</c:v>
                </c:pt>
                <c:pt idx="243">
                  <c:v>2.1917926150000001E-5</c:v>
                </c:pt>
                <c:pt idx="244">
                  <c:v>2.1973644600000003E-5</c:v>
                </c:pt>
                <c:pt idx="245">
                  <c:v>2.2105636600000002E-5</c:v>
                </c:pt>
                <c:pt idx="246">
                  <c:v>2.2193160100000005E-5</c:v>
                </c:pt>
                <c:pt idx="247">
                  <c:v>2.2273896100000001E-5</c:v>
                </c:pt>
                <c:pt idx="248">
                  <c:v>2.2408099149999998E-5</c:v>
                </c:pt>
                <c:pt idx="249">
                  <c:v>2.2520151149999998E-5</c:v>
                </c:pt>
                <c:pt idx="250">
                  <c:v>2.26252192E-5</c:v>
                </c:pt>
                <c:pt idx="251">
                  <c:v>2.2761731149999995E-5</c:v>
                </c:pt>
                <c:pt idx="252">
                  <c:v>2.2888387099999999E-5</c:v>
                </c:pt>
                <c:pt idx="253">
                  <c:v>2.3004467049999999E-5</c:v>
                </c:pt>
                <c:pt idx="254">
                  <c:v>2.3113799049999995E-5</c:v>
                </c:pt>
                <c:pt idx="255">
                  <c:v>2.3230741099999998E-5</c:v>
                </c:pt>
                <c:pt idx="256">
                  <c:v>2.33719812E-5</c:v>
                </c:pt>
                <c:pt idx="257">
                  <c:v>2.3487377250000004E-5</c:v>
                </c:pt>
                <c:pt idx="258">
                  <c:v>2.359876225E-5</c:v>
                </c:pt>
                <c:pt idx="259">
                  <c:v>2.3745034700000001E-5</c:v>
                </c:pt>
                <c:pt idx="260">
                  <c:v>2.3875303600000003E-5</c:v>
                </c:pt>
                <c:pt idx="261">
                  <c:v>2.4037535100000002E-5</c:v>
                </c:pt>
                <c:pt idx="262">
                  <c:v>2.4203178650000001E-5</c:v>
                </c:pt>
                <c:pt idx="263">
                  <c:v>2.43609886E-5</c:v>
                </c:pt>
                <c:pt idx="264">
                  <c:v>2.4502774200000001E-5</c:v>
                </c:pt>
                <c:pt idx="265">
                  <c:v>2.4611387200000001E-5</c:v>
                </c:pt>
                <c:pt idx="266">
                  <c:v>2.4727071649999995E-5</c:v>
                </c:pt>
                <c:pt idx="267">
                  <c:v>2.4837828199999994E-5</c:v>
                </c:pt>
                <c:pt idx="268">
                  <c:v>2.4935862599999999E-5</c:v>
                </c:pt>
                <c:pt idx="269">
                  <c:v>2.4993862050000003E-5</c:v>
                </c:pt>
                <c:pt idx="270">
                  <c:v>2.5074019549999997E-5</c:v>
                </c:pt>
                <c:pt idx="271">
                  <c:v>2.5114048500000003E-5</c:v>
                </c:pt>
                <c:pt idx="272">
                  <c:v>2.5150822000000003E-5</c:v>
                </c:pt>
                <c:pt idx="273">
                  <c:v>2.5199898549999997E-5</c:v>
                </c:pt>
                <c:pt idx="274">
                  <c:v>2.52968476E-5</c:v>
                </c:pt>
                <c:pt idx="275">
                  <c:v>2.5391251600000008E-5</c:v>
                </c:pt>
                <c:pt idx="276">
                  <c:v>2.5476621600000003E-5</c:v>
                </c:pt>
                <c:pt idx="277">
                  <c:v>2.5536080499999998E-5</c:v>
                </c:pt>
                <c:pt idx="278">
                  <c:v>2.5610157499999998E-5</c:v>
                </c:pt>
                <c:pt idx="279">
                  <c:v>2.5669427450000001E-5</c:v>
                </c:pt>
                <c:pt idx="280">
                  <c:v>2.5747941949999997E-5</c:v>
                </c:pt>
                <c:pt idx="281">
                  <c:v>2.5790855899999999E-5</c:v>
                </c:pt>
                <c:pt idx="282">
                  <c:v>2.5875124850000003E-5</c:v>
                </c:pt>
                <c:pt idx="283">
                  <c:v>2.5934747899999997E-5</c:v>
                </c:pt>
                <c:pt idx="284">
                  <c:v>2.6018414300000001E-5</c:v>
                </c:pt>
                <c:pt idx="285">
                  <c:v>2.6058711750000002E-5</c:v>
                </c:pt>
                <c:pt idx="286">
                  <c:v>2.6133870749999999E-5</c:v>
                </c:pt>
                <c:pt idx="287">
                  <c:v>2.6219065199999999E-5</c:v>
                </c:pt>
                <c:pt idx="288">
                  <c:v>2.630753775E-5</c:v>
                </c:pt>
                <c:pt idx="289">
                  <c:v>2.6410180800000005E-5</c:v>
                </c:pt>
                <c:pt idx="290">
                  <c:v>2.650068525E-5</c:v>
                </c:pt>
                <c:pt idx="291">
                  <c:v>2.6633054300000007E-5</c:v>
                </c:pt>
                <c:pt idx="292">
                  <c:v>2.6770843300000004E-5</c:v>
                </c:pt>
                <c:pt idx="293">
                  <c:v>2.6892014799999997E-5</c:v>
                </c:pt>
                <c:pt idx="294">
                  <c:v>2.6978939299999998E-5</c:v>
                </c:pt>
                <c:pt idx="295">
                  <c:v>2.7081804749999997E-5</c:v>
                </c:pt>
                <c:pt idx="296">
                  <c:v>2.7147262699999997E-5</c:v>
                </c:pt>
                <c:pt idx="297">
                  <c:v>2.7269869249999999E-5</c:v>
                </c:pt>
                <c:pt idx="298">
                  <c:v>2.7383862750000004E-5</c:v>
                </c:pt>
                <c:pt idx="299">
                  <c:v>2.7484758850000002E-5</c:v>
                </c:pt>
                <c:pt idx="300">
                  <c:v>2.7583055850000002E-5</c:v>
                </c:pt>
                <c:pt idx="301">
                  <c:v>2.7683739800000004E-5</c:v>
                </c:pt>
                <c:pt idx="302">
                  <c:v>2.773604885E-5</c:v>
                </c:pt>
                <c:pt idx="303">
                  <c:v>2.7800501799999998E-5</c:v>
                </c:pt>
                <c:pt idx="304">
                  <c:v>2.7833572300000002E-5</c:v>
                </c:pt>
                <c:pt idx="305">
                  <c:v>2.7902485799999998E-5</c:v>
                </c:pt>
                <c:pt idx="306">
                  <c:v>2.7984465849999999E-5</c:v>
                </c:pt>
                <c:pt idx="307">
                  <c:v>2.8055090849999996E-5</c:v>
                </c:pt>
                <c:pt idx="308">
                  <c:v>2.811141485E-5</c:v>
                </c:pt>
                <c:pt idx="309">
                  <c:v>2.8218996899999999E-5</c:v>
                </c:pt>
                <c:pt idx="310">
                  <c:v>2.8304697949999999E-5</c:v>
                </c:pt>
                <c:pt idx="311">
                  <c:v>2.8354582450000001E-5</c:v>
                </c:pt>
                <c:pt idx="312">
                  <c:v>2.8397643500000003E-5</c:v>
                </c:pt>
                <c:pt idx="313">
                  <c:v>2.8497165950000003E-5</c:v>
                </c:pt>
                <c:pt idx="314">
                  <c:v>2.859182085E-5</c:v>
                </c:pt>
                <c:pt idx="315">
                  <c:v>2.8651061800000004E-5</c:v>
                </c:pt>
                <c:pt idx="316">
                  <c:v>2.8742472850000007E-5</c:v>
                </c:pt>
                <c:pt idx="317">
                  <c:v>2.8785851400000011E-5</c:v>
                </c:pt>
                <c:pt idx="318">
                  <c:v>2.883573895000001E-5</c:v>
                </c:pt>
                <c:pt idx="319">
                  <c:v>2.8912068900000004E-5</c:v>
                </c:pt>
                <c:pt idx="320">
                  <c:v>2.9024196450000004E-5</c:v>
                </c:pt>
                <c:pt idx="321">
                  <c:v>2.9120918500000002E-5</c:v>
                </c:pt>
                <c:pt idx="322">
                  <c:v>2.9225013950000001E-5</c:v>
                </c:pt>
                <c:pt idx="323">
                  <c:v>2.9341156999999999E-5</c:v>
                </c:pt>
                <c:pt idx="324">
                  <c:v>2.9481637449999996E-5</c:v>
                </c:pt>
                <c:pt idx="325">
                  <c:v>2.9621550949999998E-5</c:v>
                </c:pt>
                <c:pt idx="326">
                  <c:v>2.9735300899999994E-5</c:v>
                </c:pt>
                <c:pt idx="327">
                  <c:v>2.9841254949999999E-5</c:v>
                </c:pt>
                <c:pt idx="328">
                  <c:v>2.9946460850000001E-5</c:v>
                </c:pt>
                <c:pt idx="329">
                  <c:v>3.00584693E-5</c:v>
                </c:pt>
                <c:pt idx="330">
                  <c:v>3.0180422249999999E-5</c:v>
                </c:pt>
                <c:pt idx="331">
                  <c:v>3.02854077E-5</c:v>
                </c:pt>
                <c:pt idx="332">
                  <c:v>3.0372364200000002E-5</c:v>
                </c:pt>
                <c:pt idx="333">
                  <c:v>3.0407555299999995E-5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3E1-40D8-A61B-3860D7BB359A}"/>
            </c:ext>
          </c:extLst>
        </c:ser>
        <c:ser>
          <c:idx val="4"/>
          <c:order val="4"/>
          <c:tx>
            <c:strRef>
              <c:f>GRAPH!$S$32</c:f>
              <c:strCache>
                <c:ptCount val="1"/>
                <c:pt idx="0">
                  <c:v>IDS__R141-2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Wafer1!$Q$2:$Q$349</c:f>
              <c:numCache>
                <c:formatCode>0.00E+00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710.48797990302614</c:v>
                </c:pt>
                <c:pt idx="3">
                  <c:v>33660.655163811483</c:v>
                </c:pt>
                <c:pt idx="4">
                  <c:v>58785.157641541678</c:v>
                </c:pt>
                <c:pt idx="5">
                  <c:v>92476.703587088079</c:v>
                </c:pt>
                <c:pt idx="6">
                  <c:v>126672.79896763807</c:v>
                </c:pt>
                <c:pt idx="7">
                  <c:v>157182.59439448832</c:v>
                </c:pt>
                <c:pt idx="8">
                  <c:v>192799.66573484437</c:v>
                </c:pt>
                <c:pt idx="9">
                  <c:v>214484.99451275411</c:v>
                </c:pt>
                <c:pt idx="10">
                  <c:v>242286.69807417688</c:v>
                </c:pt>
                <c:pt idx="11">
                  <c:v>270912.15581519733</c:v>
                </c:pt>
                <c:pt idx="12">
                  <c:v>300351.07080857054</c:v>
                </c:pt>
                <c:pt idx="13">
                  <c:v>326845.06460988196</c:v>
                </c:pt>
                <c:pt idx="14">
                  <c:v>361864.91417002963</c:v>
                </c:pt>
                <c:pt idx="15">
                  <c:v>376115.86147707008</c:v>
                </c:pt>
                <c:pt idx="16">
                  <c:v>383179.55356712046</c:v>
                </c:pt>
                <c:pt idx="17">
                  <c:v>409725.03200465668</c:v>
                </c:pt>
                <c:pt idx="18">
                  <c:v>442047.08662662189</c:v>
                </c:pt>
                <c:pt idx="19">
                  <c:v>477499.4071310584</c:v>
                </c:pt>
                <c:pt idx="20">
                  <c:v>514187.35890489147</c:v>
                </c:pt>
                <c:pt idx="21">
                  <c:v>550844.4198969896</c:v>
                </c:pt>
                <c:pt idx="22">
                  <c:v>583846.07171712292</c:v>
                </c:pt>
                <c:pt idx="23">
                  <c:v>619648.48774788843</c:v>
                </c:pt>
                <c:pt idx="24">
                  <c:v>650178.87702922861</c:v>
                </c:pt>
                <c:pt idx="25">
                  <c:v>677022.96635686909</c:v>
                </c:pt>
                <c:pt idx="26">
                  <c:v>711641.23575446289</c:v>
                </c:pt>
                <c:pt idx="27">
                  <c:v>742078.95269059832</c:v>
                </c:pt>
                <c:pt idx="28">
                  <c:v>771157.47523039754</c:v>
                </c:pt>
                <c:pt idx="29">
                  <c:v>807649.7853865762</c:v>
                </c:pt>
                <c:pt idx="30">
                  <c:v>843194.77823621745</c:v>
                </c:pt>
                <c:pt idx="31">
                  <c:v>856549.89287294529</c:v>
                </c:pt>
                <c:pt idx="32">
                  <c:v>869081.25333007553</c:v>
                </c:pt>
                <c:pt idx="33">
                  <c:v>883115.96516497154</c:v>
                </c:pt>
                <c:pt idx="34">
                  <c:v>910011.53912883683</c:v>
                </c:pt>
                <c:pt idx="35">
                  <c:v>941437.76108048949</c:v>
                </c:pt>
                <c:pt idx="36">
                  <c:v>972040.22885254445</c:v>
                </c:pt>
                <c:pt idx="37">
                  <c:v>1001674.7854635721</c:v>
                </c:pt>
                <c:pt idx="38">
                  <c:v>1035901.771625857</c:v>
                </c:pt>
                <c:pt idx="39">
                  <c:v>1068357.6863020069</c:v>
                </c:pt>
                <c:pt idx="40">
                  <c:v>1101400.5258311201</c:v>
                </c:pt>
                <c:pt idx="41">
                  <c:v>1130911.5193152081</c:v>
                </c:pt>
                <c:pt idx="42">
                  <c:v>1140333.2077443569</c:v>
                </c:pt>
                <c:pt idx="43">
                  <c:v>1152205.5648578089</c:v>
                </c:pt>
                <c:pt idx="44">
                  <c:v>1167455.3141076115</c:v>
                </c:pt>
                <c:pt idx="45">
                  <c:v>1195473.2531411787</c:v>
                </c:pt>
                <c:pt idx="46">
                  <c:v>1231244.7783902092</c:v>
                </c:pt>
                <c:pt idx="47">
                  <c:v>1262691.5941963519</c:v>
                </c:pt>
                <c:pt idx="48">
                  <c:v>1289422.4173242976</c:v>
                </c:pt>
                <c:pt idx="49">
                  <c:v>1310737.0567213884</c:v>
                </c:pt>
                <c:pt idx="50">
                  <c:v>1338754.9957549556</c:v>
                </c:pt>
                <c:pt idx="51">
                  <c:v>1369408.9481632356</c:v>
                </c:pt>
                <c:pt idx="52">
                  <c:v>1403388.808071641</c:v>
                </c:pt>
                <c:pt idx="53">
                  <c:v>1440622.4969894576</c:v>
                </c:pt>
                <c:pt idx="54">
                  <c:v>1475549.6742044005</c:v>
                </c:pt>
                <c:pt idx="55">
                  <c:v>1501302.2892440739</c:v>
                </c:pt>
                <c:pt idx="56">
                  <c:v>1509982.5989115848</c:v>
                </c:pt>
                <c:pt idx="57">
                  <c:v>1542768.0152595739</c:v>
                </c:pt>
                <c:pt idx="58">
                  <c:v>1576974.4075673688</c:v>
                </c:pt>
                <c:pt idx="59">
                  <c:v>1591740.2012366578</c:v>
                </c:pt>
                <c:pt idx="60">
                  <c:v>1616792.6252236732</c:v>
                </c:pt>
                <c:pt idx="61">
                  <c:v>1637056.9780417769</c:v>
                </c:pt>
                <c:pt idx="62">
                  <c:v>1672179.7968743744</c:v>
                </c:pt>
                <c:pt idx="63">
                  <c:v>1690971.6890964471</c:v>
                </c:pt>
                <c:pt idx="64">
                  <c:v>1720472.3856532902</c:v>
                </c:pt>
                <c:pt idx="65">
                  <c:v>1751970.6860956575</c:v>
                </c:pt>
                <c:pt idx="66">
                  <c:v>1784910.5563523211</c:v>
                </c:pt>
                <c:pt idx="67">
                  <c:v>1820568.815401657</c:v>
                </c:pt>
                <c:pt idx="68">
                  <c:v>1854991.4431815965</c:v>
                </c:pt>
                <c:pt idx="69">
                  <c:v>1884399.4673932346</c:v>
                </c:pt>
                <c:pt idx="70">
                  <c:v>1915980.143253562</c:v>
                </c:pt>
                <c:pt idx="71">
                  <c:v>1935019.1617295141</c:v>
                </c:pt>
                <c:pt idx="72">
                  <c:v>1949826.1431077828</c:v>
                </c:pt>
                <c:pt idx="73">
                  <c:v>1981952.5561120936</c:v>
                </c:pt>
                <c:pt idx="74">
                  <c:v>2017250.4227078557</c:v>
                </c:pt>
                <c:pt idx="75">
                  <c:v>2034806.6836605319</c:v>
                </c:pt>
                <c:pt idx="76">
                  <c:v>2066716.8611926981</c:v>
                </c:pt>
                <c:pt idx="77">
                  <c:v>2095424.6943516785</c:v>
                </c:pt>
                <c:pt idx="78">
                  <c:v>2124029.5582382088</c:v>
                </c:pt>
                <c:pt idx="79">
                  <c:v>2142069.7747713989</c:v>
                </c:pt>
                <c:pt idx="80">
                  <c:v>2175823.1022804151</c:v>
                </c:pt>
                <c:pt idx="81">
                  <c:v>2200412.1645414066</c:v>
                </c:pt>
                <c:pt idx="82">
                  <c:v>2213715.7945419098</c:v>
                </c:pt>
                <c:pt idx="83">
                  <c:v>2227266.5507962923</c:v>
                </c:pt>
                <c:pt idx="84">
                  <c:v>2245069.9380028476</c:v>
                </c:pt>
                <c:pt idx="85">
                  <c:v>2273592.4264714182</c:v>
                </c:pt>
                <c:pt idx="86">
                  <c:v>2309291.8732297341</c:v>
                </c:pt>
                <c:pt idx="87">
                  <c:v>2316376.1591742747</c:v>
                </c:pt>
                <c:pt idx="88">
                  <c:v>2333747.0754365413</c:v>
                </c:pt>
                <c:pt idx="89">
                  <c:v>2355700.1243228205</c:v>
                </c:pt>
                <c:pt idx="90">
                  <c:v>2390750.8646647031</c:v>
                </c:pt>
                <c:pt idx="91">
                  <c:v>2412178.7702614884</c:v>
                </c:pt>
                <c:pt idx="92">
                  <c:v>2431609.0719727492</c:v>
                </c:pt>
                <c:pt idx="93">
                  <c:v>2452923.71136984</c:v>
                </c:pt>
                <c:pt idx="94">
                  <c:v>2475546.0605270425</c:v>
                </c:pt>
                <c:pt idx="95">
                  <c:v>2493699.5432599271</c:v>
                </c:pt>
                <c:pt idx="96">
                  <c:v>2499702.6518437453</c:v>
                </c:pt>
                <c:pt idx="97">
                  <c:v>2526330.5056992411</c:v>
                </c:pt>
                <c:pt idx="98">
                  <c:v>2550991.6464509475</c:v>
                </c:pt>
                <c:pt idx="99">
                  <c:v>2565479.4230846227</c:v>
                </c:pt>
                <c:pt idx="100">
                  <c:v>2571214.8115600715</c:v>
                </c:pt>
                <c:pt idx="101">
                  <c:v>2584642.0046875142</c:v>
                </c:pt>
                <c:pt idx="102">
                  <c:v>2617880.4858342819</c:v>
                </c:pt>
                <c:pt idx="103">
                  <c:v>2651613.219488808</c:v>
                </c:pt>
                <c:pt idx="104">
                  <c:v>2682205.390333618</c:v>
                </c:pt>
                <c:pt idx="105">
                  <c:v>2715176.1513720164</c:v>
                </c:pt>
                <c:pt idx="106">
                  <c:v>2746890.6872865283</c:v>
                </c:pt>
                <c:pt idx="107">
                  <c:v>2765178.0300735976</c:v>
                </c:pt>
                <c:pt idx="108">
                  <c:v>2791177.7713671504</c:v>
                </c:pt>
                <c:pt idx="109">
                  <c:v>2806427.5206169533</c:v>
                </c:pt>
                <c:pt idx="110">
                  <c:v>2842137.264302514</c:v>
                </c:pt>
                <c:pt idx="111">
                  <c:v>2868497.3980496405</c:v>
                </c:pt>
                <c:pt idx="112">
                  <c:v>2881893.7003953485</c:v>
                </c:pt>
                <c:pt idx="113">
                  <c:v>2916409.0005204924</c:v>
                </c:pt>
                <c:pt idx="114">
                  <c:v>2921928.1535237972</c:v>
                </c:pt>
                <c:pt idx="115">
                  <c:v>2950430.0481378781</c:v>
                </c:pt>
                <c:pt idx="116">
                  <c:v>2978283.2363355258</c:v>
                </c:pt>
                <c:pt idx="117">
                  <c:v>3006249.6907328679</c:v>
                </c:pt>
                <c:pt idx="118">
                  <c:v>3035050.1962370528</c:v>
                </c:pt>
                <c:pt idx="119">
                  <c:v>3062553.2889083717</c:v>
                </c:pt>
                <c:pt idx="120">
                  <c:v>3088810.4533830485</c:v>
                </c:pt>
                <c:pt idx="121">
                  <c:v>3121132.5080050137</c:v>
                </c:pt>
                <c:pt idx="122">
                  <c:v>3139934.6971543315</c:v>
                </c:pt>
                <c:pt idx="123">
                  <c:v>3158222.0399414008</c:v>
                </c:pt>
                <c:pt idx="124">
                  <c:v>3186064.9312118036</c:v>
                </c:pt>
                <c:pt idx="125">
                  <c:v>3199214.107303632</c:v>
                </c:pt>
                <c:pt idx="126">
                  <c:v>3210571.6180548351</c:v>
                </c:pt>
                <c:pt idx="127">
                  <c:v>3221661.4086976694</c:v>
                </c:pt>
                <c:pt idx="128">
                  <c:v>3231258.1448899829</c:v>
                </c:pt>
                <c:pt idx="129">
                  <c:v>3237199.4719103314</c:v>
                </c:pt>
                <c:pt idx="130">
                  <c:v>3268337.3798991246</c:v>
                </c:pt>
                <c:pt idx="131">
                  <c:v>3291793.7801631698</c:v>
                </c:pt>
                <c:pt idx="132">
                  <c:v>3323673.066913601</c:v>
                </c:pt>
                <c:pt idx="133">
                  <c:v>3356633.5310247545</c:v>
                </c:pt>
                <c:pt idx="134">
                  <c:v>3366219.9702898227</c:v>
                </c:pt>
                <c:pt idx="135">
                  <c:v>3389336.5719547835</c:v>
                </c:pt>
                <c:pt idx="136">
                  <c:v>3413853.5557250604</c:v>
                </c:pt>
                <c:pt idx="137">
                  <c:v>3445609.2793485522</c:v>
                </c:pt>
                <c:pt idx="138">
                  <c:v>3480103.9856192064</c:v>
                </c:pt>
                <c:pt idx="139">
                  <c:v>3513280.685202504</c:v>
                </c:pt>
                <c:pt idx="140">
                  <c:v>3541998.8152887295</c:v>
                </c:pt>
                <c:pt idx="141">
                  <c:v>3574804.8254912081</c:v>
                </c:pt>
                <c:pt idx="142">
                  <c:v>3608413.9960187948</c:v>
                </c:pt>
                <c:pt idx="143">
                  <c:v>3638264.788101967</c:v>
                </c:pt>
                <c:pt idx="144">
                  <c:v>3671122.2829406708</c:v>
                </c:pt>
                <c:pt idx="145">
                  <c:v>3703526.7129805959</c:v>
                </c:pt>
                <c:pt idx="146">
                  <c:v>3734994.1226412281</c:v>
                </c:pt>
                <c:pt idx="147">
                  <c:v>3763073.8432382653</c:v>
                </c:pt>
                <c:pt idx="148">
                  <c:v>3796724.2014748319</c:v>
                </c:pt>
                <c:pt idx="149">
                  <c:v>3833648.9825752992</c:v>
                </c:pt>
                <c:pt idx="150">
                  <c:v>3863190.866841122</c:v>
                </c:pt>
                <c:pt idx="151">
                  <c:v>3893906.6008128719</c:v>
                </c:pt>
                <c:pt idx="152">
                  <c:v>3926990.6280509648</c:v>
                </c:pt>
                <c:pt idx="153">
                  <c:v>3954226.0006139143</c:v>
                </c:pt>
                <c:pt idx="154">
                  <c:v>3988864.8638659981</c:v>
                </c:pt>
                <c:pt idx="155">
                  <c:v>4023761.1502992059</c:v>
                </c:pt>
                <c:pt idx="156">
                  <c:v>4066287.4598209378</c:v>
                </c:pt>
                <c:pt idx="157">
                  <c:v>4101317.6063083308</c:v>
                </c:pt>
                <c:pt idx="158">
                  <c:v>4134360.4458374437</c:v>
                </c:pt>
                <c:pt idx="159">
                  <c:v>4169709.7970694304</c:v>
                </c:pt>
                <c:pt idx="160">
                  <c:v>4198582.3810643302</c:v>
                </c:pt>
                <c:pt idx="161">
                  <c:v>4232109.1761739571</c:v>
                </c:pt>
                <c:pt idx="162">
                  <c:v>4256049.5320185153</c:v>
                </c:pt>
                <c:pt idx="163">
                  <c:v>4286106.2626465876</c:v>
                </c:pt>
                <c:pt idx="164">
                  <c:v>4317851.6893428341</c:v>
                </c:pt>
                <c:pt idx="165">
                  <c:v>4351100.4674168462</c:v>
                </c:pt>
                <c:pt idx="166">
                  <c:v>4383000.348021768</c:v>
                </c:pt>
                <c:pt idx="167">
                  <c:v>4416207.9383868007</c:v>
                </c:pt>
                <c:pt idx="168">
                  <c:v>4450259.8767859209</c:v>
                </c:pt>
                <c:pt idx="169">
                  <c:v>4484569.2383661661</c:v>
                </c:pt>
                <c:pt idx="170">
                  <c:v>4517498.8116955841</c:v>
                </c:pt>
                <c:pt idx="171">
                  <c:v>4549007.4090651972</c:v>
                </c:pt>
                <c:pt idx="172">
                  <c:v>4583327.0675726868</c:v>
                </c:pt>
                <c:pt idx="173">
                  <c:v>4616977.425809253</c:v>
                </c:pt>
                <c:pt idx="174">
                  <c:v>4645098.3341152696</c:v>
                </c:pt>
                <c:pt idx="175">
                  <c:v>4678470.675316222</c:v>
                </c:pt>
                <c:pt idx="176">
                  <c:v>4714273.0913469875</c:v>
                </c:pt>
                <c:pt idx="177">
                  <c:v>4740344.9111312553</c:v>
                </c:pt>
                <c:pt idx="178">
                  <c:v>4770144.2185782026</c:v>
                </c:pt>
                <c:pt idx="179">
                  <c:v>4804855.160321001</c:v>
                </c:pt>
                <c:pt idx="180">
                  <c:v>4832976.0686270176</c:v>
                </c:pt>
                <c:pt idx="181">
                  <c:v>4866029.2050833758</c:v>
                </c:pt>
                <c:pt idx="182">
                  <c:v>4900595.989844745</c:v>
                </c:pt>
                <c:pt idx="183">
                  <c:v>4931754.491688028</c:v>
                </c:pt>
                <c:pt idx="184">
                  <c:v>4960307.8709383337</c:v>
                </c:pt>
                <c:pt idx="185">
                  <c:v>4993381.6012491826</c:v>
                </c:pt>
                <c:pt idx="186">
                  <c:v>5022872.0008787801</c:v>
                </c:pt>
                <c:pt idx="187">
                  <c:v>5049901.4348968305</c:v>
                </c:pt>
                <c:pt idx="188">
                  <c:v>5080823.1074134791</c:v>
                </c:pt>
                <c:pt idx="189">
                  <c:v>5112970.1142722797</c:v>
                </c:pt>
                <c:pt idx="190">
                  <c:v>5143459.3158446401</c:v>
                </c:pt>
                <c:pt idx="191">
                  <c:v>5176378.5922468137</c:v>
                </c:pt>
                <c:pt idx="192">
                  <c:v>5210358.4521552194</c:v>
                </c:pt>
                <c:pt idx="193">
                  <c:v>5243854.3564831112</c:v>
                </c:pt>
                <c:pt idx="194">
                  <c:v>5277134.0253388593</c:v>
                </c:pt>
                <c:pt idx="195">
                  <c:v>5309744.3939236831</c:v>
                </c:pt>
                <c:pt idx="196">
                  <c:v>5339965.8753876742</c:v>
                </c:pt>
                <c:pt idx="197">
                  <c:v>5368560.4423469603</c:v>
                </c:pt>
                <c:pt idx="198">
                  <c:v>5400213.1966980016</c:v>
                </c:pt>
                <c:pt idx="199">
                  <c:v>5434409.2920785518</c:v>
                </c:pt>
                <c:pt idx="200">
                  <c:v>5463158.3129465124</c:v>
                </c:pt>
                <c:pt idx="201">
                  <c:v>5493493.0606101975</c:v>
                </c:pt>
                <c:pt idx="202">
                  <c:v>5528914.4903328996</c:v>
                </c:pt>
                <c:pt idx="203">
                  <c:v>5563501.8689487586</c:v>
                </c:pt>
                <c:pt idx="204">
                  <c:v>5598346.6707457416</c:v>
                </c:pt>
                <c:pt idx="205">
                  <c:v>5632995.8309250697</c:v>
                </c:pt>
                <c:pt idx="206">
                  <c:v>5665760.6534185689</c:v>
                </c:pt>
                <c:pt idx="207">
                  <c:v>5698824.0868021725</c:v>
                </c:pt>
                <c:pt idx="208">
                  <c:v>5728633.6911763642</c:v>
                </c:pt>
                <c:pt idx="209">
                  <c:v>5760512.9779267963</c:v>
                </c:pt>
                <c:pt idx="210">
                  <c:v>5792412.8585317172</c:v>
                </c:pt>
                <c:pt idx="211">
                  <c:v>5825404.2134246053</c:v>
                </c:pt>
                <c:pt idx="212">
                  <c:v>5849694.6647954928</c:v>
                </c:pt>
                <c:pt idx="213">
                  <c:v>5884148.1833571671</c:v>
                </c:pt>
                <c:pt idx="214">
                  <c:v>5917366.0706494451</c:v>
                </c:pt>
                <c:pt idx="215">
                  <c:v>5946578.4532434288</c:v>
                </c:pt>
                <c:pt idx="216">
                  <c:v>5980249.4053344857</c:v>
                </c:pt>
                <c:pt idx="217">
                  <c:v>6013178.9786639037</c:v>
                </c:pt>
                <c:pt idx="218">
                  <c:v>6039508.2216292955</c:v>
                </c:pt>
                <c:pt idx="219">
                  <c:v>6071150.6790530933</c:v>
                </c:pt>
                <c:pt idx="220">
                  <c:v>6105357.071360888</c:v>
                </c:pt>
                <c:pt idx="221">
                  <c:v>6139233.961996844</c:v>
                </c:pt>
                <c:pt idx="222">
                  <c:v>6171339.7811466642</c:v>
                </c:pt>
                <c:pt idx="223">
                  <c:v>6203157.2863336261</c:v>
                </c:pt>
                <c:pt idx="224">
                  <c:v>6235942.702681615</c:v>
                </c:pt>
                <c:pt idx="225">
                  <c:v>6271477.3986040112</c:v>
                </c:pt>
                <c:pt idx="226">
                  <c:v>6304870.3336594533</c:v>
                </c:pt>
                <c:pt idx="227">
                  <c:v>6336667.2449919255</c:v>
                </c:pt>
                <c:pt idx="228">
                  <c:v>6364530.7301168181</c:v>
                </c:pt>
                <c:pt idx="229">
                  <c:v>6381314.7215261208</c:v>
                </c:pt>
                <c:pt idx="230">
                  <c:v>6407468.9167283485</c:v>
                </c:pt>
                <c:pt idx="231">
                  <c:v>6430482.5491208592</c:v>
                </c:pt>
                <c:pt idx="232">
                  <c:v>6462959.0576514993</c:v>
                </c:pt>
                <c:pt idx="233">
                  <c:v>6493365.8838058999</c:v>
                </c:pt>
                <c:pt idx="234">
                  <c:v>6526079.2216631742</c:v>
                </c:pt>
                <c:pt idx="235">
                  <c:v>6560810.7572604623</c:v>
                </c:pt>
                <c:pt idx="236">
                  <c:v>6594368.4431518242</c:v>
                </c:pt>
                <c:pt idx="237">
                  <c:v>6627359.7980447123</c:v>
                </c:pt>
                <c:pt idx="238">
                  <c:v>6662544.3984407801</c:v>
                </c:pt>
                <c:pt idx="239">
                  <c:v>6695525.4564064229</c:v>
                </c:pt>
                <c:pt idx="240">
                  <c:v>6725129.1222357163</c:v>
                </c:pt>
                <c:pt idx="241">
                  <c:v>6756133.1701703249</c:v>
                </c:pt>
                <c:pt idx="242">
                  <c:v>6783080.2287704153</c:v>
                </c:pt>
                <c:pt idx="243">
                  <c:v>6813672.3996152254</c:v>
                </c:pt>
                <c:pt idx="244">
                  <c:v>6846735.832998828</c:v>
                </c:pt>
                <c:pt idx="245">
                  <c:v>6879943.4233638607</c:v>
                </c:pt>
                <c:pt idx="246">
                  <c:v>6910762.1266080607</c:v>
                </c:pt>
                <c:pt idx="247">
                  <c:v>6944031.4985365625</c:v>
                </c:pt>
                <c:pt idx="248">
                  <c:v>6977558.2936461894</c:v>
                </c:pt>
                <c:pt idx="249">
                  <c:v>7009468.4711783556</c:v>
                </c:pt>
                <c:pt idx="250">
                  <c:v>7043746.9419768658</c:v>
                </c:pt>
                <c:pt idx="251">
                  <c:v>7077139.8770323079</c:v>
                </c:pt>
                <c:pt idx="252">
                  <c:v>7109183.9146186588</c:v>
                </c:pt>
                <c:pt idx="253">
                  <c:v>7135780.87769242</c:v>
                </c:pt>
                <c:pt idx="254">
                  <c:v>7167804.3214242812</c:v>
                </c:pt>
                <c:pt idx="255">
                  <c:v>7199024.6048310343</c:v>
                </c:pt>
                <c:pt idx="256">
                  <c:v>7232551.3999406612</c:v>
                </c:pt>
                <c:pt idx="257">
                  <c:v>7267210.8570472347</c:v>
                </c:pt>
                <c:pt idx="258">
                  <c:v>7299151.925361136</c:v>
                </c:pt>
                <c:pt idx="259">
                  <c:v>7334037.9148670994</c:v>
                </c:pt>
                <c:pt idx="260">
                  <c:v>7367770.6485216254</c:v>
                </c:pt>
                <c:pt idx="261">
                  <c:v>7396612.3417347902</c:v>
                </c:pt>
                <c:pt idx="262">
                  <c:v>7432672.1809466807</c:v>
                </c:pt>
                <c:pt idx="263">
                  <c:v>7459361.8163656462</c:v>
                </c:pt>
                <c:pt idx="264">
                  <c:v>7492394.3589675147</c:v>
                </c:pt>
                <c:pt idx="265">
                  <c:v>7526343.3280941853</c:v>
                </c:pt>
                <c:pt idx="266">
                  <c:v>7561600.0069809668</c:v>
                </c:pt>
                <c:pt idx="267">
                  <c:v>7593613.1537855836</c:v>
                </c:pt>
                <c:pt idx="268">
                  <c:v>7627314.9966583746</c:v>
                </c:pt>
                <c:pt idx="269">
                  <c:v>7659997.4437339138</c:v>
                </c:pt>
                <c:pt idx="270">
                  <c:v>7693102.0648264969</c:v>
                </c:pt>
                <c:pt idx="271">
                  <c:v>7727988.0543324593</c:v>
                </c:pt>
                <c:pt idx="272">
                  <c:v>7759857.0441556461</c:v>
                </c:pt>
                <c:pt idx="273">
                  <c:v>7793054.3375934344</c:v>
                </c:pt>
                <c:pt idx="274">
                  <c:v>7825427.8768516239</c:v>
                </c:pt>
                <c:pt idx="275">
                  <c:v>7859387.1429055398</c:v>
                </c:pt>
                <c:pt idx="276">
                  <c:v>7891503.2589826053</c:v>
                </c:pt>
                <c:pt idx="277">
                  <c:v>7925864.1051990753</c:v>
                </c:pt>
                <c:pt idx="278">
                  <c:v>7959390.9003087021</c:v>
                </c:pt>
                <c:pt idx="279">
                  <c:v>7993463.4325623121</c:v>
                </c:pt>
                <c:pt idx="280">
                  <c:v>8023993.8218436521</c:v>
                </c:pt>
                <c:pt idx="281">
                  <c:v>8052742.8427116126</c:v>
                </c:pt>
                <c:pt idx="282">
                  <c:v>8086372.607093689</c:v>
                </c:pt>
                <c:pt idx="283">
                  <c:v>8116841.2148115598</c:v>
                </c:pt>
                <c:pt idx="284">
                  <c:v>8139957.8164765202</c:v>
                </c:pt>
                <c:pt idx="285">
                  <c:v>8172084.229480831</c:v>
                </c:pt>
                <c:pt idx="286">
                  <c:v>8206486.2634062804</c:v>
                </c:pt>
                <c:pt idx="287">
                  <c:v>8239302.5705360044</c:v>
                </c:pt>
                <c:pt idx="288">
                  <c:v>8268916.5332925422</c:v>
                </c:pt>
                <c:pt idx="289">
                  <c:v>8299694.0488277618</c:v>
                </c:pt>
                <c:pt idx="290">
                  <c:v>8331985.2126679914</c:v>
                </c:pt>
                <c:pt idx="291">
                  <c:v>8359076.4282495119</c:v>
                </c:pt>
                <c:pt idx="292">
                  <c:v>8391758.8753250502</c:v>
                </c:pt>
                <c:pt idx="293">
                  <c:v>8421527.2919902634</c:v>
                </c:pt>
                <c:pt idx="294">
                  <c:v>8450605.8145300616</c:v>
                </c:pt>
                <c:pt idx="295">
                  <c:v>8482886.6814430468</c:v>
                </c:pt>
                <c:pt idx="296">
                  <c:v>8515466.1592461374</c:v>
                </c:pt>
                <c:pt idx="297">
                  <c:v>8551556.889239762</c:v>
                </c:pt>
                <c:pt idx="298">
                  <c:v>8586319.3156187851</c:v>
                </c:pt>
                <c:pt idx="299">
                  <c:v>8615943.5753025673</c:v>
                </c:pt>
                <c:pt idx="300">
                  <c:v>8648584.8346691281</c:v>
                </c:pt>
                <c:pt idx="301">
                  <c:v>8678229.6882073991</c:v>
                </c:pt>
                <c:pt idx="302">
                  <c:v>8706278.5180227011</c:v>
                </c:pt>
                <c:pt idx="303">
                  <c:v>8737282.5659573115</c:v>
                </c:pt>
                <c:pt idx="304">
                  <c:v>8772734.8864617478</c:v>
                </c:pt>
                <c:pt idx="305">
                  <c:v>8802400.3338545095</c:v>
                </c:pt>
                <c:pt idx="306">
                  <c:v>8829676.8941264395</c:v>
                </c:pt>
                <c:pt idx="307">
                  <c:v>8861638.5562948305</c:v>
                </c:pt>
                <c:pt idx="308">
                  <c:v>8890768.5634708535</c:v>
                </c:pt>
                <c:pt idx="309">
                  <c:v>8922606.6625123061</c:v>
                </c:pt>
                <c:pt idx="310">
                  <c:v>8956514.4439299963</c:v>
                </c:pt>
                <c:pt idx="311">
                  <c:v>8989886.7851309497</c:v>
                </c:pt>
                <c:pt idx="312">
                  <c:v>9023825.457330374</c:v>
                </c:pt>
                <c:pt idx="313">
                  <c:v>9048126.2056285068</c:v>
                </c:pt>
                <c:pt idx="314">
                  <c:v>9072529.9231990892</c:v>
                </c:pt>
                <c:pt idx="315">
                  <c:v>9101701.1180840936</c:v>
                </c:pt>
                <c:pt idx="316">
                  <c:v>9131047.3607322611</c:v>
                </c:pt>
                <c:pt idx="317">
                  <c:v>9164368.2172969896</c:v>
                </c:pt>
                <c:pt idx="318">
                  <c:v>9198275.9987146799</c:v>
                </c:pt>
                <c:pt idx="319">
                  <c:v>9230567.1625549104</c:v>
                </c:pt>
                <c:pt idx="320">
                  <c:v>9263383.4696846344</c:v>
                </c:pt>
                <c:pt idx="321">
                  <c:v>9291370.5179364663</c:v>
                </c:pt>
                <c:pt idx="322">
                  <c:v>9322446.6443617903</c:v>
                </c:pt>
                <c:pt idx="323">
                  <c:v>9347560.8499122746</c:v>
                </c:pt>
                <c:pt idx="324">
                  <c:v>9380552.2048051637</c:v>
                </c:pt>
                <c:pt idx="325">
                  <c:v>9414017.2183513213</c:v>
                </c:pt>
                <c:pt idx="326">
                  <c:v>9441798.328058254</c:v>
                </c:pt>
                <c:pt idx="327">
                  <c:v>9474408.6966430787</c:v>
                </c:pt>
                <c:pt idx="328">
                  <c:v>9508151.7272248492</c:v>
                </c:pt>
                <c:pt idx="329">
                  <c:v>9535809.2738048416</c:v>
                </c:pt>
                <c:pt idx="330">
                  <c:v>9569964.1814764123</c:v>
                </c:pt>
                <c:pt idx="331">
                  <c:v>9604448.5908198208</c:v>
                </c:pt>
                <c:pt idx="332">
                  <c:v>9638253.4029650632</c:v>
                </c:pt>
                <c:pt idx="333">
                  <c:v>9664356.1135310642</c:v>
                </c:pt>
                <c:pt idx="334">
                  <c:v>9693578.7930522934</c:v>
                </c:pt>
                <c:pt idx="335">
                  <c:v>9727043.806598451</c:v>
                </c:pt>
                <c:pt idx="336">
                  <c:v>9759551.2059108261</c:v>
                </c:pt>
                <c:pt idx="337">
                  <c:v>9793541.3627464753</c:v>
                </c:pt>
                <c:pt idx="338">
                  <c:v>9830116.0483206138</c:v>
                </c:pt>
                <c:pt idx="339">
                  <c:v>9861099.5024007335</c:v>
                </c:pt>
                <c:pt idx="340">
                  <c:v>9892989.0860784091</c:v>
                </c:pt>
                <c:pt idx="341">
                  <c:v>9925898.0655533392</c:v>
                </c:pt>
                <c:pt idx="342">
                  <c:v>9960495.7410964426</c:v>
                </c:pt>
                <c:pt idx="343">
                  <c:v>9995402.3244568948</c:v>
                </c:pt>
                <c:pt idx="344">
                  <c:v>10025953.307592725</c:v>
                </c:pt>
                <c:pt idx="345">
                  <c:v>10030000</c:v>
                </c:pt>
                <c:pt idx="346">
                  <c:v>10030000</c:v>
                </c:pt>
                <c:pt idx="347">
                  <c:v>10030000</c:v>
                </c:pt>
              </c:numCache>
            </c:numRef>
          </c:xVal>
          <c:yVal>
            <c:numRef>
              <c:f>Wafer1!$R$2:$R$349</c:f>
              <c:numCache>
                <c:formatCode>0.00E+00</c:formatCode>
                <c:ptCount val="348"/>
                <c:pt idx="0">
                  <c:v>7.2641819299999997E-7</c:v>
                </c:pt>
                <c:pt idx="1">
                  <c:v>1.2138830965E-6</c:v>
                </c:pt>
                <c:pt idx="2">
                  <c:v>1.1826693976666668E-6</c:v>
                </c:pt>
                <c:pt idx="3">
                  <c:v>1.23292604825E-6</c:v>
                </c:pt>
                <c:pt idx="4">
                  <c:v>1.2881960386000001E-6</c:v>
                </c:pt>
                <c:pt idx="5">
                  <c:v>1.3204291988333334E-6</c:v>
                </c:pt>
                <c:pt idx="6">
                  <c:v>1.317598599E-6</c:v>
                </c:pt>
                <c:pt idx="7">
                  <c:v>1.343170149125E-6</c:v>
                </c:pt>
                <c:pt idx="8">
                  <c:v>1.372161577E-6</c:v>
                </c:pt>
                <c:pt idx="9">
                  <c:v>1.4052161193E-6</c:v>
                </c:pt>
                <c:pt idx="10">
                  <c:v>1.4397508357272727E-6</c:v>
                </c:pt>
                <c:pt idx="11">
                  <c:v>1.4587930994166667E-6</c:v>
                </c:pt>
                <c:pt idx="12">
                  <c:v>1.5000299379230771E-6</c:v>
                </c:pt>
                <c:pt idx="13">
                  <c:v>1.5260096566428573E-6</c:v>
                </c:pt>
                <c:pt idx="14">
                  <c:v>1.5584136128666668E-6</c:v>
                </c:pt>
                <c:pt idx="15">
                  <c:v>1.5998249495625001E-6</c:v>
                </c:pt>
                <c:pt idx="16">
                  <c:v>1.6232781878235294E-6</c:v>
                </c:pt>
                <c:pt idx="17">
                  <c:v>1.6480143996111112E-6</c:v>
                </c:pt>
                <c:pt idx="18">
                  <c:v>1.6624645891052633E-6</c:v>
                </c:pt>
                <c:pt idx="19">
                  <c:v>1.70312570965E-6</c:v>
                </c:pt>
                <c:pt idx="20">
                  <c:v>1.7915599500000001E-6</c:v>
                </c:pt>
                <c:pt idx="21">
                  <c:v>1.82442315E-6</c:v>
                </c:pt>
                <c:pt idx="22">
                  <c:v>1.89451115E-6</c:v>
                </c:pt>
                <c:pt idx="23">
                  <c:v>1.94780455E-6</c:v>
                </c:pt>
                <c:pt idx="24">
                  <c:v>1.9905933999999998E-6</c:v>
                </c:pt>
                <c:pt idx="25">
                  <c:v>2.05362035E-6</c:v>
                </c:pt>
                <c:pt idx="26">
                  <c:v>2.1337646500000005E-6</c:v>
                </c:pt>
                <c:pt idx="27">
                  <c:v>2.2063899500000003E-6</c:v>
                </c:pt>
                <c:pt idx="28">
                  <c:v>2.2639825000000003E-6</c:v>
                </c:pt>
                <c:pt idx="29">
                  <c:v>2.3136115500000004E-6</c:v>
                </c:pt>
                <c:pt idx="30">
                  <c:v>2.3576512500000003E-6</c:v>
                </c:pt>
                <c:pt idx="31">
                  <c:v>2.40986795E-6</c:v>
                </c:pt>
                <c:pt idx="32">
                  <c:v>2.4533756500000005E-6</c:v>
                </c:pt>
                <c:pt idx="33">
                  <c:v>2.5233051500000003E-6</c:v>
                </c:pt>
                <c:pt idx="34">
                  <c:v>2.5863622E-6</c:v>
                </c:pt>
                <c:pt idx="35">
                  <c:v>2.6259167500000001E-6</c:v>
                </c:pt>
                <c:pt idx="36">
                  <c:v>2.6768656000000003E-6</c:v>
                </c:pt>
                <c:pt idx="37">
                  <c:v>2.7292643999999999E-6</c:v>
                </c:pt>
                <c:pt idx="38">
                  <c:v>2.8003242500000002E-6</c:v>
                </c:pt>
                <c:pt idx="39">
                  <c:v>2.84071835E-6</c:v>
                </c:pt>
                <c:pt idx="40">
                  <c:v>2.8842817000000002E-6</c:v>
                </c:pt>
                <c:pt idx="41">
                  <c:v>2.94809965E-6</c:v>
                </c:pt>
                <c:pt idx="42">
                  <c:v>2.9893872499999998E-6</c:v>
                </c:pt>
                <c:pt idx="43">
                  <c:v>3.0428492000000001E-6</c:v>
                </c:pt>
                <c:pt idx="44">
                  <c:v>3.1100092999999997E-6</c:v>
                </c:pt>
                <c:pt idx="45">
                  <c:v>3.1672057999999998E-6</c:v>
                </c:pt>
                <c:pt idx="46">
                  <c:v>3.2219016999999998E-6</c:v>
                </c:pt>
                <c:pt idx="47">
                  <c:v>3.2828781999999996E-6</c:v>
                </c:pt>
                <c:pt idx="48">
                  <c:v>3.3412192500000009E-6</c:v>
                </c:pt>
                <c:pt idx="49">
                  <c:v>3.3979313500000001E-6</c:v>
                </c:pt>
                <c:pt idx="50">
                  <c:v>3.4662484000000006E-6</c:v>
                </c:pt>
                <c:pt idx="51">
                  <c:v>3.5381114499999995E-6</c:v>
                </c:pt>
                <c:pt idx="52">
                  <c:v>3.5974916999999994E-6</c:v>
                </c:pt>
                <c:pt idx="53">
                  <c:v>3.6421220999999995E-6</c:v>
                </c:pt>
                <c:pt idx="54">
                  <c:v>3.6908824999999997E-6</c:v>
                </c:pt>
                <c:pt idx="55">
                  <c:v>3.7497378999999993E-6</c:v>
                </c:pt>
                <c:pt idx="56">
                  <c:v>3.8215319499999998E-6</c:v>
                </c:pt>
                <c:pt idx="57">
                  <c:v>3.8867896499999993E-6</c:v>
                </c:pt>
                <c:pt idx="58">
                  <c:v>3.9562696499999995E-6</c:v>
                </c:pt>
                <c:pt idx="59">
                  <c:v>4.0286130999999995E-6</c:v>
                </c:pt>
                <c:pt idx="60">
                  <c:v>4.1122079499999996E-6</c:v>
                </c:pt>
                <c:pt idx="61">
                  <c:v>4.1628430500000011E-6</c:v>
                </c:pt>
                <c:pt idx="62">
                  <c:v>4.223461300000001E-6</c:v>
                </c:pt>
                <c:pt idx="63">
                  <c:v>4.291303750000001E-6</c:v>
                </c:pt>
                <c:pt idx="64">
                  <c:v>4.362284000000001E-6</c:v>
                </c:pt>
                <c:pt idx="65">
                  <c:v>4.4171504500000011E-6</c:v>
                </c:pt>
                <c:pt idx="66">
                  <c:v>4.4781747000000007E-6</c:v>
                </c:pt>
                <c:pt idx="67">
                  <c:v>4.5341521499999991E-6</c:v>
                </c:pt>
                <c:pt idx="68">
                  <c:v>4.6098194500000004E-6</c:v>
                </c:pt>
                <c:pt idx="69">
                  <c:v>4.6978562499999999E-6</c:v>
                </c:pt>
                <c:pt idx="70">
                  <c:v>4.7640970999999999E-6</c:v>
                </c:pt>
                <c:pt idx="71">
                  <c:v>4.8241843499999997E-6</c:v>
                </c:pt>
                <c:pt idx="72">
                  <c:v>4.9118792000000003E-6</c:v>
                </c:pt>
                <c:pt idx="73">
                  <c:v>5.0037688999999997E-6</c:v>
                </c:pt>
                <c:pt idx="74">
                  <c:v>5.0854020500000001E-6</c:v>
                </c:pt>
                <c:pt idx="75">
                  <c:v>5.1870387499999998E-6</c:v>
                </c:pt>
                <c:pt idx="76">
                  <c:v>5.275331149999999E-6</c:v>
                </c:pt>
                <c:pt idx="77">
                  <c:v>5.3725644999999996E-6</c:v>
                </c:pt>
                <c:pt idx="78">
                  <c:v>5.4561809499999984E-6</c:v>
                </c:pt>
                <c:pt idx="79">
                  <c:v>5.5348425499999986E-6</c:v>
                </c:pt>
                <c:pt idx="80">
                  <c:v>5.5998669999999984E-6</c:v>
                </c:pt>
                <c:pt idx="81">
                  <c:v>5.6960275999999995E-6</c:v>
                </c:pt>
                <c:pt idx="82">
                  <c:v>5.7808616999999987E-6</c:v>
                </c:pt>
                <c:pt idx="83">
                  <c:v>5.8561055499999997E-6</c:v>
                </c:pt>
                <c:pt idx="84">
                  <c:v>5.9284938499999996E-6</c:v>
                </c:pt>
                <c:pt idx="85">
                  <c:v>6.0032196000000003E-6</c:v>
                </c:pt>
                <c:pt idx="86">
                  <c:v>6.0600154500000004E-6</c:v>
                </c:pt>
                <c:pt idx="87">
                  <c:v>6.1131653000000001E-6</c:v>
                </c:pt>
                <c:pt idx="88">
                  <c:v>6.1698394000000004E-6</c:v>
                </c:pt>
                <c:pt idx="89">
                  <c:v>6.2166336999999998E-6</c:v>
                </c:pt>
                <c:pt idx="90">
                  <c:v>6.2720300999999998E-6</c:v>
                </c:pt>
                <c:pt idx="91">
                  <c:v>6.3439828999999991E-6</c:v>
                </c:pt>
                <c:pt idx="92">
                  <c:v>6.3910122999999996E-6</c:v>
                </c:pt>
                <c:pt idx="93">
                  <c:v>6.4275541E-6</c:v>
                </c:pt>
                <c:pt idx="94">
                  <c:v>6.4573885999999987E-6</c:v>
                </c:pt>
                <c:pt idx="95">
                  <c:v>6.4777636499999984E-6</c:v>
                </c:pt>
                <c:pt idx="96">
                  <c:v>6.4922052999999988E-6</c:v>
                </c:pt>
                <c:pt idx="97">
                  <c:v>6.5053148499999988E-6</c:v>
                </c:pt>
                <c:pt idx="98">
                  <c:v>6.5328461499999994E-6</c:v>
                </c:pt>
                <c:pt idx="99">
                  <c:v>6.5600064499999985E-6</c:v>
                </c:pt>
                <c:pt idx="100">
                  <c:v>6.5941266999999991E-6</c:v>
                </c:pt>
                <c:pt idx="101">
                  <c:v>6.6151498999999997E-6</c:v>
                </c:pt>
                <c:pt idx="102">
                  <c:v>6.6660450499999991E-6</c:v>
                </c:pt>
                <c:pt idx="103">
                  <c:v>6.7177876000000011E-6</c:v>
                </c:pt>
                <c:pt idx="104">
                  <c:v>6.7539581500000009E-6</c:v>
                </c:pt>
                <c:pt idx="105">
                  <c:v>6.7941284499999995E-6</c:v>
                </c:pt>
                <c:pt idx="106">
                  <c:v>6.8538629500000002E-6</c:v>
                </c:pt>
                <c:pt idx="107">
                  <c:v>6.9192667500000015E-6</c:v>
                </c:pt>
                <c:pt idx="108">
                  <c:v>6.9684285000000022E-6</c:v>
                </c:pt>
                <c:pt idx="109">
                  <c:v>7.0144958500000003E-6</c:v>
                </c:pt>
                <c:pt idx="110">
                  <c:v>7.064197100000001E-6</c:v>
                </c:pt>
                <c:pt idx="111">
                  <c:v>7.1005905500000001E-6</c:v>
                </c:pt>
                <c:pt idx="112">
                  <c:v>7.141504749999999E-6</c:v>
                </c:pt>
                <c:pt idx="113">
                  <c:v>7.1844934999999976E-6</c:v>
                </c:pt>
                <c:pt idx="114">
                  <c:v>7.2398283999999994E-6</c:v>
                </c:pt>
                <c:pt idx="115">
                  <c:v>7.2803735000000006E-6</c:v>
                </c:pt>
                <c:pt idx="116">
                  <c:v>7.3367960500000005E-6</c:v>
                </c:pt>
                <c:pt idx="117">
                  <c:v>7.3880791000000005E-6</c:v>
                </c:pt>
                <c:pt idx="118">
                  <c:v>7.4261202499999986E-6</c:v>
                </c:pt>
                <c:pt idx="119">
                  <c:v>7.4782815499999985E-6</c:v>
                </c:pt>
                <c:pt idx="120">
                  <c:v>7.5260561000000002E-6</c:v>
                </c:pt>
                <c:pt idx="121">
                  <c:v>7.5785222999999995E-6</c:v>
                </c:pt>
                <c:pt idx="122">
                  <c:v>7.6280998999999999E-6</c:v>
                </c:pt>
                <c:pt idx="123">
                  <c:v>7.6745503499999999E-6</c:v>
                </c:pt>
                <c:pt idx="124">
                  <c:v>7.7252916000000004E-6</c:v>
                </c:pt>
                <c:pt idx="125">
                  <c:v>7.7704257000000007E-6</c:v>
                </c:pt>
                <c:pt idx="126">
                  <c:v>7.7969565500000002E-6</c:v>
                </c:pt>
                <c:pt idx="127">
                  <c:v>7.8173822999999996E-6</c:v>
                </c:pt>
                <c:pt idx="128">
                  <c:v>7.8588134500000012E-6</c:v>
                </c:pt>
                <c:pt idx="129">
                  <c:v>7.913325000000001E-6</c:v>
                </c:pt>
                <c:pt idx="130">
                  <c:v>7.9707302499999992E-6</c:v>
                </c:pt>
                <c:pt idx="131">
                  <c:v>8.0404214499999998E-6</c:v>
                </c:pt>
                <c:pt idx="132">
                  <c:v>8.0983981999999997E-6</c:v>
                </c:pt>
                <c:pt idx="133">
                  <c:v>8.1464463000000011E-6</c:v>
                </c:pt>
                <c:pt idx="134">
                  <c:v>8.2072497000000003E-6</c:v>
                </c:pt>
                <c:pt idx="135">
                  <c:v>8.262327000000001E-6</c:v>
                </c:pt>
                <c:pt idx="136">
                  <c:v>8.2999395999999996E-6</c:v>
                </c:pt>
                <c:pt idx="137">
                  <c:v>8.3426941000000008E-6</c:v>
                </c:pt>
                <c:pt idx="138">
                  <c:v>8.3971115999999993E-6</c:v>
                </c:pt>
                <c:pt idx="139">
                  <c:v>8.4517636999999993E-6</c:v>
                </c:pt>
                <c:pt idx="140">
                  <c:v>8.5050189999999994E-6</c:v>
                </c:pt>
                <c:pt idx="141">
                  <c:v>8.5506828500000004E-6</c:v>
                </c:pt>
                <c:pt idx="142">
                  <c:v>8.5927951499999988E-6</c:v>
                </c:pt>
                <c:pt idx="143">
                  <c:v>8.6450512499999979E-6</c:v>
                </c:pt>
                <c:pt idx="144">
                  <c:v>8.6877658000000005E-6</c:v>
                </c:pt>
                <c:pt idx="145">
                  <c:v>8.7452447999999988E-6</c:v>
                </c:pt>
                <c:pt idx="146">
                  <c:v>8.8225038999999983E-6</c:v>
                </c:pt>
                <c:pt idx="147">
                  <c:v>8.9042760499999989E-6</c:v>
                </c:pt>
                <c:pt idx="148">
                  <c:v>8.9754241499999985E-6</c:v>
                </c:pt>
                <c:pt idx="149">
                  <c:v>9.0394266999999976E-6</c:v>
                </c:pt>
                <c:pt idx="150">
                  <c:v>9.1059225999999968E-6</c:v>
                </c:pt>
                <c:pt idx="151">
                  <c:v>9.1695787500000013E-6</c:v>
                </c:pt>
                <c:pt idx="152">
                  <c:v>9.2326263500000004E-6</c:v>
                </c:pt>
                <c:pt idx="153">
                  <c:v>9.3153882999999976E-6</c:v>
                </c:pt>
                <c:pt idx="154">
                  <c:v>9.3397400499999999E-6</c:v>
                </c:pt>
                <c:pt idx="155">
                  <c:v>9.4131226999999995E-6</c:v>
                </c:pt>
                <c:pt idx="156">
                  <c:v>9.5257171000000024E-6</c:v>
                </c:pt>
                <c:pt idx="157">
                  <c:v>9.662264650000001E-6</c:v>
                </c:pt>
                <c:pt idx="158">
                  <c:v>9.7532739999999991E-6</c:v>
                </c:pt>
                <c:pt idx="159">
                  <c:v>9.8312763000000011E-6</c:v>
                </c:pt>
                <c:pt idx="160">
                  <c:v>9.9022344000000009E-6</c:v>
                </c:pt>
                <c:pt idx="161">
                  <c:v>9.9951029000000019E-6</c:v>
                </c:pt>
                <c:pt idx="162">
                  <c:v>1.0114823799999999E-5</c:v>
                </c:pt>
                <c:pt idx="163">
                  <c:v>1.0242583749999998E-5</c:v>
                </c:pt>
                <c:pt idx="164">
                  <c:v>1.0401297099999998E-5</c:v>
                </c:pt>
                <c:pt idx="165">
                  <c:v>1.05243478E-5</c:v>
                </c:pt>
                <c:pt idx="166">
                  <c:v>1.0622153799999999E-5</c:v>
                </c:pt>
                <c:pt idx="167">
                  <c:v>1.0714094449999997E-5</c:v>
                </c:pt>
                <c:pt idx="168">
                  <c:v>1.0823067299999999E-5</c:v>
                </c:pt>
                <c:pt idx="169">
                  <c:v>1.0932219249999999E-5</c:v>
                </c:pt>
                <c:pt idx="170">
                  <c:v>1.0993149449999999E-5</c:v>
                </c:pt>
                <c:pt idx="171">
                  <c:v>1.1069320949999997E-5</c:v>
                </c:pt>
                <c:pt idx="172">
                  <c:v>1.1179195599999999E-5</c:v>
                </c:pt>
                <c:pt idx="173">
                  <c:v>1.1259118599999999E-5</c:v>
                </c:pt>
                <c:pt idx="174">
                  <c:v>1.1391171500000001E-5</c:v>
                </c:pt>
                <c:pt idx="175">
                  <c:v>1.1503896000000001E-5</c:v>
                </c:pt>
                <c:pt idx="176">
                  <c:v>1.1562842E-5</c:v>
                </c:pt>
                <c:pt idx="177">
                  <c:v>1.1597571500000001E-5</c:v>
                </c:pt>
                <c:pt idx="178">
                  <c:v>1.168509E-5</c:v>
                </c:pt>
                <c:pt idx="179">
                  <c:v>1.18118265E-5</c:v>
                </c:pt>
                <c:pt idx="180">
                  <c:v>1.1926374E-5</c:v>
                </c:pt>
                <c:pt idx="181">
                  <c:v>1.20435045E-5</c:v>
                </c:pt>
                <c:pt idx="182">
                  <c:v>1.21402485E-5</c:v>
                </c:pt>
                <c:pt idx="183">
                  <c:v>1.2194203499999999E-5</c:v>
                </c:pt>
                <c:pt idx="184">
                  <c:v>1.2247461999999999E-5</c:v>
                </c:pt>
                <c:pt idx="185">
                  <c:v>1.22998145E-5</c:v>
                </c:pt>
                <c:pt idx="186">
                  <c:v>1.2370328499999999E-5</c:v>
                </c:pt>
                <c:pt idx="187">
                  <c:v>1.2436774499999999E-5</c:v>
                </c:pt>
                <c:pt idx="188">
                  <c:v>1.2507428E-5</c:v>
                </c:pt>
                <c:pt idx="189">
                  <c:v>1.2586208500000001E-5</c:v>
                </c:pt>
                <c:pt idx="190">
                  <c:v>1.2720029499999999E-5</c:v>
                </c:pt>
                <c:pt idx="191">
                  <c:v>1.2817979499999999E-5</c:v>
                </c:pt>
                <c:pt idx="192">
                  <c:v>1.2884644499999997E-5</c:v>
                </c:pt>
                <c:pt idx="193">
                  <c:v>1.2988314000000001E-5</c:v>
                </c:pt>
                <c:pt idx="194">
                  <c:v>1.3052604499999998E-5</c:v>
                </c:pt>
                <c:pt idx="195">
                  <c:v>1.3117700000000001E-5</c:v>
                </c:pt>
                <c:pt idx="196">
                  <c:v>1.3193462499999999E-5</c:v>
                </c:pt>
                <c:pt idx="197">
                  <c:v>1.3288988499999998E-5</c:v>
                </c:pt>
                <c:pt idx="198">
                  <c:v>1.33683535E-5</c:v>
                </c:pt>
                <c:pt idx="199">
                  <c:v>1.3408875E-5</c:v>
                </c:pt>
                <c:pt idx="200">
                  <c:v>1.3476481000000002E-5</c:v>
                </c:pt>
                <c:pt idx="201">
                  <c:v>1.35087955E-5</c:v>
                </c:pt>
                <c:pt idx="202">
                  <c:v>1.3537878499999999E-5</c:v>
                </c:pt>
                <c:pt idx="203">
                  <c:v>1.3586126E-5</c:v>
                </c:pt>
                <c:pt idx="204">
                  <c:v>1.3643388500000001E-5</c:v>
                </c:pt>
                <c:pt idx="205">
                  <c:v>1.3732104000000001E-5</c:v>
                </c:pt>
                <c:pt idx="206">
                  <c:v>1.3790796000000001E-5</c:v>
                </c:pt>
                <c:pt idx="207">
                  <c:v>1.3852935500000001E-5</c:v>
                </c:pt>
                <c:pt idx="208">
                  <c:v>1.3895677000000002E-5</c:v>
                </c:pt>
                <c:pt idx="209">
                  <c:v>1.3947789000000002E-5</c:v>
                </c:pt>
                <c:pt idx="210">
                  <c:v>1.3975217499999999E-5</c:v>
                </c:pt>
                <c:pt idx="211">
                  <c:v>1.4011337999999998E-5</c:v>
                </c:pt>
                <c:pt idx="212">
                  <c:v>1.40608745E-5</c:v>
                </c:pt>
                <c:pt idx="213">
                  <c:v>1.4104222999999999E-5</c:v>
                </c:pt>
                <c:pt idx="214">
                  <c:v>1.4185803499999998E-5</c:v>
                </c:pt>
                <c:pt idx="215">
                  <c:v>1.4283836049999998E-5</c:v>
                </c:pt>
                <c:pt idx="216">
                  <c:v>1.4393772549999998E-5</c:v>
                </c:pt>
                <c:pt idx="217">
                  <c:v>1.4478780049999999E-5</c:v>
                </c:pt>
                <c:pt idx="218">
                  <c:v>1.4533359049999996E-5</c:v>
                </c:pt>
                <c:pt idx="219">
                  <c:v>1.4599416549999997E-5</c:v>
                </c:pt>
                <c:pt idx="220">
                  <c:v>1.4676920999999996E-5</c:v>
                </c:pt>
                <c:pt idx="221">
                  <c:v>1.4760042499999999E-5</c:v>
                </c:pt>
                <c:pt idx="222">
                  <c:v>1.48173015E-5</c:v>
                </c:pt>
                <c:pt idx="223">
                  <c:v>1.4894387E-5</c:v>
                </c:pt>
                <c:pt idx="224">
                  <c:v>1.4992011049999999E-5</c:v>
                </c:pt>
                <c:pt idx="225">
                  <c:v>1.5063501550000002E-5</c:v>
                </c:pt>
                <c:pt idx="226">
                  <c:v>1.5156649550000003E-5</c:v>
                </c:pt>
                <c:pt idx="227">
                  <c:v>1.5268432000000005E-5</c:v>
                </c:pt>
                <c:pt idx="228">
                  <c:v>1.5353742000000003E-5</c:v>
                </c:pt>
                <c:pt idx="229">
                  <c:v>1.54487805E-5</c:v>
                </c:pt>
                <c:pt idx="230">
                  <c:v>1.5562782000000004E-5</c:v>
                </c:pt>
                <c:pt idx="231">
                  <c:v>1.5669669050000001E-5</c:v>
                </c:pt>
                <c:pt idx="232">
                  <c:v>1.5768371049999996E-5</c:v>
                </c:pt>
                <c:pt idx="233">
                  <c:v>1.5875067099999998E-5</c:v>
                </c:pt>
                <c:pt idx="234">
                  <c:v>1.5988625600000003E-5</c:v>
                </c:pt>
                <c:pt idx="235">
                  <c:v>1.6066536100000003E-5</c:v>
                </c:pt>
                <c:pt idx="236">
                  <c:v>1.6129257149999998E-5</c:v>
                </c:pt>
                <c:pt idx="237">
                  <c:v>1.61911196E-5</c:v>
                </c:pt>
                <c:pt idx="238">
                  <c:v>1.6312188149999997E-5</c:v>
                </c:pt>
                <c:pt idx="239">
                  <c:v>1.642212315E-5</c:v>
                </c:pt>
                <c:pt idx="240">
                  <c:v>1.6496538199999997E-5</c:v>
                </c:pt>
                <c:pt idx="241">
                  <c:v>1.6566532199999995E-5</c:v>
                </c:pt>
                <c:pt idx="242">
                  <c:v>1.6685310199999998E-5</c:v>
                </c:pt>
                <c:pt idx="243">
                  <c:v>1.6784762149999999E-5</c:v>
                </c:pt>
                <c:pt idx="244">
                  <c:v>1.6807100149999998E-5</c:v>
                </c:pt>
                <c:pt idx="245">
                  <c:v>1.6856475649999997E-5</c:v>
                </c:pt>
                <c:pt idx="246">
                  <c:v>1.6950962599999996E-5</c:v>
                </c:pt>
                <c:pt idx="247">
                  <c:v>1.7015860149999999E-5</c:v>
                </c:pt>
                <c:pt idx="248">
                  <c:v>1.7089959599999998E-5</c:v>
                </c:pt>
                <c:pt idx="249">
                  <c:v>1.7138232549999999E-5</c:v>
                </c:pt>
                <c:pt idx="250">
                  <c:v>1.7190748049999998E-5</c:v>
                </c:pt>
                <c:pt idx="251">
                  <c:v>1.7277555049999998E-5</c:v>
                </c:pt>
                <c:pt idx="252">
                  <c:v>1.735826905E-5</c:v>
                </c:pt>
                <c:pt idx="253">
                  <c:v>1.742114795E-5</c:v>
                </c:pt>
                <c:pt idx="254">
                  <c:v>1.7463246000000002E-5</c:v>
                </c:pt>
                <c:pt idx="255">
                  <c:v>1.7561447499999998E-5</c:v>
                </c:pt>
                <c:pt idx="256">
                  <c:v>1.7689489399999997E-5</c:v>
                </c:pt>
                <c:pt idx="257">
                  <c:v>1.7813314950000003E-5</c:v>
                </c:pt>
                <c:pt idx="258">
                  <c:v>1.7905822899999999E-5</c:v>
                </c:pt>
                <c:pt idx="259">
                  <c:v>1.80222804E-5</c:v>
                </c:pt>
                <c:pt idx="260">
                  <c:v>1.8122398400000002E-5</c:v>
                </c:pt>
                <c:pt idx="261">
                  <c:v>1.8232216450000001E-5</c:v>
                </c:pt>
                <c:pt idx="262">
                  <c:v>1.8326036449999998E-5</c:v>
                </c:pt>
                <c:pt idx="263">
                  <c:v>1.8400153549999999E-5</c:v>
                </c:pt>
                <c:pt idx="264">
                  <c:v>1.8515948499999996E-5</c:v>
                </c:pt>
                <c:pt idx="265">
                  <c:v>1.8620899E-5</c:v>
                </c:pt>
                <c:pt idx="266">
                  <c:v>1.8702958099999997E-5</c:v>
                </c:pt>
                <c:pt idx="267">
                  <c:v>1.8821526549999998E-5</c:v>
                </c:pt>
                <c:pt idx="268">
                  <c:v>1.8953102050000001E-5</c:v>
                </c:pt>
                <c:pt idx="269">
                  <c:v>1.908720905E-5</c:v>
                </c:pt>
                <c:pt idx="270">
                  <c:v>1.921861755E-5</c:v>
                </c:pt>
                <c:pt idx="271">
                  <c:v>1.932336805E-5</c:v>
                </c:pt>
                <c:pt idx="272">
                  <c:v>1.9456562549999999E-5</c:v>
                </c:pt>
                <c:pt idx="273">
                  <c:v>1.96018791E-5</c:v>
                </c:pt>
                <c:pt idx="274">
                  <c:v>1.9753587099999999E-5</c:v>
                </c:pt>
                <c:pt idx="275">
                  <c:v>1.9844882550000002E-5</c:v>
                </c:pt>
                <c:pt idx="276">
                  <c:v>1.994451265E-5</c:v>
                </c:pt>
                <c:pt idx="277">
                  <c:v>2.0043789150000003E-5</c:v>
                </c:pt>
                <c:pt idx="278">
                  <c:v>2.0146187650000004E-5</c:v>
                </c:pt>
                <c:pt idx="279">
                  <c:v>2.0230736200000004E-5</c:v>
                </c:pt>
                <c:pt idx="280">
                  <c:v>2.0356608150000007E-5</c:v>
                </c:pt>
                <c:pt idx="281">
                  <c:v>2.0478110100000002E-5</c:v>
                </c:pt>
                <c:pt idx="282">
                  <c:v>2.0542966550000004E-5</c:v>
                </c:pt>
                <c:pt idx="283">
                  <c:v>2.0621472500000007E-5</c:v>
                </c:pt>
                <c:pt idx="284">
                  <c:v>2.0718296500000005E-5</c:v>
                </c:pt>
                <c:pt idx="285">
                  <c:v>2.0851300549999999E-5</c:v>
                </c:pt>
                <c:pt idx="286">
                  <c:v>2.0948025500000003E-5</c:v>
                </c:pt>
                <c:pt idx="287">
                  <c:v>2.1000969E-5</c:v>
                </c:pt>
                <c:pt idx="288">
                  <c:v>2.1063369549999998E-5</c:v>
                </c:pt>
                <c:pt idx="289">
                  <c:v>2.1132607099999999E-5</c:v>
                </c:pt>
                <c:pt idx="290">
                  <c:v>2.1205150149999999E-5</c:v>
                </c:pt>
                <c:pt idx="291">
                  <c:v>2.1296888599999999E-5</c:v>
                </c:pt>
                <c:pt idx="292">
                  <c:v>2.133186805E-5</c:v>
                </c:pt>
                <c:pt idx="293">
                  <c:v>2.1396335000000003E-5</c:v>
                </c:pt>
                <c:pt idx="294">
                  <c:v>2.1481717450000003E-5</c:v>
                </c:pt>
                <c:pt idx="295">
                  <c:v>2.1581730949999999E-5</c:v>
                </c:pt>
                <c:pt idx="296">
                  <c:v>2.1636601900000003E-5</c:v>
                </c:pt>
                <c:pt idx="297">
                  <c:v>2.1735987400000004E-5</c:v>
                </c:pt>
                <c:pt idx="298">
                  <c:v>2.1821625850000002E-5</c:v>
                </c:pt>
                <c:pt idx="299">
                  <c:v>2.1914674350000002E-5</c:v>
                </c:pt>
                <c:pt idx="300">
                  <c:v>2.1997065949999998E-5</c:v>
                </c:pt>
                <c:pt idx="301">
                  <c:v>2.2080784449999999E-5</c:v>
                </c:pt>
                <c:pt idx="302">
                  <c:v>2.2211463999999997E-5</c:v>
                </c:pt>
                <c:pt idx="303">
                  <c:v>2.2329866449999997E-5</c:v>
                </c:pt>
                <c:pt idx="304">
                  <c:v>2.2397446449999995E-5</c:v>
                </c:pt>
                <c:pt idx="305">
                  <c:v>2.2478545899999999E-5</c:v>
                </c:pt>
                <c:pt idx="306">
                  <c:v>2.2584861899999999E-5</c:v>
                </c:pt>
                <c:pt idx="307">
                  <c:v>2.2679326499999994E-5</c:v>
                </c:pt>
                <c:pt idx="308">
                  <c:v>2.2806526949999994E-5</c:v>
                </c:pt>
                <c:pt idx="309">
                  <c:v>2.2929231999999995E-5</c:v>
                </c:pt>
                <c:pt idx="310">
                  <c:v>2.3042760449999995E-5</c:v>
                </c:pt>
                <c:pt idx="311">
                  <c:v>2.3142228449999992E-5</c:v>
                </c:pt>
                <c:pt idx="312">
                  <c:v>2.3276869949999996E-5</c:v>
                </c:pt>
                <c:pt idx="313">
                  <c:v>2.336649905E-5</c:v>
                </c:pt>
                <c:pt idx="314">
                  <c:v>2.3401041549999998E-5</c:v>
                </c:pt>
                <c:pt idx="315">
                  <c:v>2.3438303549999998E-5</c:v>
                </c:pt>
                <c:pt idx="316">
                  <c:v>2.3501601599999998E-5</c:v>
                </c:pt>
                <c:pt idx="317">
                  <c:v>2.3524685149999995E-5</c:v>
                </c:pt>
                <c:pt idx="318">
                  <c:v>2.3573586699999994E-5</c:v>
                </c:pt>
                <c:pt idx="319">
                  <c:v>2.3636045149999999E-5</c:v>
                </c:pt>
                <c:pt idx="320">
                  <c:v>2.3712725099999994E-5</c:v>
                </c:pt>
                <c:pt idx="321">
                  <c:v>2.3812910599999997E-5</c:v>
                </c:pt>
                <c:pt idx="322">
                  <c:v>2.3895566599999995E-5</c:v>
                </c:pt>
                <c:pt idx="323">
                  <c:v>2.3988120599999996E-5</c:v>
                </c:pt>
                <c:pt idx="324">
                  <c:v>2.4097008549999999E-5</c:v>
                </c:pt>
                <c:pt idx="325">
                  <c:v>2.4162253049999998E-5</c:v>
                </c:pt>
                <c:pt idx="326">
                  <c:v>2.42172291E-5</c:v>
                </c:pt>
                <c:pt idx="327">
                  <c:v>2.4313592500000003E-5</c:v>
                </c:pt>
                <c:pt idx="328">
                  <c:v>2.4369563099999998E-5</c:v>
                </c:pt>
                <c:pt idx="329">
                  <c:v>2.4427795600000003E-5</c:v>
                </c:pt>
                <c:pt idx="330">
                  <c:v>2.44864521E-5</c:v>
                </c:pt>
                <c:pt idx="331">
                  <c:v>2.45293936E-5</c:v>
                </c:pt>
                <c:pt idx="332">
                  <c:v>2.4575138199999998E-5</c:v>
                </c:pt>
                <c:pt idx="333">
                  <c:v>2.463744165E-5</c:v>
                </c:pt>
                <c:pt idx="334">
                  <c:v>2.4774041099999997E-5</c:v>
                </c:pt>
                <c:pt idx="335">
                  <c:v>2.4905392099999997E-5</c:v>
                </c:pt>
                <c:pt idx="336">
                  <c:v>2.5053389500000001E-5</c:v>
                </c:pt>
                <c:pt idx="337">
                  <c:v>2.5201536449999997E-5</c:v>
                </c:pt>
                <c:pt idx="338">
                  <c:v>2.5339342449999997E-5</c:v>
                </c:pt>
                <c:pt idx="339">
                  <c:v>2.542449845E-5</c:v>
                </c:pt>
                <c:pt idx="340">
                  <c:v>2.5499765950000004E-5</c:v>
                </c:pt>
                <c:pt idx="341">
                  <c:v>2.5553154450000001E-5</c:v>
                </c:pt>
                <c:pt idx="342">
                  <c:v>2.5664371900000003E-5</c:v>
                </c:pt>
                <c:pt idx="343">
                  <c:v>2.5773686450000001E-5</c:v>
                </c:pt>
                <c:pt idx="344">
                  <c:v>2.5874945500000003E-5</c:v>
                </c:pt>
                <c:pt idx="345">
                  <c:v>2.5978611550000006E-5</c:v>
                </c:pt>
                <c:pt idx="346">
                  <c:v>2.6063837000000004E-5</c:v>
                </c:pt>
                <c:pt idx="347">
                  <c:v>2.6128345550000002E-5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3E1-40D8-A61B-3860D7BB359A}"/>
            </c:ext>
          </c:extLst>
        </c:ser>
        <c:ser>
          <c:idx val="5"/>
          <c:order val="5"/>
          <c:tx>
            <c:strRef>
              <c:f>GRAPH!$S$33</c:f>
              <c:strCache>
                <c:ptCount val="1"/>
                <c:pt idx="0">
                  <c:v>IDS__R141-3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Wafer1!$U$2:$U$328</c:f>
              <c:numCache>
                <c:formatCode>0.00E+00</c:formatCode>
                <c:ptCount val="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18278.603529231736</c:v>
                </c:pt>
                <c:pt idx="4">
                  <c:v>51267.275677939477</c:v>
                </c:pt>
                <c:pt idx="5">
                  <c:v>82197.957523577876</c:v>
                </c:pt>
                <c:pt idx="6">
                  <c:v>116565.38179650942</c:v>
                </c:pt>
                <c:pt idx="7">
                  <c:v>150709.77263758122</c:v>
                </c:pt>
                <c:pt idx="8">
                  <c:v>179957.56586100528</c:v>
                </c:pt>
                <c:pt idx="9">
                  <c:v>204481.10548230953</c:v>
                </c:pt>
                <c:pt idx="10">
                  <c:v>234783.23856543412</c:v>
                </c:pt>
                <c:pt idx="11">
                  <c:v>263311.24207694724</c:v>
                </c:pt>
                <c:pt idx="12">
                  <c:v>296137.70809339336</c:v>
                </c:pt>
                <c:pt idx="13">
                  <c:v>326247.22139445727</c:v>
                </c:pt>
                <c:pt idx="14">
                  <c:v>357289.41995602549</c:v>
                </c:pt>
                <c:pt idx="15">
                  <c:v>390217.26480513514</c:v>
                </c:pt>
                <c:pt idx="16">
                  <c:v>416748.10531317699</c:v>
                </c:pt>
                <c:pt idx="17">
                  <c:v>451855.59506455221</c:v>
                </c:pt>
                <c:pt idx="18">
                  <c:v>479319.12083309836</c:v>
                </c:pt>
                <c:pt idx="19">
                  <c:v>511446.07290416624</c:v>
                </c:pt>
                <c:pt idx="20">
                  <c:v>543319.5778935753</c:v>
                </c:pt>
                <c:pt idx="21">
                  <c:v>577494.38238444622</c:v>
                </c:pt>
                <c:pt idx="22">
                  <c:v>611486.70497652271</c:v>
                </c:pt>
                <c:pt idx="23">
                  <c:v>644414.54982563236</c:v>
                </c:pt>
                <c:pt idx="24">
                  <c:v>676024.46985011629</c:v>
                </c:pt>
                <c:pt idx="25">
                  <c:v>709773.48324380047</c:v>
                </c:pt>
                <c:pt idx="26">
                  <c:v>742437.74312798493</c:v>
                </c:pt>
                <c:pt idx="27">
                  <c:v>775902.89579021116</c:v>
                </c:pt>
                <c:pt idx="28">
                  <c:v>801217.19030629087</c:v>
                </c:pt>
                <c:pt idx="29">
                  <c:v>833090.69529569999</c:v>
                </c:pt>
                <c:pt idx="30">
                  <c:v>860098.01631726034</c:v>
                </c:pt>
                <c:pt idx="31">
                  <c:v>891839.72882420686</c:v>
                </c:pt>
                <c:pt idx="32">
                  <c:v>912662.94105329283</c:v>
                </c:pt>
                <c:pt idx="33">
                  <c:v>942904.24683681922</c:v>
                </c:pt>
                <c:pt idx="34">
                  <c:v>975071.7504409526</c:v>
                </c:pt>
                <c:pt idx="35">
                  <c:v>1008009.7331733286</c:v>
                </c:pt>
                <c:pt idx="36">
                  <c:v>1041789.1602168117</c:v>
                </c:pt>
                <c:pt idx="37">
                  <c:v>1075305.0022953697</c:v>
                </c:pt>
                <c:pt idx="38">
                  <c:v>1103579.5587252241</c:v>
                </c:pt>
                <c:pt idx="39">
                  <c:v>1137044.7113874503</c:v>
                </c:pt>
                <c:pt idx="40">
                  <c:v>1169668.4197385693</c:v>
                </c:pt>
                <c:pt idx="41">
                  <c:v>1204684.6685405474</c:v>
                </c:pt>
                <c:pt idx="42">
                  <c:v>1238717.5426656893</c:v>
                </c:pt>
                <c:pt idx="43">
                  <c:v>1272304.3499271118</c:v>
                </c:pt>
                <c:pt idx="44">
                  <c:v>1304532.6808308433</c:v>
                </c:pt>
                <c:pt idx="45">
                  <c:v>1337267.9058978921</c:v>
                </c:pt>
                <c:pt idx="46">
                  <c:v>1371118.2981242398</c:v>
                </c:pt>
                <c:pt idx="47">
                  <c:v>1404482.0719538026</c:v>
                </c:pt>
                <c:pt idx="48">
                  <c:v>1442813.4085838776</c:v>
                </c:pt>
                <c:pt idx="49">
                  <c:v>1477241.6601564072</c:v>
                </c:pt>
                <c:pt idx="50">
                  <c:v>1512359.2877910486</c:v>
                </c:pt>
                <c:pt idx="51">
                  <c:v>1542610.7314578416</c:v>
                </c:pt>
                <c:pt idx="52">
                  <c:v>1573369.069287952</c:v>
                </c:pt>
                <c:pt idx="53">
                  <c:v>1604441.6814993194</c:v>
                </c:pt>
                <c:pt idx="54">
                  <c:v>1637460.7672978262</c:v>
                </c:pt>
                <c:pt idx="55">
                  <c:v>1673500.9423097058</c:v>
                </c:pt>
                <c:pt idx="56">
                  <c:v>1704340.383205947</c:v>
                </c:pt>
                <c:pt idx="57">
                  <c:v>1736021.2684132953</c:v>
                </c:pt>
                <c:pt idx="58">
                  <c:v>1765512.3708351117</c:v>
                </c:pt>
                <c:pt idx="59">
                  <c:v>1791739.0748451632</c:v>
                </c:pt>
                <c:pt idx="60">
                  <c:v>1823328.7191031142</c:v>
                </c:pt>
                <c:pt idx="61">
                  <c:v>1854269.5388320191</c:v>
                </c:pt>
                <c:pt idx="62">
                  <c:v>1888292.2750738948</c:v>
                </c:pt>
                <c:pt idx="63">
                  <c:v>1921483.7048879294</c:v>
                </c:pt>
                <c:pt idx="64">
                  <c:v>1955121.2015656836</c:v>
                </c:pt>
                <c:pt idx="65">
                  <c:v>1989255.4545234891</c:v>
                </c:pt>
                <c:pt idx="66">
                  <c:v>2018381.593147717</c:v>
                </c:pt>
                <c:pt idx="67">
                  <c:v>2048126.1426511921</c:v>
                </c:pt>
                <c:pt idx="68">
                  <c:v>2076623.7325129062</c:v>
                </c:pt>
                <c:pt idx="69">
                  <c:v>2111163.5008013658</c:v>
                </c:pt>
                <c:pt idx="70">
                  <c:v>2145946.5782882175</c:v>
                </c:pt>
                <c:pt idx="71">
                  <c:v>2180597.863292607</c:v>
                </c:pt>
                <c:pt idx="72">
                  <c:v>2215968.9380089077</c:v>
                </c:pt>
                <c:pt idx="73">
                  <c:v>2251451.5294411378</c:v>
                </c:pt>
                <c:pt idx="74">
                  <c:v>2281520.4912091363</c:v>
                </c:pt>
                <c:pt idx="75">
                  <c:v>2313809.6494124657</c:v>
                </c:pt>
                <c:pt idx="76">
                  <c:v>2347964.1781368037</c:v>
                </c:pt>
                <c:pt idx="77">
                  <c:v>2382645.8767909924</c:v>
                </c:pt>
                <c:pt idx="78">
                  <c:v>2415573.7216401021</c:v>
                </c:pt>
                <c:pt idx="79">
                  <c:v>2449170.6667847908</c:v>
                </c:pt>
                <c:pt idx="80">
                  <c:v>2475944.8164912253</c:v>
                </c:pt>
                <c:pt idx="81">
                  <c:v>2506733.5679711346</c:v>
                </c:pt>
                <c:pt idx="82">
                  <c:v>2536893.7706885301</c:v>
                </c:pt>
                <c:pt idx="83">
                  <c:v>2564093.7114921515</c:v>
                </c:pt>
                <c:pt idx="84">
                  <c:v>2592003.3041244168</c:v>
                </c:pt>
                <c:pt idx="85">
                  <c:v>2622062.1280091489</c:v>
                </c:pt>
                <c:pt idx="86">
                  <c:v>2652952.258321722</c:v>
                </c:pt>
                <c:pt idx="87">
                  <c:v>2685839.5516377664</c:v>
                </c:pt>
                <c:pt idx="88">
                  <c:v>2718219.9507904928</c:v>
                </c:pt>
                <c:pt idx="89">
                  <c:v>2746099.1297729597</c:v>
                </c:pt>
                <c:pt idx="90">
                  <c:v>2775417.8881792482</c:v>
                </c:pt>
                <c:pt idx="91">
                  <c:v>2802698.9320489997</c:v>
                </c:pt>
                <c:pt idx="92">
                  <c:v>2836214.7741275579</c:v>
                </c:pt>
                <c:pt idx="93">
                  <c:v>2869669.7889065179</c:v>
                </c:pt>
                <c:pt idx="94">
                  <c:v>2902293.4972576369</c:v>
                </c:pt>
                <c:pt idx="95">
                  <c:v>2935606.5816708677</c:v>
                </c:pt>
                <c:pt idx="96">
                  <c:v>2970156.4878425938</c:v>
                </c:pt>
                <c:pt idx="97">
                  <c:v>3004696.2561310534</c:v>
                </c:pt>
                <c:pt idx="98">
                  <c:v>3039651.6776334331</c:v>
                </c:pt>
                <c:pt idx="99">
                  <c:v>3073704.8275251081</c:v>
                </c:pt>
                <c:pt idx="100">
                  <c:v>3107950.597198843</c:v>
                </c:pt>
                <c:pt idx="101">
                  <c:v>3141871.9546080553</c:v>
                </c:pt>
                <c:pt idx="102">
                  <c:v>3176300.2061805851</c:v>
                </c:pt>
                <c:pt idx="103">
                  <c:v>3211478.6611148245</c:v>
                </c:pt>
                <c:pt idx="104">
                  <c:v>3243189.9599719723</c:v>
                </c:pt>
                <c:pt idx="105">
                  <c:v>3271444.2406352935</c:v>
                </c:pt>
                <c:pt idx="106">
                  <c:v>3305466.9768771692</c:v>
                </c:pt>
                <c:pt idx="107">
                  <c:v>3339428.8858194468</c:v>
                </c:pt>
                <c:pt idx="108">
                  <c:v>3367226.9617357827</c:v>
                </c:pt>
                <c:pt idx="109">
                  <c:v>3401036.8024290646</c:v>
                </c:pt>
                <c:pt idx="110">
                  <c:v>3430223.7683528909</c:v>
                </c:pt>
                <c:pt idx="111">
                  <c:v>3460485.3499029498</c:v>
                </c:pt>
                <c:pt idx="112">
                  <c:v>3494518.2240280919</c:v>
                </c:pt>
                <c:pt idx="113">
                  <c:v>3529311.43939821</c:v>
                </c:pt>
                <c:pt idx="114">
                  <c:v>3560444.8789091757</c:v>
                </c:pt>
                <c:pt idx="115">
                  <c:v>3592957.0705443649</c:v>
                </c:pt>
                <c:pt idx="116">
                  <c:v>3625428.7106464887</c:v>
                </c:pt>
                <c:pt idx="117">
                  <c:v>3652638.7893333761</c:v>
                </c:pt>
                <c:pt idx="118">
                  <c:v>3680741.0017477022</c:v>
                </c:pt>
                <c:pt idx="119">
                  <c:v>3713820.9148458075</c:v>
                </c:pt>
                <c:pt idx="120">
                  <c:v>3746008.694216473</c:v>
                </c:pt>
                <c:pt idx="121">
                  <c:v>3779453.5711121666</c:v>
                </c:pt>
                <c:pt idx="122">
                  <c:v>3806805.5801647832</c:v>
                </c:pt>
                <c:pt idx="123">
                  <c:v>3839185.9793175096</c:v>
                </c:pt>
                <c:pt idx="124">
                  <c:v>3873228.9913259181</c:v>
                </c:pt>
                <c:pt idx="125">
                  <c:v>3907799.1732641766</c:v>
                </c:pt>
                <c:pt idx="126">
                  <c:v>3936894.8982386054</c:v>
                </c:pt>
                <c:pt idx="127">
                  <c:v>3963081.0507155913</c:v>
                </c:pt>
                <c:pt idx="128">
                  <c:v>3990463.4734180067</c:v>
                </c:pt>
                <c:pt idx="129">
                  <c:v>4019853.1970071597</c:v>
                </c:pt>
                <c:pt idx="130">
                  <c:v>4043869.8424651464</c:v>
                </c:pt>
                <c:pt idx="131">
                  <c:v>4075834.5884039528</c:v>
                </c:pt>
                <c:pt idx="132">
                  <c:v>4117825.7008931804</c:v>
                </c:pt>
                <c:pt idx="133">
                  <c:v>4161966.0446348749</c:v>
                </c:pt>
                <c:pt idx="134">
                  <c:v>4190149.3601153321</c:v>
                </c:pt>
                <c:pt idx="135">
                  <c:v>4227994.0783486217</c:v>
                </c:pt>
                <c:pt idx="136">
                  <c:v>4259573.5847233068</c:v>
                </c:pt>
                <c:pt idx="137">
                  <c:v>4285415.0491692368</c:v>
                </c:pt>
                <c:pt idx="138">
                  <c:v>4315676.6307192957</c:v>
                </c:pt>
                <c:pt idx="139">
                  <c:v>4347458.8947593076</c:v>
                </c:pt>
                <c:pt idx="140">
                  <c:v>4379190.4693829883</c:v>
                </c:pt>
                <c:pt idx="141">
                  <c:v>4407880.679026763</c:v>
                </c:pt>
                <c:pt idx="142">
                  <c:v>4435759.8580092294</c:v>
                </c:pt>
                <c:pt idx="143">
                  <c:v>4468089.5677456241</c:v>
                </c:pt>
                <c:pt idx="144">
                  <c:v>4497327.2230857825</c:v>
                </c:pt>
                <c:pt idx="145">
                  <c:v>4525743.7098813653</c:v>
                </c:pt>
                <c:pt idx="146">
                  <c:v>4558651.2789639421</c:v>
                </c:pt>
                <c:pt idx="147">
                  <c:v>4589044.6529964637</c:v>
                </c:pt>
                <c:pt idx="148">
                  <c:v>4616893.4183291318</c:v>
                </c:pt>
                <c:pt idx="149">
                  <c:v>4643393.8451873744</c:v>
                </c:pt>
                <c:pt idx="150">
                  <c:v>4672327.3640295416</c:v>
                </c:pt>
                <c:pt idx="151">
                  <c:v>4701919.8452840215</c:v>
                </c:pt>
                <c:pt idx="152">
                  <c:v>4734949.0689657945</c:v>
                </c:pt>
                <c:pt idx="153">
                  <c:v>4766396.7828580169</c:v>
                </c:pt>
                <c:pt idx="154">
                  <c:v>4795685.1276145065</c:v>
                </c:pt>
                <c:pt idx="155">
                  <c:v>4828460.9042146206</c:v>
                </c:pt>
                <c:pt idx="156">
                  <c:v>4859715.9983247826</c:v>
                </c:pt>
                <c:pt idx="157">
                  <c:v>4891690.8821468549</c:v>
                </c:pt>
                <c:pt idx="158">
                  <c:v>4926473.9596337071</c:v>
                </c:pt>
                <c:pt idx="159">
                  <c:v>4958935.4618525645</c:v>
                </c:pt>
                <c:pt idx="160">
                  <c:v>4989967.5225308668</c:v>
                </c:pt>
                <c:pt idx="161">
                  <c:v>5023686.1222747518</c:v>
                </c:pt>
                <c:pt idx="162">
                  <c:v>5055752.247046221</c:v>
                </c:pt>
                <c:pt idx="163">
                  <c:v>5086713.3425416583</c:v>
                </c:pt>
                <c:pt idx="164">
                  <c:v>5107952.2079846654</c:v>
                </c:pt>
                <c:pt idx="165">
                  <c:v>5129839.8979567178</c:v>
                </c:pt>
                <c:pt idx="166">
                  <c:v>5154819.6423250083</c:v>
                </c:pt>
                <c:pt idx="167">
                  <c:v>5182181.7892608903</c:v>
                </c:pt>
                <c:pt idx="168">
                  <c:v>5214481.0853474867</c:v>
                </c:pt>
                <c:pt idx="169">
                  <c:v>5249000.5778694134</c:v>
                </c:pt>
                <c:pt idx="170">
                  <c:v>5282830.6943292283</c:v>
                </c:pt>
                <c:pt idx="171">
                  <c:v>5314795.4402680341</c:v>
                </c:pt>
                <c:pt idx="172">
                  <c:v>5347419.1486191535</c:v>
                </c:pt>
                <c:pt idx="173">
                  <c:v>5379617.0658730855</c:v>
                </c:pt>
                <c:pt idx="174">
                  <c:v>5412027.8786756117</c:v>
                </c:pt>
                <c:pt idx="175">
                  <c:v>5447723.3656564355</c:v>
                </c:pt>
                <c:pt idx="176">
                  <c:v>5481198.6562019279</c:v>
                </c:pt>
                <c:pt idx="177">
                  <c:v>5513751.3993701823</c:v>
                </c:pt>
                <c:pt idx="178">
                  <c:v>5546547.4517368292</c:v>
                </c:pt>
                <c:pt idx="179">
                  <c:v>5580266.0514807142</c:v>
                </c:pt>
                <c:pt idx="180">
                  <c:v>5614674.0272867111</c:v>
                </c:pt>
                <c:pt idx="181">
                  <c:v>5645533.743949485</c:v>
                </c:pt>
                <c:pt idx="182">
                  <c:v>5676859.8032425111</c:v>
                </c:pt>
                <c:pt idx="183">
                  <c:v>5710598.678752929</c:v>
                </c:pt>
                <c:pt idx="184">
                  <c:v>5743820.5222167633</c:v>
                </c:pt>
                <c:pt idx="185">
                  <c:v>5778897.5983183393</c:v>
                </c:pt>
                <c:pt idx="186">
                  <c:v>5813285.2983578034</c:v>
                </c:pt>
                <c:pt idx="187">
                  <c:v>5842573.643114293</c:v>
                </c:pt>
                <c:pt idx="188">
                  <c:v>5874791.8361347578</c:v>
                </c:pt>
                <c:pt idx="189">
                  <c:v>5898473.9314449551</c:v>
                </c:pt>
                <c:pt idx="190">
                  <c:v>5923818.6396108335</c:v>
                </c:pt>
                <c:pt idx="191">
                  <c:v>5957750.1349033117</c:v>
                </c:pt>
                <c:pt idx="192">
                  <c:v>5990556.325153226</c:v>
                </c:pt>
                <c:pt idx="193">
                  <c:v>6024163.4081811812</c:v>
                </c:pt>
                <c:pt idx="194">
                  <c:v>6059189.794866425</c:v>
                </c:pt>
                <c:pt idx="195">
                  <c:v>6093384.8751238286</c:v>
                </c:pt>
                <c:pt idx="196">
                  <c:v>6125937.618292083</c:v>
                </c:pt>
                <c:pt idx="197">
                  <c:v>6157496.8489002353</c:v>
                </c:pt>
                <c:pt idx="198">
                  <c:v>6188062.5669482853</c:v>
                </c:pt>
                <c:pt idx="199">
                  <c:v>6213093.0007329071</c:v>
                </c:pt>
                <c:pt idx="200">
                  <c:v>6240698.4568671826</c:v>
                </c:pt>
                <c:pt idx="201">
                  <c:v>6271811.6206116145</c:v>
                </c:pt>
                <c:pt idx="202">
                  <c:v>6299052.1129483012</c:v>
                </c:pt>
                <c:pt idx="203">
                  <c:v>6328796.6624517767</c:v>
                </c:pt>
                <c:pt idx="204">
                  <c:v>6362930.9154095817</c:v>
                </c:pt>
                <c:pt idx="205">
                  <c:v>6395453.2449280377</c:v>
                </c:pt>
                <c:pt idx="206">
                  <c:v>6427154.4059019191</c:v>
                </c:pt>
                <c:pt idx="207">
                  <c:v>6459615.9081207765</c:v>
                </c:pt>
                <c:pt idx="208">
                  <c:v>6493902.2293275772</c:v>
                </c:pt>
                <c:pt idx="209">
                  <c:v>6522217.3372904966</c:v>
                </c:pt>
                <c:pt idx="210">
                  <c:v>6554263.1862954339</c:v>
                </c:pt>
                <c:pt idx="211">
                  <c:v>6581300.9209667929</c:v>
                </c:pt>
                <c:pt idx="212">
                  <c:v>6612880.4273414779</c:v>
                </c:pt>
                <c:pt idx="213">
                  <c:v>6647369.5062136054</c:v>
                </c:pt>
                <c:pt idx="214">
                  <c:v>6680824.5209925659</c:v>
                </c:pt>
                <c:pt idx="215">
                  <c:v>6714573.5343862502</c:v>
                </c:pt>
                <c:pt idx="216">
                  <c:v>6743324.5713296225</c:v>
                </c:pt>
                <c:pt idx="217">
                  <c:v>6778878.1279447172</c:v>
                </c:pt>
                <c:pt idx="218">
                  <c:v>6813022.5187857896</c:v>
                </c:pt>
                <c:pt idx="219">
                  <c:v>6847308.8399925902</c:v>
                </c:pt>
                <c:pt idx="220">
                  <c:v>6880256.9606082318</c:v>
                </c:pt>
                <c:pt idx="221">
                  <c:v>6909626.4084308529</c:v>
                </c:pt>
                <c:pt idx="222">
                  <c:v>6943568.0416065976</c:v>
                </c:pt>
                <c:pt idx="223">
                  <c:v>6978077.3962452579</c:v>
                </c:pt>
                <c:pt idx="224">
                  <c:v>7000188.11964917</c:v>
                </c:pt>
                <c:pt idx="225">
                  <c:v>7026698.6843906799</c:v>
                </c:pt>
                <c:pt idx="226">
                  <c:v>7060021.9066871768</c:v>
                </c:pt>
                <c:pt idx="227">
                  <c:v>7089006.1149456762</c:v>
                </c:pt>
                <c:pt idx="228">
                  <c:v>7119034.525180609</c:v>
                </c:pt>
                <c:pt idx="229">
                  <c:v>7150583.6179054948</c:v>
                </c:pt>
                <c:pt idx="230">
                  <c:v>7180987.1298212828</c:v>
                </c:pt>
                <c:pt idx="231">
                  <c:v>7214573.9370827051</c:v>
                </c:pt>
                <c:pt idx="232">
                  <c:v>7244146.142570653</c:v>
                </c:pt>
                <c:pt idx="233">
                  <c:v>7270048.4343161806</c:v>
                </c:pt>
                <c:pt idx="234">
                  <c:v>7303523.7248616731</c:v>
                </c:pt>
                <c:pt idx="235">
                  <c:v>7334788.9568551015</c:v>
                </c:pt>
                <c:pt idx="236">
                  <c:v>7363489.3043821426</c:v>
                </c:pt>
                <c:pt idx="237">
                  <c:v>7392980.406803959</c:v>
                </c:pt>
                <c:pt idx="238">
                  <c:v>7422359.9925098456</c:v>
                </c:pt>
                <c:pt idx="239">
                  <c:v>7454841.7704952359</c:v>
                </c:pt>
                <c:pt idx="240">
                  <c:v>7483967.9091194635</c:v>
                </c:pt>
                <c:pt idx="241">
                  <c:v>7517615.5436804844</c:v>
                </c:pt>
                <c:pt idx="242">
                  <c:v>7549560.0138527574</c:v>
                </c:pt>
                <c:pt idx="243">
                  <c:v>7584302.5398065438</c:v>
                </c:pt>
                <c:pt idx="244">
                  <c:v>7618031.2774336953</c:v>
                </c:pt>
                <c:pt idx="245">
                  <c:v>7648323.2726335535</c:v>
                </c:pt>
                <c:pt idx="246">
                  <c:v>7680784.7748524109</c:v>
                </c:pt>
                <c:pt idx="247">
                  <c:v>7713276.6907210676</c:v>
                </c:pt>
                <c:pt idx="248">
                  <c:v>7746539.0857179668</c:v>
                </c:pt>
                <c:pt idx="249">
                  <c:v>7771640.4846854536</c:v>
                </c:pt>
                <c:pt idx="250">
                  <c:v>7804233.7793867737</c:v>
                </c:pt>
                <c:pt idx="251">
                  <c:v>7839260.1660720175</c:v>
                </c:pt>
                <c:pt idx="252">
                  <c:v>7868994.5776922265</c:v>
                </c:pt>
                <c:pt idx="253">
                  <c:v>7899418.3653745474</c:v>
                </c:pt>
                <c:pt idx="254">
                  <c:v>7931464.2143794848</c:v>
                </c:pt>
                <c:pt idx="255">
                  <c:v>7962222.5522095952</c:v>
                </c:pt>
                <c:pt idx="256">
                  <c:v>7993761.5070512146</c:v>
                </c:pt>
                <c:pt idx="257">
                  <c:v>8024753.0161964511</c:v>
                </c:pt>
                <c:pt idx="258">
                  <c:v>8051679.2341518803</c:v>
                </c:pt>
                <c:pt idx="259">
                  <c:v>8078524.3490411788</c:v>
                </c:pt>
                <c:pt idx="260">
                  <c:v>8107711.314965005</c:v>
                </c:pt>
                <c:pt idx="261">
                  <c:v>8137557.2433011439</c:v>
                </c:pt>
                <c:pt idx="262">
                  <c:v>8173323.6954648318</c:v>
                </c:pt>
                <c:pt idx="263">
                  <c:v>8203534.5875985594</c:v>
                </c:pt>
                <c:pt idx="264">
                  <c:v>8231332.6635148954</c:v>
                </c:pt>
                <c:pt idx="265">
                  <c:v>8264797.8161771214</c:v>
                </c:pt>
                <c:pt idx="266">
                  <c:v>8297664.8337266333</c:v>
                </c:pt>
                <c:pt idx="267">
                  <c:v>8326000.2174560856</c:v>
                </c:pt>
                <c:pt idx="268">
                  <c:v>8360874.5358923348</c:v>
                </c:pt>
                <c:pt idx="269">
                  <c:v>8395221.6843987331</c:v>
                </c:pt>
                <c:pt idx="270">
                  <c:v>8427774.4275669884</c:v>
                </c:pt>
                <c:pt idx="271">
                  <c:v>8457072.9102067444</c:v>
                </c:pt>
                <c:pt idx="272">
                  <c:v>8488642.2786981631</c:v>
                </c:pt>
                <c:pt idx="273">
                  <c:v>8516288.2863655034</c:v>
                </c:pt>
                <c:pt idx="274">
                  <c:v>8548820.753767224</c:v>
                </c:pt>
                <c:pt idx="275">
                  <c:v>8579183.7141499482</c:v>
                </c:pt>
                <c:pt idx="276">
                  <c:v>8611209.2873883527</c:v>
                </c:pt>
                <c:pt idx="277">
                  <c:v>8645333.4024628904</c:v>
                </c:pt>
                <c:pt idx="278">
                  <c:v>8673891.8196242023</c:v>
                </c:pt>
                <c:pt idx="279">
                  <c:v>8706140.4262944665</c:v>
                </c:pt>
                <c:pt idx="280">
                  <c:v>8733806.7097283397</c:v>
                </c:pt>
                <c:pt idx="281">
                  <c:v>8765903.2481496092</c:v>
                </c:pt>
                <c:pt idx="282">
                  <c:v>8795880.9689682107</c:v>
                </c:pt>
                <c:pt idx="283">
                  <c:v>8827440.199576363</c:v>
                </c:pt>
                <c:pt idx="284">
                  <c:v>8855005.1041775718</c:v>
                </c:pt>
                <c:pt idx="285">
                  <c:v>8881464.9795027506</c:v>
                </c:pt>
                <c:pt idx="286">
                  <c:v>8911209.5290062241</c:v>
                </c:pt>
                <c:pt idx="287">
                  <c:v>8939392.8444866817</c:v>
                </c:pt>
                <c:pt idx="288">
                  <c:v>8971053.4539274983</c:v>
                </c:pt>
                <c:pt idx="289">
                  <c:v>8999104.9769254923</c:v>
                </c:pt>
                <c:pt idx="290">
                  <c:v>9027896.5654019304</c:v>
                </c:pt>
                <c:pt idx="291">
                  <c:v>9059080.6943292283</c:v>
                </c:pt>
                <c:pt idx="292">
                  <c:v>9088034.4889379274</c:v>
                </c:pt>
                <c:pt idx="293">
                  <c:v>9114453.8127300404</c:v>
                </c:pt>
                <c:pt idx="294">
                  <c:v>9140092.5195106417</c:v>
                </c:pt>
                <c:pt idx="295">
                  <c:v>9172645.262678897</c:v>
                </c:pt>
                <c:pt idx="296">
                  <c:v>9199845.203482518</c:v>
                </c:pt>
                <c:pt idx="297">
                  <c:v>9229539.0635696612</c:v>
                </c:pt>
                <c:pt idx="298">
                  <c:v>9262172.909804048</c:v>
                </c:pt>
                <c:pt idx="299">
                  <c:v>9288308.3728647009</c:v>
                </c:pt>
                <c:pt idx="300">
                  <c:v>9316167.2760806344</c:v>
                </c:pt>
                <c:pt idx="301">
                  <c:v>9346651.891062554</c:v>
                </c:pt>
                <c:pt idx="302">
                  <c:v>9378403.7414527666</c:v>
                </c:pt>
                <c:pt idx="303">
                  <c:v>9412355.5125117786</c:v>
                </c:pt>
                <c:pt idx="304">
                  <c:v>9445405.0119600836</c:v>
                </c:pt>
                <c:pt idx="305">
                  <c:v>9478829.6130892448</c:v>
                </c:pt>
                <c:pt idx="306">
                  <c:v>9511767.5958216209</c:v>
                </c:pt>
                <c:pt idx="307">
                  <c:v>9544614.3376045991</c:v>
                </c:pt>
                <c:pt idx="308">
                  <c:v>9577430.6657377798</c:v>
                </c:pt>
                <c:pt idx="309">
                  <c:v>9608716.1734977402</c:v>
                </c:pt>
                <c:pt idx="310">
                  <c:v>9641725.1214129813</c:v>
                </c:pt>
                <c:pt idx="311">
                  <c:v>9673872.3492505811</c:v>
                </c:pt>
                <c:pt idx="312">
                  <c:v>9707976.1885585878</c:v>
                </c:pt>
                <c:pt idx="313">
                  <c:v>9743083.6783099622</c:v>
                </c:pt>
                <c:pt idx="314">
                  <c:v>9776285.2460072637</c:v>
                </c:pt>
                <c:pt idx="315">
                  <c:v>9809527.3652376309</c:v>
                </c:pt>
                <c:pt idx="316">
                  <c:v>9840011.9802195486</c:v>
                </c:pt>
                <c:pt idx="317">
                  <c:v>9868489.2943147309</c:v>
                </c:pt>
                <c:pt idx="318">
                  <c:v>9902907.4080039933</c:v>
                </c:pt>
                <c:pt idx="319">
                  <c:v>9936818.6275299396</c:v>
                </c:pt>
                <c:pt idx="320">
                  <c:v>9970070.8846435733</c:v>
                </c:pt>
                <c:pt idx="321">
                  <c:v>10001508.460652528</c:v>
                </c:pt>
                <c:pt idx="322">
                  <c:v>10032925.760894952</c:v>
                </c:pt>
                <c:pt idx="323">
                  <c:v>10066157.742242051</c:v>
                </c:pt>
                <c:pt idx="324">
                  <c:v>10070000</c:v>
                </c:pt>
                <c:pt idx="325">
                  <c:v>10070000</c:v>
                </c:pt>
                <c:pt idx="326">
                  <c:v>10070000</c:v>
                </c:pt>
              </c:numCache>
            </c:numRef>
          </c:xVal>
          <c:yVal>
            <c:numRef>
              <c:f>Wafer1!$V$2:$V$328</c:f>
              <c:numCache>
                <c:formatCode>0.00E+00</c:formatCode>
                <c:ptCount val="327"/>
                <c:pt idx="0">
                  <c:v>1.3610800000000001E-6</c:v>
                </c:pt>
                <c:pt idx="1">
                  <c:v>1.3525895E-6</c:v>
                </c:pt>
                <c:pt idx="2">
                  <c:v>1.3887333333333333E-6</c:v>
                </c:pt>
                <c:pt idx="3">
                  <c:v>1.3654469999999999E-6</c:v>
                </c:pt>
                <c:pt idx="4">
                  <c:v>1.4003873999999998E-6</c:v>
                </c:pt>
                <c:pt idx="5">
                  <c:v>1.4386948333333332E-6</c:v>
                </c:pt>
                <c:pt idx="6">
                  <c:v>1.4664495714285713E-6</c:v>
                </c:pt>
                <c:pt idx="7">
                  <c:v>1.473561625E-6</c:v>
                </c:pt>
                <c:pt idx="8">
                  <c:v>1.5003019999999999E-6</c:v>
                </c:pt>
                <c:pt idx="9">
                  <c:v>1.5450405E-6</c:v>
                </c:pt>
                <c:pt idx="10">
                  <c:v>1.5552806363636363E-6</c:v>
                </c:pt>
                <c:pt idx="11">
                  <c:v>1.5696703333333333E-6</c:v>
                </c:pt>
                <c:pt idx="12">
                  <c:v>1.6088132307692309E-6</c:v>
                </c:pt>
                <c:pt idx="13">
                  <c:v>1.6507405714285714E-6</c:v>
                </c:pt>
                <c:pt idx="14">
                  <c:v>1.6809756000000001E-6</c:v>
                </c:pt>
                <c:pt idx="15">
                  <c:v>1.7277751875E-6</c:v>
                </c:pt>
                <c:pt idx="16">
                  <c:v>1.7711418235294118E-6</c:v>
                </c:pt>
                <c:pt idx="17">
                  <c:v>1.8180178333333333E-6</c:v>
                </c:pt>
                <c:pt idx="18">
                  <c:v>1.8655522631578947E-6</c:v>
                </c:pt>
                <c:pt idx="19">
                  <c:v>1.90935105E-6</c:v>
                </c:pt>
                <c:pt idx="20">
                  <c:v>1.974587E-6</c:v>
                </c:pt>
                <c:pt idx="21">
                  <c:v>2.0495053499999997E-6</c:v>
                </c:pt>
                <c:pt idx="22">
                  <c:v>2.1191388999999998E-6</c:v>
                </c:pt>
                <c:pt idx="23">
                  <c:v>2.1969408499999998E-6</c:v>
                </c:pt>
                <c:pt idx="24">
                  <c:v>2.2617177999999996E-6</c:v>
                </c:pt>
                <c:pt idx="25">
                  <c:v>2.3430686999999996E-6</c:v>
                </c:pt>
                <c:pt idx="26">
                  <c:v>2.4185224500000001E-6</c:v>
                </c:pt>
                <c:pt idx="27">
                  <c:v>2.4862922500000003E-6</c:v>
                </c:pt>
                <c:pt idx="28">
                  <c:v>2.5521358999999999E-6</c:v>
                </c:pt>
                <c:pt idx="29">
                  <c:v>2.6146336500000002E-6</c:v>
                </c:pt>
                <c:pt idx="30">
                  <c:v>2.6948364499999999E-6</c:v>
                </c:pt>
                <c:pt idx="31">
                  <c:v>2.7706780500000002E-6</c:v>
                </c:pt>
                <c:pt idx="32">
                  <c:v>2.8240974500000005E-6</c:v>
                </c:pt>
                <c:pt idx="33">
                  <c:v>2.8732698000000002E-6</c:v>
                </c:pt>
                <c:pt idx="34">
                  <c:v>2.9292555500000004E-6</c:v>
                </c:pt>
                <c:pt idx="35">
                  <c:v>2.9746029500000002E-6</c:v>
                </c:pt>
                <c:pt idx="36">
                  <c:v>3.0357447000000004E-6</c:v>
                </c:pt>
                <c:pt idx="37">
                  <c:v>3.0897382500000003E-6</c:v>
                </c:pt>
                <c:pt idx="38">
                  <c:v>3.1421055E-6</c:v>
                </c:pt>
                <c:pt idx="39">
                  <c:v>3.1941773500000005E-6</c:v>
                </c:pt>
                <c:pt idx="40">
                  <c:v>3.2499723500000005E-6</c:v>
                </c:pt>
                <c:pt idx="41">
                  <c:v>3.3043508500000003E-6</c:v>
                </c:pt>
                <c:pt idx="42">
                  <c:v>3.3696053000000001E-6</c:v>
                </c:pt>
                <c:pt idx="43">
                  <c:v>3.4428371000000006E-6</c:v>
                </c:pt>
                <c:pt idx="44">
                  <c:v>3.5118244E-6</c:v>
                </c:pt>
                <c:pt idx="45">
                  <c:v>3.5569241999999999E-6</c:v>
                </c:pt>
                <c:pt idx="46">
                  <c:v>3.6015838000000005E-6</c:v>
                </c:pt>
                <c:pt idx="47">
                  <c:v>3.6666881E-6</c:v>
                </c:pt>
                <c:pt idx="48">
                  <c:v>3.7315254500000004E-6</c:v>
                </c:pt>
                <c:pt idx="49">
                  <c:v>3.7796826500000008E-6</c:v>
                </c:pt>
                <c:pt idx="50">
                  <c:v>3.8321296000000008E-6</c:v>
                </c:pt>
                <c:pt idx="51">
                  <c:v>3.8880935500000006E-6</c:v>
                </c:pt>
                <c:pt idx="52">
                  <c:v>3.9709302999999998E-6</c:v>
                </c:pt>
                <c:pt idx="53">
                  <c:v>4.0498013499999998E-6</c:v>
                </c:pt>
                <c:pt idx="54">
                  <c:v>4.12242605E-6</c:v>
                </c:pt>
                <c:pt idx="55">
                  <c:v>4.2061950500000001E-6</c:v>
                </c:pt>
                <c:pt idx="56">
                  <c:v>4.2653037500000007E-6</c:v>
                </c:pt>
                <c:pt idx="57">
                  <c:v>4.32631185E-6</c:v>
                </c:pt>
                <c:pt idx="58">
                  <c:v>4.3815191000000006E-6</c:v>
                </c:pt>
                <c:pt idx="59">
                  <c:v>4.4519108000000007E-6</c:v>
                </c:pt>
                <c:pt idx="60">
                  <c:v>4.5205869499999999E-6</c:v>
                </c:pt>
                <c:pt idx="61">
                  <c:v>4.5966738000000002E-6</c:v>
                </c:pt>
                <c:pt idx="62">
                  <c:v>4.6573219499999997E-6</c:v>
                </c:pt>
                <c:pt idx="63">
                  <c:v>4.7189979999999996E-6</c:v>
                </c:pt>
                <c:pt idx="64">
                  <c:v>4.7920586999999991E-6</c:v>
                </c:pt>
                <c:pt idx="65">
                  <c:v>4.872263899999999E-6</c:v>
                </c:pt>
                <c:pt idx="66">
                  <c:v>4.9848446499999992E-6</c:v>
                </c:pt>
                <c:pt idx="67">
                  <c:v>5.0862692E-6</c:v>
                </c:pt>
                <c:pt idx="68">
                  <c:v>5.1806455000000003E-6</c:v>
                </c:pt>
                <c:pt idx="69">
                  <c:v>5.2785975000000013E-6</c:v>
                </c:pt>
                <c:pt idx="70">
                  <c:v>5.3880090000000012E-6</c:v>
                </c:pt>
                <c:pt idx="71">
                  <c:v>5.4947967500000014E-6</c:v>
                </c:pt>
                <c:pt idx="72">
                  <c:v>5.5811246500000009E-6</c:v>
                </c:pt>
                <c:pt idx="73">
                  <c:v>5.6696292999999999E-6</c:v>
                </c:pt>
                <c:pt idx="74">
                  <c:v>5.778583599999999E-6</c:v>
                </c:pt>
                <c:pt idx="75">
                  <c:v>5.8753440499999998E-6</c:v>
                </c:pt>
                <c:pt idx="76">
                  <c:v>5.9761973999999995E-6</c:v>
                </c:pt>
                <c:pt idx="77">
                  <c:v>6.070077499999999E-6</c:v>
                </c:pt>
                <c:pt idx="78">
                  <c:v>6.1722151499999992E-6</c:v>
                </c:pt>
                <c:pt idx="79">
                  <c:v>6.2513091500000001E-6</c:v>
                </c:pt>
                <c:pt idx="80">
                  <c:v>6.3338320500000002E-6</c:v>
                </c:pt>
                <c:pt idx="81">
                  <c:v>6.39732455E-6</c:v>
                </c:pt>
                <c:pt idx="82">
                  <c:v>6.4651997499999997E-6</c:v>
                </c:pt>
                <c:pt idx="83">
                  <c:v>6.5221019499999994E-6</c:v>
                </c:pt>
                <c:pt idx="84">
                  <c:v>6.5820739999999998E-6</c:v>
                </c:pt>
                <c:pt idx="85">
                  <c:v>6.6467682999999994E-6</c:v>
                </c:pt>
                <c:pt idx="86">
                  <c:v>6.6936578500000002E-6</c:v>
                </c:pt>
                <c:pt idx="87">
                  <c:v>6.7544244500000005E-6</c:v>
                </c:pt>
                <c:pt idx="88">
                  <c:v>6.8095977499999988E-6</c:v>
                </c:pt>
                <c:pt idx="89">
                  <c:v>6.8749301499999986E-6</c:v>
                </c:pt>
                <c:pt idx="90">
                  <c:v>6.9116067499999993E-6</c:v>
                </c:pt>
                <c:pt idx="91">
                  <c:v>6.9579813000000013E-6</c:v>
                </c:pt>
                <c:pt idx="92">
                  <c:v>7.010276800000001E-6</c:v>
                </c:pt>
                <c:pt idx="93">
                  <c:v>7.0606511500000009E-6</c:v>
                </c:pt>
                <c:pt idx="94">
                  <c:v>7.0978819999999985E-6</c:v>
                </c:pt>
                <c:pt idx="95">
                  <c:v>7.1306000999999982E-6</c:v>
                </c:pt>
                <c:pt idx="96">
                  <c:v>7.1732544999999984E-6</c:v>
                </c:pt>
                <c:pt idx="97">
                  <c:v>7.2166497999999999E-6</c:v>
                </c:pt>
                <c:pt idx="98">
                  <c:v>7.2577147500000003E-6</c:v>
                </c:pt>
                <c:pt idx="99">
                  <c:v>7.3278000499999995E-6</c:v>
                </c:pt>
                <c:pt idx="100">
                  <c:v>7.3983178499999993E-6</c:v>
                </c:pt>
                <c:pt idx="101">
                  <c:v>7.4564942999999989E-6</c:v>
                </c:pt>
                <c:pt idx="102">
                  <c:v>7.5268851500000013E-6</c:v>
                </c:pt>
                <c:pt idx="103">
                  <c:v>7.6111395000000013E-6</c:v>
                </c:pt>
                <c:pt idx="104">
                  <c:v>7.6957050000000002E-6</c:v>
                </c:pt>
                <c:pt idx="105">
                  <c:v>7.7720905499999995E-6</c:v>
                </c:pt>
                <c:pt idx="106">
                  <c:v>7.8506126500000006E-6</c:v>
                </c:pt>
                <c:pt idx="107">
                  <c:v>7.9128899500000003E-6</c:v>
                </c:pt>
                <c:pt idx="108">
                  <c:v>7.9841675000000017E-6</c:v>
                </c:pt>
                <c:pt idx="109">
                  <c:v>8.0691169500000011E-6</c:v>
                </c:pt>
                <c:pt idx="110">
                  <c:v>8.1655550000000022E-6</c:v>
                </c:pt>
                <c:pt idx="111">
                  <c:v>8.2585594000000018E-6</c:v>
                </c:pt>
                <c:pt idx="112">
                  <c:v>8.3478584499999991E-6</c:v>
                </c:pt>
                <c:pt idx="113">
                  <c:v>8.4320867499999989E-6</c:v>
                </c:pt>
                <c:pt idx="114">
                  <c:v>8.5202087999999982E-6</c:v>
                </c:pt>
                <c:pt idx="115">
                  <c:v>8.6240658500000006E-6</c:v>
                </c:pt>
                <c:pt idx="116">
                  <c:v>8.7197766499999989E-6</c:v>
                </c:pt>
                <c:pt idx="117">
                  <c:v>8.8221116999999994E-6</c:v>
                </c:pt>
                <c:pt idx="118">
                  <c:v>8.9166121000000014E-6</c:v>
                </c:pt>
                <c:pt idx="119">
                  <c:v>8.9785723000000006E-6</c:v>
                </c:pt>
                <c:pt idx="120">
                  <c:v>9.0385903500000001E-6</c:v>
                </c:pt>
                <c:pt idx="121">
                  <c:v>9.1266572000000025E-6</c:v>
                </c:pt>
                <c:pt idx="122">
                  <c:v>9.1969971500000028E-6</c:v>
                </c:pt>
                <c:pt idx="123">
                  <c:v>9.2586449000000013E-6</c:v>
                </c:pt>
                <c:pt idx="124">
                  <c:v>9.3142729000000011E-6</c:v>
                </c:pt>
                <c:pt idx="125">
                  <c:v>9.3742162000000011E-6</c:v>
                </c:pt>
                <c:pt idx="126">
                  <c:v>9.4306935500000007E-6</c:v>
                </c:pt>
                <c:pt idx="127">
                  <c:v>9.4928895000000015E-6</c:v>
                </c:pt>
                <c:pt idx="128">
                  <c:v>9.5497713000000001E-6</c:v>
                </c:pt>
                <c:pt idx="129">
                  <c:v>9.5537111999999997E-6</c:v>
                </c:pt>
                <c:pt idx="130">
                  <c:v>9.5752423499999999E-6</c:v>
                </c:pt>
                <c:pt idx="131">
                  <c:v>9.5902279000000018E-6</c:v>
                </c:pt>
                <c:pt idx="132">
                  <c:v>9.6302154000000022E-6</c:v>
                </c:pt>
                <c:pt idx="133">
                  <c:v>9.6431213500000006E-6</c:v>
                </c:pt>
                <c:pt idx="134">
                  <c:v>9.7098849000000007E-6</c:v>
                </c:pt>
                <c:pt idx="135">
                  <c:v>9.7436444500000003E-6</c:v>
                </c:pt>
                <c:pt idx="136">
                  <c:v>9.809952049999997E-6</c:v>
                </c:pt>
                <c:pt idx="137">
                  <c:v>9.884158949999998E-6</c:v>
                </c:pt>
                <c:pt idx="138">
                  <c:v>9.9658643499999977E-6</c:v>
                </c:pt>
                <c:pt idx="139">
                  <c:v>1.0025702399999996E-5</c:v>
                </c:pt>
                <c:pt idx="140">
                  <c:v>1.0100463049999999E-5</c:v>
                </c:pt>
                <c:pt idx="141">
                  <c:v>1.0165182599999999E-5</c:v>
                </c:pt>
                <c:pt idx="142">
                  <c:v>1.0258320899999999E-5</c:v>
                </c:pt>
                <c:pt idx="143">
                  <c:v>1.0345103400000002E-5</c:v>
                </c:pt>
                <c:pt idx="144">
                  <c:v>1.0416593450000001E-5</c:v>
                </c:pt>
                <c:pt idx="145">
                  <c:v>1.04898208E-5</c:v>
                </c:pt>
                <c:pt idx="146">
                  <c:v>1.0544225799999999E-5</c:v>
                </c:pt>
                <c:pt idx="147">
                  <c:v>1.0604062000000002E-5</c:v>
                </c:pt>
                <c:pt idx="148">
                  <c:v>1.0667413300000001E-5</c:v>
                </c:pt>
                <c:pt idx="149">
                  <c:v>1.078620675E-5</c:v>
                </c:pt>
                <c:pt idx="150">
                  <c:v>1.0882839600000002E-5</c:v>
                </c:pt>
                <c:pt idx="151">
                  <c:v>1.0982118449999999E-5</c:v>
                </c:pt>
                <c:pt idx="152">
                  <c:v>1.1030112949999999E-5</c:v>
                </c:pt>
                <c:pt idx="153">
                  <c:v>1.11299195E-5</c:v>
                </c:pt>
                <c:pt idx="154">
                  <c:v>1.1181589999999999E-5</c:v>
                </c:pt>
                <c:pt idx="155">
                  <c:v>1.1240569999999998E-5</c:v>
                </c:pt>
                <c:pt idx="156">
                  <c:v>1.12746405E-5</c:v>
                </c:pt>
                <c:pt idx="157">
                  <c:v>1.1332483000000001E-5</c:v>
                </c:pt>
                <c:pt idx="158">
                  <c:v>1.1398776000000001E-5</c:v>
                </c:pt>
                <c:pt idx="159">
                  <c:v>1.1508898000000002E-5</c:v>
                </c:pt>
                <c:pt idx="160">
                  <c:v>1.1597020000000002E-5</c:v>
                </c:pt>
                <c:pt idx="161">
                  <c:v>1.1689899000000002E-5</c:v>
                </c:pt>
                <c:pt idx="162">
                  <c:v>1.1769275500000001E-5</c:v>
                </c:pt>
                <c:pt idx="163">
                  <c:v>1.1840509499999999E-5</c:v>
                </c:pt>
                <c:pt idx="164">
                  <c:v>1.1898949E-5</c:v>
                </c:pt>
                <c:pt idx="165">
                  <c:v>1.1948268999999999E-5</c:v>
                </c:pt>
                <c:pt idx="166">
                  <c:v>1.2035568499999999E-5</c:v>
                </c:pt>
                <c:pt idx="167">
                  <c:v>1.2126205999999999E-5</c:v>
                </c:pt>
                <c:pt idx="168">
                  <c:v>1.2253351499999998E-5</c:v>
                </c:pt>
                <c:pt idx="169">
                  <c:v>1.2332713E-5</c:v>
                </c:pt>
                <c:pt idx="170">
                  <c:v>1.2433971499999999E-5</c:v>
                </c:pt>
                <c:pt idx="171">
                  <c:v>1.2499481999999999E-5</c:v>
                </c:pt>
                <c:pt idx="172">
                  <c:v>1.2595980999999999E-5</c:v>
                </c:pt>
                <c:pt idx="173">
                  <c:v>1.2717066000000001E-5</c:v>
                </c:pt>
                <c:pt idx="174">
                  <c:v>1.2835929499999999E-5</c:v>
                </c:pt>
                <c:pt idx="175">
                  <c:v>1.2955891499999997E-5</c:v>
                </c:pt>
                <c:pt idx="176">
                  <c:v>1.3073860500000001E-5</c:v>
                </c:pt>
                <c:pt idx="177">
                  <c:v>1.3159709E-5</c:v>
                </c:pt>
                <c:pt idx="178">
                  <c:v>1.32372525E-5</c:v>
                </c:pt>
                <c:pt idx="179">
                  <c:v>1.3273958E-5</c:v>
                </c:pt>
                <c:pt idx="180">
                  <c:v>1.3317170500000001E-5</c:v>
                </c:pt>
                <c:pt idx="181">
                  <c:v>1.3353869500000001E-5</c:v>
                </c:pt>
                <c:pt idx="182">
                  <c:v>1.3414213000000002E-5</c:v>
                </c:pt>
                <c:pt idx="183">
                  <c:v>1.3495362000000001E-5</c:v>
                </c:pt>
                <c:pt idx="184">
                  <c:v>1.3572955499999999E-5</c:v>
                </c:pt>
                <c:pt idx="185">
                  <c:v>1.3673963499999998E-5</c:v>
                </c:pt>
                <c:pt idx="186">
                  <c:v>1.3747735000000003E-5</c:v>
                </c:pt>
                <c:pt idx="187">
                  <c:v>1.3800220500000002E-5</c:v>
                </c:pt>
                <c:pt idx="188">
                  <c:v>1.3860111500000003E-5</c:v>
                </c:pt>
                <c:pt idx="189">
                  <c:v>1.3938954499999999E-5</c:v>
                </c:pt>
                <c:pt idx="190">
                  <c:v>1.40013435E-5</c:v>
                </c:pt>
                <c:pt idx="191">
                  <c:v>1.40860735E-5</c:v>
                </c:pt>
                <c:pt idx="192">
                  <c:v>1.4188975500000002E-5</c:v>
                </c:pt>
                <c:pt idx="193">
                  <c:v>1.4253071499999999E-5</c:v>
                </c:pt>
                <c:pt idx="194">
                  <c:v>1.42910015E-5</c:v>
                </c:pt>
                <c:pt idx="195">
                  <c:v>1.4322642999999998E-5</c:v>
                </c:pt>
                <c:pt idx="196">
                  <c:v>1.4364462499999999E-5</c:v>
                </c:pt>
                <c:pt idx="197">
                  <c:v>1.4428087000000001E-5</c:v>
                </c:pt>
                <c:pt idx="198">
                  <c:v>1.4467057500000001E-5</c:v>
                </c:pt>
                <c:pt idx="199">
                  <c:v>1.4570625000000001E-5</c:v>
                </c:pt>
                <c:pt idx="200">
                  <c:v>1.4673966950000001E-5</c:v>
                </c:pt>
                <c:pt idx="201">
                  <c:v>1.4778033900000003E-5</c:v>
                </c:pt>
                <c:pt idx="202">
                  <c:v>1.4846959450000002E-5</c:v>
                </c:pt>
                <c:pt idx="203">
                  <c:v>1.4889132950000002E-5</c:v>
                </c:pt>
                <c:pt idx="204">
                  <c:v>1.4960056950000003E-5</c:v>
                </c:pt>
                <c:pt idx="205">
                  <c:v>1.4993951949999999E-5</c:v>
                </c:pt>
                <c:pt idx="206">
                  <c:v>1.5079025950000001E-5</c:v>
                </c:pt>
                <c:pt idx="207">
                  <c:v>1.5190923900000001E-5</c:v>
                </c:pt>
                <c:pt idx="208">
                  <c:v>1.52493589E-5</c:v>
                </c:pt>
                <c:pt idx="209">
                  <c:v>1.5278489399999999E-5</c:v>
                </c:pt>
                <c:pt idx="210">
                  <c:v>1.5323574399999999E-5</c:v>
                </c:pt>
                <c:pt idx="211">
                  <c:v>1.53561819E-5</c:v>
                </c:pt>
                <c:pt idx="212">
                  <c:v>1.5372618900000003E-5</c:v>
                </c:pt>
                <c:pt idx="213">
                  <c:v>1.5401087450000001E-5</c:v>
                </c:pt>
                <c:pt idx="214">
                  <c:v>1.5469260000000002E-5</c:v>
                </c:pt>
                <c:pt idx="215">
                  <c:v>1.5564578999999999E-5</c:v>
                </c:pt>
                <c:pt idx="216">
                  <c:v>1.5633001999999996E-5</c:v>
                </c:pt>
                <c:pt idx="217">
                  <c:v>1.5688319499999997E-5</c:v>
                </c:pt>
                <c:pt idx="218">
                  <c:v>1.5765005999999999E-5</c:v>
                </c:pt>
                <c:pt idx="219">
                  <c:v>1.583763255E-5</c:v>
                </c:pt>
                <c:pt idx="220">
                  <c:v>1.5907514150000002E-5</c:v>
                </c:pt>
                <c:pt idx="221">
                  <c:v>1.5974026700000006E-5</c:v>
                </c:pt>
                <c:pt idx="222">
                  <c:v>1.6067807150000002E-5</c:v>
                </c:pt>
                <c:pt idx="223">
                  <c:v>1.6168058650000003E-5</c:v>
                </c:pt>
                <c:pt idx="224">
                  <c:v>1.6265133150000002E-5</c:v>
                </c:pt>
                <c:pt idx="225">
                  <c:v>1.63981866E-5</c:v>
                </c:pt>
                <c:pt idx="226">
                  <c:v>1.6483981600000001E-5</c:v>
                </c:pt>
                <c:pt idx="227">
                  <c:v>1.6536270200000001E-5</c:v>
                </c:pt>
                <c:pt idx="228">
                  <c:v>1.6624473199999999E-5</c:v>
                </c:pt>
                <c:pt idx="229">
                  <c:v>1.67586297E-5</c:v>
                </c:pt>
                <c:pt idx="230">
                  <c:v>1.68778027E-5</c:v>
                </c:pt>
                <c:pt idx="231">
                  <c:v>1.6996205649999997E-5</c:v>
                </c:pt>
                <c:pt idx="232">
                  <c:v>1.7113498599999999E-5</c:v>
                </c:pt>
                <c:pt idx="233">
                  <c:v>1.72220146E-5</c:v>
                </c:pt>
                <c:pt idx="234">
                  <c:v>1.728685955E-5</c:v>
                </c:pt>
                <c:pt idx="235">
                  <c:v>1.7368159549999999E-5</c:v>
                </c:pt>
                <c:pt idx="236">
                  <c:v>1.7479716000000002E-5</c:v>
                </c:pt>
                <c:pt idx="237">
                  <c:v>1.75388625E-5</c:v>
                </c:pt>
                <c:pt idx="238">
                  <c:v>1.761061855E-5</c:v>
                </c:pt>
                <c:pt idx="239">
                  <c:v>1.7644089050000002E-5</c:v>
                </c:pt>
                <c:pt idx="240">
                  <c:v>1.7701301499999997E-5</c:v>
                </c:pt>
                <c:pt idx="241">
                  <c:v>1.7786996450000002E-5</c:v>
                </c:pt>
                <c:pt idx="242">
                  <c:v>1.7852631950000001E-5</c:v>
                </c:pt>
                <c:pt idx="243">
                  <c:v>1.79291325E-5</c:v>
                </c:pt>
                <c:pt idx="244">
                  <c:v>1.801896805E-5</c:v>
                </c:pt>
                <c:pt idx="245">
                  <c:v>1.8095504150000005E-5</c:v>
                </c:pt>
                <c:pt idx="246">
                  <c:v>1.8165603650000001E-5</c:v>
                </c:pt>
                <c:pt idx="247">
                  <c:v>1.8271311100000004E-5</c:v>
                </c:pt>
                <c:pt idx="248">
                  <c:v>1.832527405E-5</c:v>
                </c:pt>
                <c:pt idx="249">
                  <c:v>1.8399875050000001E-5</c:v>
                </c:pt>
                <c:pt idx="250">
                  <c:v>1.8458986549999999E-5</c:v>
                </c:pt>
                <c:pt idx="251">
                  <c:v>1.8535288099999997E-5</c:v>
                </c:pt>
                <c:pt idx="252">
                  <c:v>1.8614212599999998E-5</c:v>
                </c:pt>
                <c:pt idx="253">
                  <c:v>1.8654652099999996E-5</c:v>
                </c:pt>
                <c:pt idx="254">
                  <c:v>1.8715644649999997E-5</c:v>
                </c:pt>
                <c:pt idx="255">
                  <c:v>1.8766457649999995E-5</c:v>
                </c:pt>
                <c:pt idx="256">
                  <c:v>1.8799150149999995E-5</c:v>
                </c:pt>
                <c:pt idx="257">
                  <c:v>1.8895678099999994E-5</c:v>
                </c:pt>
                <c:pt idx="258">
                  <c:v>1.8952891599999998E-5</c:v>
                </c:pt>
                <c:pt idx="259">
                  <c:v>1.9040048549999999E-5</c:v>
                </c:pt>
                <c:pt idx="260">
                  <c:v>1.9151840550000002E-5</c:v>
                </c:pt>
                <c:pt idx="261">
                  <c:v>1.9237877550000002E-5</c:v>
                </c:pt>
                <c:pt idx="262">
                  <c:v>1.9311833550000008E-5</c:v>
                </c:pt>
                <c:pt idx="263">
                  <c:v>1.937511200000001E-5</c:v>
                </c:pt>
                <c:pt idx="264">
                  <c:v>1.9436366900000007E-5</c:v>
                </c:pt>
                <c:pt idx="265">
                  <c:v>1.9486648300000007E-5</c:v>
                </c:pt>
                <c:pt idx="266">
                  <c:v>1.9539083300000006E-5</c:v>
                </c:pt>
                <c:pt idx="267">
                  <c:v>1.9550716300000001E-5</c:v>
                </c:pt>
                <c:pt idx="268">
                  <c:v>1.9610726300000001E-5</c:v>
                </c:pt>
                <c:pt idx="269">
                  <c:v>1.9631341849999997E-5</c:v>
                </c:pt>
                <c:pt idx="270">
                  <c:v>1.9685447899999999E-5</c:v>
                </c:pt>
                <c:pt idx="271">
                  <c:v>1.9739600899999994E-5</c:v>
                </c:pt>
                <c:pt idx="272">
                  <c:v>1.9781549899999995E-5</c:v>
                </c:pt>
                <c:pt idx="273">
                  <c:v>1.9863019349999999E-5</c:v>
                </c:pt>
                <c:pt idx="274">
                  <c:v>1.9945464850000001E-5</c:v>
                </c:pt>
                <c:pt idx="275">
                  <c:v>2.0000406849999998E-5</c:v>
                </c:pt>
                <c:pt idx="276">
                  <c:v>2.0057310850000001E-5</c:v>
                </c:pt>
                <c:pt idx="277">
                  <c:v>2.0110394900000001E-5</c:v>
                </c:pt>
                <c:pt idx="278">
                  <c:v>2.0208208300000001E-5</c:v>
                </c:pt>
                <c:pt idx="279">
                  <c:v>2.0260524249999998E-5</c:v>
                </c:pt>
                <c:pt idx="280">
                  <c:v>2.0276467699999999E-5</c:v>
                </c:pt>
                <c:pt idx="281">
                  <c:v>2.0295535749999999E-5</c:v>
                </c:pt>
                <c:pt idx="282">
                  <c:v>2.0354105749999996E-5</c:v>
                </c:pt>
                <c:pt idx="283">
                  <c:v>2.0428416249999999E-5</c:v>
                </c:pt>
                <c:pt idx="284">
                  <c:v>2.0506384350000001E-5</c:v>
                </c:pt>
                <c:pt idx="285">
                  <c:v>2.0586741950000003E-5</c:v>
                </c:pt>
                <c:pt idx="286">
                  <c:v>2.0670806450000001E-5</c:v>
                </c:pt>
                <c:pt idx="287">
                  <c:v>2.0770293999999997E-5</c:v>
                </c:pt>
                <c:pt idx="288">
                  <c:v>2.083160205E-5</c:v>
                </c:pt>
                <c:pt idx="289">
                  <c:v>2.0882962999999999E-5</c:v>
                </c:pt>
                <c:pt idx="290">
                  <c:v>2.0944750949999997E-5</c:v>
                </c:pt>
                <c:pt idx="291">
                  <c:v>2.1003979449999996E-5</c:v>
                </c:pt>
                <c:pt idx="292">
                  <c:v>2.1081777999999998E-5</c:v>
                </c:pt>
                <c:pt idx="293">
                  <c:v>2.1173344E-5</c:v>
                </c:pt>
                <c:pt idx="294">
                  <c:v>2.1257921449999998E-5</c:v>
                </c:pt>
                <c:pt idx="295">
                  <c:v>2.1356214499999997E-5</c:v>
                </c:pt>
                <c:pt idx="296">
                  <c:v>2.1485872549999998E-5</c:v>
                </c:pt>
                <c:pt idx="297">
                  <c:v>2.1563087999999997E-5</c:v>
                </c:pt>
                <c:pt idx="298">
                  <c:v>2.1638008550000001E-5</c:v>
                </c:pt>
                <c:pt idx="299">
                  <c:v>2.1711602599999999E-5</c:v>
                </c:pt>
                <c:pt idx="300">
                  <c:v>2.1807106200000003E-5</c:v>
                </c:pt>
                <c:pt idx="301">
                  <c:v>2.1883518749999998E-5</c:v>
                </c:pt>
                <c:pt idx="302">
                  <c:v>2.1921994300000003E-5</c:v>
                </c:pt>
                <c:pt idx="303">
                  <c:v>2.1977169799999998E-5</c:v>
                </c:pt>
                <c:pt idx="304">
                  <c:v>2.2062766250000001E-5</c:v>
                </c:pt>
                <c:pt idx="305">
                  <c:v>2.2105009200000004E-5</c:v>
                </c:pt>
                <c:pt idx="306">
                  <c:v>2.2145201150000003E-5</c:v>
                </c:pt>
                <c:pt idx="307">
                  <c:v>2.2192219650000002E-5</c:v>
                </c:pt>
                <c:pt idx="308">
                  <c:v>2.2287496700000007E-5</c:v>
                </c:pt>
                <c:pt idx="309">
                  <c:v>2.2397709750000002E-5</c:v>
                </c:pt>
                <c:pt idx="310">
                  <c:v>2.2484730750000001E-5</c:v>
                </c:pt>
                <c:pt idx="311">
                  <c:v>2.2600886750000001E-5</c:v>
                </c:pt>
                <c:pt idx="312">
                  <c:v>2.268932375E-5</c:v>
                </c:pt>
                <c:pt idx="313">
                  <c:v>2.2781212749999994E-5</c:v>
                </c:pt>
                <c:pt idx="314">
                  <c:v>2.2885621299999995E-5</c:v>
                </c:pt>
                <c:pt idx="315">
                  <c:v>2.2981853299999997E-5</c:v>
                </c:pt>
                <c:pt idx="316">
                  <c:v>2.304602175E-5</c:v>
                </c:pt>
                <c:pt idx="317">
                  <c:v>2.3124942799999997E-5</c:v>
                </c:pt>
                <c:pt idx="318">
                  <c:v>2.3210715349999996E-5</c:v>
                </c:pt>
                <c:pt idx="319">
                  <c:v>2.3349160349999998E-5</c:v>
                </c:pt>
                <c:pt idx="320">
                  <c:v>2.3442541249999996E-5</c:v>
                </c:pt>
                <c:pt idx="321">
                  <c:v>2.3545937699999993E-5</c:v>
                </c:pt>
                <c:pt idx="322">
                  <c:v>2.367778315E-5</c:v>
                </c:pt>
                <c:pt idx="323">
                  <c:v>2.3776299199999998E-5</c:v>
                </c:pt>
                <c:pt idx="324">
                  <c:v>2.3827244699999996E-5</c:v>
                </c:pt>
                <c:pt idx="325">
                  <c:v>2.3923765149999998E-5</c:v>
                </c:pt>
                <c:pt idx="326">
                  <c:v>2.4010330249999997E-5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3E1-40D8-A61B-3860D7BB3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>
              <a:glow rad="1168400">
                <a:schemeClr val="accent4">
                  <a:alpha val="13000"/>
                </a:schemeClr>
              </a:glow>
              <a:innerShdw dir="6600000">
                <a:schemeClr val="accent5">
                  <a:alpha val="50000"/>
                </a:schemeClr>
              </a:innerShdw>
              <a:softEdge rad="12700"/>
            </a:effectLst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rgbClr val="595959"/>
                    </a:solidFill>
                    <a:latin typeface="+mn-lt"/>
                    <a:ea typeface="+mn-ea"/>
                    <a:cs typeface="+mn-cs"/>
                  </a:rPr>
                  <a:t>FLUENCE (IONS)/CM2 </a:t>
                </a:r>
              </a:p>
            </c:rich>
          </c:tx>
          <c:layout>
            <c:manualLayout>
              <c:xMode val="edge"/>
              <c:yMode val="edge"/>
              <c:x val="0.46196694272750854"/>
              <c:y val="0.94940961268878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400" b="0" i="0" u="none" strike="noStrike" kern="1200" baseline="0">
                  <a:solidFill>
                    <a:srgbClr val="595959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IDS</a:t>
                </a:r>
                <a:r>
                  <a:rPr lang="en-US" sz="1800" baseline="0"/>
                  <a:t> (A)</a:t>
                </a:r>
                <a:endParaRPr lang="en-US" sz="1800"/>
              </a:p>
            </c:rich>
          </c:tx>
          <c:layout>
            <c:manualLayout>
              <c:xMode val="edge"/>
              <c:yMode val="edge"/>
              <c:x val="1.0726335752375518E-2"/>
              <c:y val="0.398507129736745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7698509275252023"/>
          <c:y val="0.62187320074139307"/>
          <c:w val="0.11143896164738791"/>
          <c:h val="0.22537720347560897"/>
        </c:manualLayout>
      </c:layout>
      <c:overlay val="0"/>
      <c:spPr>
        <a:solidFill>
          <a:schemeClr val="accent4">
            <a:lumMod val="20000"/>
            <a:lumOff val="80000"/>
            <a:alpha val="94000"/>
          </a:schemeClr>
        </a:solidFill>
        <a:ln>
          <a:solidFill>
            <a:schemeClr val="accent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IGS VS FLUENCE LOT: E4197M EPI ID: : G322600089  WAFERS: R140, R141</a:t>
            </a:r>
          </a:p>
        </c:rich>
      </c:tx>
      <c:layout>
        <c:manualLayout>
          <c:xMode val="edge"/>
          <c:yMode val="edge"/>
          <c:x val="0.24182816548359726"/>
          <c:y val="1.1148272017837236E-2"/>
        </c:manualLayout>
      </c:layout>
      <c:overlay val="0"/>
      <c:spPr>
        <a:solidFill>
          <a:schemeClr val="accent6">
            <a:lumMod val="40000"/>
            <a:lumOff val="60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70497988929048E-2"/>
          <c:y val="3.0143926309729417E-2"/>
          <c:w val="0.89368249250538312"/>
          <c:h val="0.816933072939342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GRAPH!$T$28</c:f>
              <c:strCache>
                <c:ptCount val="1"/>
                <c:pt idx="0">
                  <c:v>IGS__R140-1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Wafer1!$A$2:$A$387</c:f>
              <c:numCache>
                <c:formatCode>0.00E+00</c:formatCode>
                <c:ptCount val="3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2576.3279527912355</c:v>
                </c:pt>
                <c:pt idx="4">
                  <c:v>37372.151697660913</c:v>
                </c:pt>
                <c:pt idx="5">
                  <c:v>71223.664001666868</c:v>
                </c:pt>
                <c:pt idx="6">
                  <c:v>103422.63128416131</c:v>
                </c:pt>
                <c:pt idx="7">
                  <c:v>139829.94303137451</c:v>
                </c:pt>
                <c:pt idx="8">
                  <c:v>175385.32163085195</c:v>
                </c:pt>
                <c:pt idx="9">
                  <c:v>207502.17487501045</c:v>
                </c:pt>
                <c:pt idx="10">
                  <c:v>242646.98328280801</c:v>
                </c:pt>
                <c:pt idx="11">
                  <c:v>275697.88371303817</c:v>
                </c:pt>
                <c:pt idx="12">
                  <c:v>309200.41135411628</c:v>
                </c:pt>
                <c:pt idx="13">
                  <c:v>341861.27010225056</c:v>
                </c:pt>
                <c:pt idx="14">
                  <c:v>376718.67937587225</c:v>
                </c:pt>
                <c:pt idx="15">
                  <c:v>402564.07294212055</c:v>
                </c:pt>
                <c:pt idx="16">
                  <c:v>428625.01585900079</c:v>
                </c:pt>
                <c:pt idx="17">
                  <c:v>453413.19118167349</c:v>
                </c:pt>
                <c:pt idx="18">
                  <c:v>486320.3920448157</c:v>
                </c:pt>
                <c:pt idx="19">
                  <c:v>500957.21937820339</c:v>
                </c:pt>
                <c:pt idx="20">
                  <c:v>521064.89451572538</c:v>
                </c:pt>
                <c:pt idx="21">
                  <c:v>549691.90113060491</c:v>
                </c:pt>
                <c:pt idx="22">
                  <c:v>559032.37299132207</c:v>
                </c:pt>
                <c:pt idx="23">
                  <c:v>579848.28170949197</c:v>
                </c:pt>
                <c:pt idx="24">
                  <c:v>604000.07323506079</c:v>
                </c:pt>
                <c:pt idx="25">
                  <c:v>630451.05783403688</c:v>
                </c:pt>
                <c:pt idx="26">
                  <c:v>666355.42109644227</c:v>
                </c:pt>
                <c:pt idx="27">
                  <c:v>700401.95424149616</c:v>
                </c:pt>
                <c:pt idx="28">
                  <c:v>732251.93686106277</c:v>
                </c:pt>
                <c:pt idx="29">
                  <c:v>768669.51286306791</c:v>
                </c:pt>
                <c:pt idx="30">
                  <c:v>798240.83091881115</c:v>
                </c:pt>
                <c:pt idx="31">
                  <c:v>822351.56542521203</c:v>
                </c:pt>
                <c:pt idx="32">
                  <c:v>854437.62590499443</c:v>
                </c:pt>
                <c:pt idx="33">
                  <c:v>888350.72373775241</c:v>
                </c:pt>
                <c:pt idx="34">
                  <c:v>915920.51210905623</c:v>
                </c:pt>
                <c:pt idx="35">
                  <c:v>941591.41334384063</c:v>
                </c:pt>
                <c:pt idx="36">
                  <c:v>968042.39794281672</c:v>
                </c:pt>
                <c:pt idx="37">
                  <c:v>989936.0534141463</c:v>
                </c:pt>
                <c:pt idx="38">
                  <c:v>1022750.8759841606</c:v>
                </c:pt>
                <c:pt idx="39">
                  <c:v>1041082.8350426671</c:v>
                </c:pt>
                <c:pt idx="40">
                  <c:v>1056161.0253321107</c:v>
                </c:pt>
                <c:pt idx="41">
                  <c:v>1073097.0457389057</c:v>
                </c:pt>
                <c:pt idx="42">
                  <c:v>1102904.4416548647</c:v>
                </c:pt>
                <c:pt idx="43">
                  <c:v>1132003.6039901762</c:v>
                </c:pt>
                <c:pt idx="44">
                  <c:v>1147235.7581014996</c:v>
                </c:pt>
                <c:pt idx="45">
                  <c:v>1172814.2810431561</c:v>
                </c:pt>
                <c:pt idx="46">
                  <c:v>1180132.6947098498</c:v>
                </c:pt>
                <c:pt idx="47">
                  <c:v>1213809.7146823918</c:v>
                </c:pt>
                <c:pt idx="48">
                  <c:v>1227235.3599503238</c:v>
                </c:pt>
                <c:pt idx="49">
                  <c:v>1253101.2820261561</c:v>
                </c:pt>
                <c:pt idx="50">
                  <c:v>1264925.7035465366</c:v>
                </c:pt>
                <c:pt idx="51">
                  <c:v>1292618.6629753446</c:v>
                </c:pt>
                <c:pt idx="52">
                  <c:v>1321153.2912970961</c:v>
                </c:pt>
                <c:pt idx="53">
                  <c:v>1348045.6388521281</c:v>
                </c:pt>
                <c:pt idx="54">
                  <c:v>1352366.8901195587</c:v>
                </c:pt>
                <c:pt idx="55">
                  <c:v>1382317.9856026059</c:v>
                </c:pt>
                <c:pt idx="56">
                  <c:v>1393413.6450327546</c:v>
                </c:pt>
                <c:pt idx="57">
                  <c:v>1429933.8635826798</c:v>
                </c:pt>
                <c:pt idx="58">
                  <c:v>1434090.8867734384</c:v>
                </c:pt>
                <c:pt idx="59">
                  <c:v>1461455.3900489025</c:v>
                </c:pt>
                <c:pt idx="60">
                  <c:v>1480136.3337703368</c:v>
                </c:pt>
                <c:pt idx="61">
                  <c:v>1501896.5539293704</c:v>
                </c:pt>
                <c:pt idx="62">
                  <c:v>1507459.7800266328</c:v>
                </c:pt>
                <c:pt idx="63">
                  <c:v>1534516.3556583368</c:v>
                </c:pt>
                <c:pt idx="64">
                  <c:v>1569763.8066140541</c:v>
                </c:pt>
                <c:pt idx="65">
                  <c:v>1598667.9481083176</c:v>
                </c:pt>
                <c:pt idx="66">
                  <c:v>1618077.6539199839</c:v>
                </c:pt>
                <c:pt idx="67">
                  <c:v>1648408.5268303349</c:v>
                </c:pt>
                <c:pt idx="68">
                  <c:v>1678369.886568174</c:v>
                </c:pt>
                <c:pt idx="69">
                  <c:v>1705508.576238214</c:v>
                </c:pt>
                <c:pt idx="70">
                  <c:v>1732585.680379502</c:v>
                </c:pt>
                <c:pt idx="71">
                  <c:v>1760925.2878602054</c:v>
                </c:pt>
                <c:pt idx="72">
                  <c:v>1790404.2276228208</c:v>
                </c:pt>
                <c:pt idx="73">
                  <c:v>1826072.5130250102</c:v>
                </c:pt>
                <c:pt idx="74">
                  <c:v>1841078.8535309096</c:v>
                </c:pt>
                <c:pt idx="75">
                  <c:v>1867057.6824094539</c:v>
                </c:pt>
                <c:pt idx="76">
                  <c:v>1892769.6406634063</c:v>
                </c:pt>
                <c:pt idx="77">
                  <c:v>1920113.6154292864</c:v>
                </c:pt>
                <c:pt idx="78">
                  <c:v>1946482.4859899264</c:v>
                </c:pt>
                <c:pt idx="79">
                  <c:v>1972358.6723205508</c:v>
                </c:pt>
                <c:pt idx="80">
                  <c:v>1989274.1642177617</c:v>
                </c:pt>
                <c:pt idx="81">
                  <c:v>2006754.1901285325</c:v>
                </c:pt>
                <c:pt idx="82">
                  <c:v>2033821.0300150285</c:v>
                </c:pt>
                <c:pt idx="83">
                  <c:v>2065547.841577091</c:v>
                </c:pt>
                <c:pt idx="84">
                  <c:v>2082945.7534495259</c:v>
                </c:pt>
                <c:pt idx="85">
                  <c:v>2106625.3892546631</c:v>
                </c:pt>
                <c:pt idx="86">
                  <c:v>2136083.800507694</c:v>
                </c:pt>
                <c:pt idx="87">
                  <c:v>2165070.0560402935</c:v>
                </c:pt>
                <c:pt idx="88">
                  <c:v>2185937.2860324234</c:v>
                </c:pt>
                <c:pt idx="89">
                  <c:v>2201518.4248066749</c:v>
                </c:pt>
                <c:pt idx="90">
                  <c:v>2224541.1483051241</c:v>
                </c:pt>
                <c:pt idx="91">
                  <c:v>2254913.0782346427</c:v>
                </c:pt>
                <c:pt idx="92">
                  <c:v>2288939.0828701127</c:v>
                </c:pt>
                <c:pt idx="93">
                  <c:v>2321784.6982045029</c:v>
                </c:pt>
                <c:pt idx="94">
                  <c:v>2355492.5109414211</c:v>
                </c:pt>
                <c:pt idx="95">
                  <c:v>2380988.9198447415</c:v>
                </c:pt>
                <c:pt idx="96">
                  <c:v>2410878.4297990366</c:v>
                </c:pt>
                <c:pt idx="97">
                  <c:v>2444873.6416701307</c:v>
                </c:pt>
                <c:pt idx="98">
                  <c:v>2462507.6314027812</c:v>
                </c:pt>
                <c:pt idx="99">
                  <c:v>2478530.1331330887</c:v>
                </c:pt>
                <c:pt idx="100">
                  <c:v>2500290.353292122</c:v>
                </c:pt>
                <c:pt idx="101">
                  <c:v>2530723.8687503929</c:v>
                </c:pt>
                <c:pt idx="102">
                  <c:v>2560428.6221184321</c:v>
                </c:pt>
                <c:pt idx="103">
                  <c:v>2584426.4498221213</c:v>
                </c:pt>
                <c:pt idx="104">
                  <c:v>2605119.1874827868</c:v>
                </c:pt>
                <c:pt idx="105">
                  <c:v>2637934.0100528011</c:v>
                </c:pt>
                <c:pt idx="106">
                  <c:v>2664477.3729449054</c:v>
                </c:pt>
                <c:pt idx="107">
                  <c:v>2684195.0064003314</c:v>
                </c:pt>
                <c:pt idx="108">
                  <c:v>2717050.8859895137</c:v>
                </c:pt>
                <c:pt idx="109">
                  <c:v>2747997.6141873845</c:v>
                </c:pt>
                <c:pt idx="110">
                  <c:v>2766575.9153608992</c:v>
                </c:pt>
                <c:pt idx="111">
                  <c:v>2799821.8366321772</c:v>
                </c:pt>
                <c:pt idx="112">
                  <c:v>2812703.4763961337</c:v>
                </c:pt>
                <c:pt idx="113">
                  <c:v>2834792.1527085109</c:v>
                </c:pt>
                <c:pt idx="114">
                  <c:v>2868705.2505412688</c:v>
                </c:pt>
                <c:pt idx="115">
                  <c:v>2900473.1191224996</c:v>
                </c:pt>
                <c:pt idx="116">
                  <c:v>2930875.8418163946</c:v>
                </c:pt>
                <c:pt idx="117">
                  <c:v>2960570.3309296416</c:v>
                </c:pt>
                <c:pt idx="118">
                  <c:v>2988992.0524486811</c:v>
                </c:pt>
                <c:pt idx="119">
                  <c:v>3004491.0771845966</c:v>
                </c:pt>
                <c:pt idx="120">
                  <c:v>3034349.7943745158</c:v>
                </c:pt>
                <c:pt idx="121">
                  <c:v>3051101.0581950545</c:v>
                </c:pt>
                <c:pt idx="122">
                  <c:v>3080272.07031391</c:v>
                </c:pt>
                <c:pt idx="123">
                  <c:v>3111003.2491611489</c:v>
                </c:pt>
                <c:pt idx="124">
                  <c:v>3146445.7209579144</c:v>
                </c:pt>
                <c:pt idx="125">
                  <c:v>3175072.7275727941</c:v>
                </c:pt>
                <c:pt idx="126">
                  <c:v>3203956.3405574732</c:v>
                </c:pt>
                <c:pt idx="127">
                  <c:v>3229339.842658082</c:v>
                </c:pt>
                <c:pt idx="128">
                  <c:v>3264012.4953454477</c:v>
                </c:pt>
                <c:pt idx="129">
                  <c:v>3280866.4017139063</c:v>
                </c:pt>
                <c:pt idx="130">
                  <c:v>3308087.2054222822</c:v>
                </c:pt>
                <c:pt idx="131">
                  <c:v>3342893.2934219441</c:v>
                </c:pt>
                <c:pt idx="132">
                  <c:v>3376457.406591774</c:v>
                </c:pt>
                <c:pt idx="133">
                  <c:v>3412762.0757910674</c:v>
                </c:pt>
                <c:pt idx="134">
                  <c:v>3441471.1964442828</c:v>
                </c:pt>
                <c:pt idx="135">
                  <c:v>3475610.1078824648</c:v>
                </c:pt>
                <c:pt idx="136">
                  <c:v>3510210.9107862865</c:v>
                </c:pt>
                <c:pt idx="137">
                  <c:v>3540357.0271103815</c:v>
                </c:pt>
                <c:pt idx="138">
                  <c:v>3565617.3581534862</c:v>
                </c:pt>
                <c:pt idx="139">
                  <c:v>3594285.4217875334</c:v>
                </c:pt>
                <c:pt idx="140">
                  <c:v>3623302.4700845089</c:v>
                </c:pt>
                <c:pt idx="141">
                  <c:v>3656692.0909228749</c:v>
                </c:pt>
                <c:pt idx="142">
                  <c:v>3689127.1360655855</c:v>
                </c:pt>
                <c:pt idx="143">
                  <c:v>3717661.764387337</c:v>
                </c:pt>
                <c:pt idx="144">
                  <c:v>3750230.244842343</c:v>
                </c:pt>
                <c:pt idx="145">
                  <c:v>3780304.5113828941</c:v>
                </c:pt>
                <c:pt idx="146">
                  <c:v>3801007.5132983522</c:v>
                </c:pt>
                <c:pt idx="147">
                  <c:v>3828115.4102040161</c:v>
                </c:pt>
                <c:pt idx="148">
                  <c:v>3861032.8753219503</c:v>
                </c:pt>
                <c:pt idx="149">
                  <c:v>3892000.1320294053</c:v>
                </c:pt>
                <c:pt idx="150">
                  <c:v>3924096.4567639795</c:v>
                </c:pt>
                <c:pt idx="151">
                  <c:v>3955166.3560193544</c:v>
                </c:pt>
                <c:pt idx="152">
                  <c:v>3987262.6807539291</c:v>
                </c:pt>
                <c:pt idx="153">
                  <c:v>4019718.2544062231</c:v>
                </c:pt>
                <c:pt idx="154">
                  <c:v>4040780.505239401</c:v>
                </c:pt>
                <c:pt idx="155">
                  <c:v>4067303.3396219211</c:v>
                </c:pt>
                <c:pt idx="156">
                  <c:v>4089545.9797561788</c:v>
                </c:pt>
                <c:pt idx="157">
                  <c:v>4122247.8955234811</c:v>
                </c:pt>
                <c:pt idx="158">
                  <c:v>4156458.6567452066</c:v>
                </c:pt>
                <c:pt idx="159">
                  <c:v>4191182.6307065324</c:v>
                </c:pt>
                <c:pt idx="160">
                  <c:v>4224541.4587805225</c:v>
                </c:pt>
                <c:pt idx="161">
                  <c:v>4258054.2506763926</c:v>
                </c:pt>
                <c:pt idx="162">
                  <c:v>4284802.8986643367</c:v>
                </c:pt>
                <c:pt idx="163">
                  <c:v>4308790.4621132333</c:v>
                </c:pt>
                <c:pt idx="164">
                  <c:v>4344571.6543181352</c:v>
                </c:pt>
                <c:pt idx="165">
                  <c:v>4379860.1622930206</c:v>
                </c:pt>
                <c:pt idx="166">
                  <c:v>4410139.713929411</c:v>
                </c:pt>
                <c:pt idx="167">
                  <c:v>4442277.0956831537</c:v>
                </c:pt>
                <c:pt idx="168">
                  <c:v>4474722.4050806565</c:v>
                </c:pt>
                <c:pt idx="169">
                  <c:v>4505658.8690237347</c:v>
                </c:pt>
                <c:pt idx="170">
                  <c:v>4541286.0974067561</c:v>
                </c:pt>
                <c:pt idx="171">
                  <c:v>4578576.1350660818</c:v>
                </c:pt>
                <c:pt idx="172">
                  <c:v>4613618.3009259589</c:v>
                </c:pt>
                <c:pt idx="173">
                  <c:v>4645047.4490990536</c:v>
                </c:pt>
                <c:pt idx="174">
                  <c:v>4664118.4345025839</c:v>
                </c:pt>
                <c:pt idx="175">
                  <c:v>4689707.2216990329</c:v>
                </c:pt>
                <c:pt idx="176">
                  <c:v>4716332.6986294724</c:v>
                </c:pt>
                <c:pt idx="177">
                  <c:v>4728937.2035140451</c:v>
                </c:pt>
                <c:pt idx="178">
                  <c:v>4741377.4803219456</c:v>
                </c:pt>
                <c:pt idx="179">
                  <c:v>4772262.6229910636</c:v>
                </c:pt>
                <c:pt idx="180">
                  <c:v>4797389.5187218729</c:v>
                </c:pt>
                <c:pt idx="181">
                  <c:v>4819734.8014040496</c:v>
                </c:pt>
                <c:pt idx="182">
                  <c:v>4852590.6809932319</c:v>
                </c:pt>
                <c:pt idx="183">
                  <c:v>4868017.8559456039</c:v>
                </c:pt>
                <c:pt idx="184">
                  <c:v>4898595.0709709628</c:v>
                </c:pt>
                <c:pt idx="185">
                  <c:v>4910255.2644146709</c:v>
                </c:pt>
                <c:pt idx="186">
                  <c:v>4926021.1597751779</c:v>
                </c:pt>
                <c:pt idx="187">
                  <c:v>4948233.0071450602</c:v>
                </c:pt>
                <c:pt idx="188">
                  <c:v>4976141.5159244994</c:v>
                </c:pt>
                <c:pt idx="189">
                  <c:v>5002736.2000905639</c:v>
                </c:pt>
                <c:pt idx="190">
                  <c:v>5036659.5621781135</c:v>
                </c:pt>
                <c:pt idx="191">
                  <c:v>5066980.1708336724</c:v>
                </c:pt>
                <c:pt idx="192">
                  <c:v>5089027.7901268816</c:v>
                </c:pt>
                <c:pt idx="193">
                  <c:v>5123495.1577184079</c:v>
                </c:pt>
                <c:pt idx="194">
                  <c:v>5144957.7144884737</c:v>
                </c:pt>
                <c:pt idx="195">
                  <c:v>5167693.0388527466</c:v>
                </c:pt>
                <c:pt idx="196">
                  <c:v>5198639.7670506174</c:v>
                </c:pt>
                <c:pt idx="197">
                  <c:v>5230582.127963312</c:v>
                </c:pt>
                <c:pt idx="198">
                  <c:v>5266353.0559134213</c:v>
                </c:pt>
                <c:pt idx="199">
                  <c:v>5294066.5438518133</c:v>
                </c:pt>
                <c:pt idx="200">
                  <c:v>5326604.2315424439</c:v>
                </c:pt>
                <c:pt idx="201">
                  <c:v>5360681.5574518731</c:v>
                </c:pt>
                <c:pt idx="202">
                  <c:v>5392100.4413701762</c:v>
                </c:pt>
                <c:pt idx="203">
                  <c:v>5419033.8459443757</c:v>
                </c:pt>
                <c:pt idx="204">
                  <c:v>5453798.8769248696</c:v>
                </c:pt>
                <c:pt idx="205">
                  <c:v>5486090.2225004919</c:v>
                </c:pt>
                <c:pt idx="206">
                  <c:v>5516975.3651696108</c:v>
                </c:pt>
                <c:pt idx="207">
                  <c:v>5550108.3796381773</c:v>
                </c:pt>
                <c:pt idx="208">
                  <c:v>5567342.0634339405</c:v>
                </c:pt>
                <c:pt idx="209">
                  <c:v>5589492.3252750691</c:v>
                </c:pt>
                <c:pt idx="210">
                  <c:v>5600577.7204504265</c:v>
                </c:pt>
                <c:pt idx="211">
                  <c:v>5622389.2618834199</c:v>
                </c:pt>
                <c:pt idx="212">
                  <c:v>5631914.4903303925</c:v>
                </c:pt>
                <c:pt idx="213">
                  <c:v>5639951.4018325265</c:v>
                </c:pt>
                <c:pt idx="214">
                  <c:v>5670446.5028195493</c:v>
                </c:pt>
                <c:pt idx="215">
                  <c:v>5701187.9459215803</c:v>
                </c:pt>
                <c:pt idx="216">
                  <c:v>5723430.5860558376</c:v>
                </c:pt>
                <c:pt idx="217">
                  <c:v>5737718.4287262978</c:v>
                </c:pt>
                <c:pt idx="218">
                  <c:v>5760966.9658301705</c:v>
                </c:pt>
                <c:pt idx="219">
                  <c:v>5775049.5234047901</c:v>
                </c:pt>
                <c:pt idx="220">
                  <c:v>5797733.5264951037</c:v>
                </c:pt>
                <c:pt idx="221">
                  <c:v>5826144.9837593511</c:v>
                </c:pt>
                <c:pt idx="222">
                  <c:v>5858107.8731816299</c:v>
                </c:pt>
                <c:pt idx="223">
                  <c:v>5892544.4480087794</c:v>
                </c:pt>
                <c:pt idx="224">
                  <c:v>5928356.4329780573</c:v>
                </c:pt>
                <c:pt idx="225">
                  <c:v>5964260.796240462</c:v>
                </c:pt>
                <c:pt idx="226">
                  <c:v>5992189.8335294863</c:v>
                </c:pt>
                <c:pt idx="227">
                  <c:v>6019862.2644487098</c:v>
                </c:pt>
                <c:pt idx="228">
                  <c:v>6047514.1668583499</c:v>
                </c:pt>
                <c:pt idx="229">
                  <c:v>6069572.0504063508</c:v>
                </c:pt>
                <c:pt idx="230">
                  <c:v>6088047.709031946</c:v>
                </c:pt>
                <c:pt idx="231">
                  <c:v>6110926.7329633068</c:v>
                </c:pt>
                <c:pt idx="232">
                  <c:v>6136761.8622747632</c:v>
                </c:pt>
                <c:pt idx="233">
                  <c:v>6163459.1889887471</c:v>
                </c:pt>
                <c:pt idx="234">
                  <c:v>6180097.5460065743</c:v>
                </c:pt>
                <c:pt idx="235">
                  <c:v>6209063.27302959</c:v>
                </c:pt>
                <c:pt idx="236">
                  <c:v>6243099.5419198517</c:v>
                </c:pt>
                <c:pt idx="237">
                  <c:v>6272147.3829812026</c:v>
                </c:pt>
                <c:pt idx="238">
                  <c:v>6305465.1540360255</c:v>
                </c:pt>
                <c:pt idx="239">
                  <c:v>6328877.9192165704</c:v>
                </c:pt>
                <c:pt idx="240">
                  <c:v>6341574.80239427</c:v>
                </c:pt>
                <c:pt idx="241">
                  <c:v>6371033.2136473013</c:v>
                </c:pt>
                <c:pt idx="242">
                  <c:v>6401600.1644178685</c:v>
                </c:pt>
                <c:pt idx="243">
                  <c:v>6429611.315745228</c:v>
                </c:pt>
                <c:pt idx="244">
                  <c:v>6440470.8973151613</c:v>
                </c:pt>
                <c:pt idx="245">
                  <c:v>6472238.7658963921</c:v>
                </c:pt>
                <c:pt idx="246">
                  <c:v>6502261.7111629825</c:v>
                </c:pt>
                <c:pt idx="247">
                  <c:v>6529821.2352794949</c:v>
                </c:pt>
                <c:pt idx="248">
                  <c:v>6556580.1475222306</c:v>
                </c:pt>
                <c:pt idx="249">
                  <c:v>6585237.9469014863</c:v>
                </c:pt>
                <c:pt idx="250">
                  <c:v>6616862.1159156291</c:v>
                </c:pt>
                <c:pt idx="251">
                  <c:v>6659068.7316203201</c:v>
                </c:pt>
                <c:pt idx="252">
                  <c:v>6687244.1110243518</c:v>
                </c:pt>
                <c:pt idx="253">
                  <c:v>6717872.6473236708</c:v>
                </c:pt>
                <c:pt idx="254">
                  <c:v>6749599.458885733</c:v>
                </c:pt>
                <c:pt idx="255">
                  <c:v>6783255.9503486911</c:v>
                </c:pt>
                <c:pt idx="256">
                  <c:v>6813422.5951823704</c:v>
                </c:pt>
                <c:pt idx="257">
                  <c:v>6830276.501550829</c:v>
                </c:pt>
                <c:pt idx="258">
                  <c:v>6850609.9902937757</c:v>
                </c:pt>
                <c:pt idx="259">
                  <c:v>6874412.7971564159</c:v>
                </c:pt>
                <c:pt idx="260">
                  <c:v>6901294.8804566562</c:v>
                </c:pt>
                <c:pt idx="261">
                  <c:v>6926596.2685189284</c:v>
                </c:pt>
                <c:pt idx="262">
                  <c:v>6948633.6235573459</c:v>
                </c:pt>
                <c:pt idx="263">
                  <c:v>6968156.2361717243</c:v>
                </c:pt>
                <c:pt idx="264">
                  <c:v>6980493.8704317044</c:v>
                </c:pt>
                <c:pt idx="265">
                  <c:v>7005589.9733981369</c:v>
                </c:pt>
                <c:pt idx="266">
                  <c:v>7040847.6886086473</c:v>
                </c:pt>
                <c:pt idx="267">
                  <c:v>7074668.4081482766</c:v>
                </c:pt>
                <c:pt idx="268">
                  <c:v>7104249.9904588116</c:v>
                </c:pt>
                <c:pt idx="269">
                  <c:v>7127847.512225613</c:v>
                </c:pt>
                <c:pt idx="270">
                  <c:v>7137567.7615136346</c:v>
                </c:pt>
                <c:pt idx="271">
                  <c:v>7160775.2415983398</c:v>
                </c:pt>
                <c:pt idx="272">
                  <c:v>7178799.2730130861</c:v>
                </c:pt>
                <c:pt idx="273">
                  <c:v>7199296.989832704</c:v>
                </c:pt>
                <c:pt idx="274">
                  <c:v>7229525.2201951351</c:v>
                </c:pt>
                <c:pt idx="275">
                  <c:v>7260461.6841382133</c:v>
                </c:pt>
                <c:pt idx="276">
                  <c:v>7297259.0375675224</c:v>
                </c:pt>
                <c:pt idx="277">
                  <c:v>7333881.8986653676</c:v>
                </c:pt>
                <c:pt idx="278">
                  <c:v>7351567.2096719788</c:v>
                </c:pt>
                <c:pt idx="279">
                  <c:v>7386475.9402195606</c:v>
                </c:pt>
                <c:pt idx="280">
                  <c:v>7418910.9853622708</c:v>
                </c:pt>
                <c:pt idx="281">
                  <c:v>7443021.7198686711</c:v>
                </c:pt>
                <c:pt idx="282">
                  <c:v>7465018.0178879211</c:v>
                </c:pt>
                <c:pt idx="283">
                  <c:v>7475477.2935209656</c:v>
                </c:pt>
                <c:pt idx="284">
                  <c:v>7499033.7582685985</c:v>
                </c:pt>
                <c:pt idx="285">
                  <c:v>7533254.7837451166</c:v>
                </c:pt>
                <c:pt idx="286">
                  <c:v>7545407.6614188412</c:v>
                </c:pt>
                <c:pt idx="287">
                  <c:v>7576313.3325975444</c:v>
                </c:pt>
                <c:pt idx="288">
                  <c:v>7588517.5315452283</c:v>
                </c:pt>
                <c:pt idx="289">
                  <c:v>7608789.4347594222</c:v>
                </c:pt>
                <c:pt idx="290">
                  <c:v>7637108.5137305418</c:v>
                </c:pt>
                <c:pt idx="291">
                  <c:v>7668968.7606049003</c:v>
                </c:pt>
                <c:pt idx="292">
                  <c:v>7695029.7035217807</c:v>
                </c:pt>
                <c:pt idx="293">
                  <c:v>7696364.0566447405</c:v>
                </c:pt>
                <c:pt idx="294">
                  <c:v>7715660.8556536948</c:v>
                </c:pt>
                <c:pt idx="295">
                  <c:v>7735573.5099501684</c:v>
                </c:pt>
                <c:pt idx="296">
                  <c:v>7749881.8811302129</c:v>
                </c:pt>
                <c:pt idx="297">
                  <c:v>7781906.3560812427</c:v>
                </c:pt>
                <c:pt idx="298">
                  <c:v>7805144.6289303238</c:v>
                </c:pt>
                <c:pt idx="299">
                  <c:v>7835773.1652296428</c:v>
                </c:pt>
                <c:pt idx="300">
                  <c:v>7863671.4097542912</c:v>
                </c:pt>
                <c:pt idx="301">
                  <c:v>7890101.8658436825</c:v>
                </c:pt>
                <c:pt idx="302">
                  <c:v>7897635.8288610084</c:v>
                </c:pt>
                <c:pt idx="303">
                  <c:v>7930707.2578008231</c:v>
                </c:pt>
                <c:pt idx="304">
                  <c:v>7962085.0846999576</c:v>
                </c:pt>
                <c:pt idx="305">
                  <c:v>7996552.4522914831</c:v>
                </c:pt>
                <c:pt idx="306">
                  <c:v>8031245.6334884334</c:v>
                </c:pt>
                <c:pt idx="307">
                  <c:v>8064645.5185815915</c:v>
                </c:pt>
                <c:pt idx="308">
                  <c:v>8096813.6930997092</c:v>
                </c:pt>
                <c:pt idx="309">
                  <c:v>8120103.2872227505</c:v>
                </c:pt>
                <c:pt idx="310">
                  <c:v>8142992.5754089039</c:v>
                </c:pt>
                <c:pt idx="311">
                  <c:v>8170274.9646460321</c:v>
                </c:pt>
                <c:pt idx="312">
                  <c:v>8175704.7554309983</c:v>
                </c:pt>
                <c:pt idx="313">
                  <c:v>8184367.7864754433</c:v>
                </c:pt>
                <c:pt idx="314">
                  <c:v>8202648.4242599905</c:v>
                </c:pt>
                <c:pt idx="315">
                  <c:v>8221822.0522114402</c:v>
                </c:pt>
                <c:pt idx="316">
                  <c:v>8244629.2263592575</c:v>
                </c:pt>
                <c:pt idx="317">
                  <c:v>8276294.4523925679</c:v>
                </c:pt>
                <c:pt idx="318">
                  <c:v>8308821.8758284068</c:v>
                </c:pt>
                <c:pt idx="319">
                  <c:v>8341082.4286396531</c:v>
                </c:pt>
                <c:pt idx="320">
                  <c:v>8369801.8135476606</c:v>
                </c:pt>
                <c:pt idx="321">
                  <c:v>8389704.2035893425</c:v>
                </c:pt>
                <c:pt idx="322">
                  <c:v>8401733.9102055635</c:v>
                </c:pt>
                <c:pt idx="323">
                  <c:v>8429334.4913412426</c:v>
                </c:pt>
                <c:pt idx="324">
                  <c:v>8460825.2250430901</c:v>
                </c:pt>
                <c:pt idx="325">
                  <c:v>8495764.7483550478</c:v>
                </c:pt>
                <c:pt idx="326">
                  <c:v>8524853.6464355662</c:v>
                </c:pt>
                <c:pt idx="327">
                  <c:v>8553193.253916271</c:v>
                </c:pt>
                <c:pt idx="328">
                  <c:v>8585741.2058616932</c:v>
                </c:pt>
                <c:pt idx="329">
                  <c:v>8619253.9977575634</c:v>
                </c:pt>
                <c:pt idx="330">
                  <c:v>8643888.2092583552</c:v>
                </c:pt>
                <c:pt idx="331">
                  <c:v>8675522.6425272897</c:v>
                </c:pt>
                <c:pt idx="332">
                  <c:v>8711242.2492034398</c:v>
                </c:pt>
                <c:pt idx="333">
                  <c:v>8745237.4610745329</c:v>
                </c:pt>
                <c:pt idx="334">
                  <c:v>8773074.1200704295</c:v>
                </c:pt>
                <c:pt idx="335">
                  <c:v>8782342.7421476021</c:v>
                </c:pt>
                <c:pt idx="336">
                  <c:v>8795942.8797469977</c:v>
                </c:pt>
                <c:pt idx="337">
                  <c:v>8808752.6697274111</c:v>
                </c:pt>
                <c:pt idx="338">
                  <c:v>8833971.9437513463</c:v>
                </c:pt>
                <c:pt idx="339">
                  <c:v>8866037.4757215455</c:v>
                </c:pt>
                <c:pt idx="340">
                  <c:v>8897405.0383658875</c:v>
                </c:pt>
                <c:pt idx="341">
                  <c:v>8916825.0084323455</c:v>
                </c:pt>
                <c:pt idx="342">
                  <c:v>8933607.0650172606</c:v>
                </c:pt>
                <c:pt idx="343">
                  <c:v>8967848.619003363</c:v>
                </c:pt>
                <c:pt idx="344">
                  <c:v>8997584.1651357785</c:v>
                </c:pt>
                <c:pt idx="345">
                  <c:v>9025184.7462714575</c:v>
                </c:pt>
                <c:pt idx="346">
                  <c:v>9054971.6136778332</c:v>
                </c:pt>
                <c:pt idx="347">
                  <c:v>9084327.3823829442</c:v>
                </c:pt>
                <c:pt idx="348">
                  <c:v>9114730.1050768401</c:v>
                </c:pt>
                <c:pt idx="349">
                  <c:v>9148242.8969727103</c:v>
                </c:pt>
                <c:pt idx="350">
                  <c:v>9174673.3530621026</c:v>
                </c:pt>
                <c:pt idx="351">
                  <c:v>9202756.3541730046</c:v>
                </c:pt>
                <c:pt idx="352">
                  <c:v>9228201.4418023657</c:v>
                </c:pt>
                <c:pt idx="353">
                  <c:v>9262689.3379034754</c:v>
                </c:pt>
                <c:pt idx="354">
                  <c:v>9289602.2139680926</c:v>
                </c:pt>
                <c:pt idx="355">
                  <c:v>9323607.6900939774</c:v>
                </c:pt>
                <c:pt idx="356">
                  <c:v>9353661.4281249437</c:v>
                </c:pt>
                <c:pt idx="357">
                  <c:v>9380327.9620745536</c:v>
                </c:pt>
                <c:pt idx="358">
                  <c:v>9397736.1382017788</c:v>
                </c:pt>
                <c:pt idx="359">
                  <c:v>9409724.7877988312</c:v>
                </c:pt>
                <c:pt idx="360">
                  <c:v>9417330.6005997024</c:v>
                </c:pt>
                <c:pt idx="361">
                  <c:v>9426311.8235426992</c:v>
                </c:pt>
                <c:pt idx="362">
                  <c:v>9453645.5340537876</c:v>
                </c:pt>
                <c:pt idx="363">
                  <c:v>9487014.6263825689</c:v>
                </c:pt>
                <c:pt idx="364">
                  <c:v>9517940.8260708563</c:v>
                </c:pt>
                <c:pt idx="365">
                  <c:v>9540501.6581036653</c:v>
                </c:pt>
                <c:pt idx="366">
                  <c:v>9571294.4224796556</c:v>
                </c:pt>
                <c:pt idx="367">
                  <c:v>9595579.6493175216</c:v>
                </c:pt>
                <c:pt idx="368">
                  <c:v>9613234.167559756</c:v>
                </c:pt>
                <c:pt idx="369">
                  <c:v>9613624.2092418522</c:v>
                </c:pt>
                <c:pt idx="370">
                  <c:v>9634696.7243298218</c:v>
                </c:pt>
                <c:pt idx="371">
                  <c:v>9648307.126184009</c:v>
                </c:pt>
                <c:pt idx="372">
                  <c:v>9675579.2511663456</c:v>
                </c:pt>
                <c:pt idx="373">
                  <c:v>9693315.8834469151</c:v>
                </c:pt>
                <c:pt idx="374">
                  <c:v>9721101.2211688515</c:v>
                </c:pt>
                <c:pt idx="375">
                  <c:v>9749245.8078085072</c:v>
                </c:pt>
                <c:pt idx="376">
                  <c:v>9782430.143551033</c:v>
                </c:pt>
                <c:pt idx="377">
                  <c:v>9812329.9177601207</c:v>
                </c:pt>
                <c:pt idx="378">
                  <c:v>9845627.1603053585</c:v>
                </c:pt>
                <c:pt idx="379">
                  <c:v>9870199.7862773985</c:v>
                </c:pt>
                <c:pt idx="380">
                  <c:v>9902070.2974065505</c:v>
                </c:pt>
                <c:pt idx="381">
                  <c:v>9929783.7853449415</c:v>
                </c:pt>
                <c:pt idx="382">
                  <c:v>9951000</c:v>
                </c:pt>
                <c:pt idx="383">
                  <c:v>9951000</c:v>
                </c:pt>
                <c:pt idx="384">
                  <c:v>9951000</c:v>
                </c:pt>
                <c:pt idx="385">
                  <c:v>9951000</c:v>
                </c:pt>
              </c:numCache>
            </c:numRef>
          </c:xVal>
          <c:yVal>
            <c:numRef>
              <c:f>Wafer1!$C$2:$C$387</c:f>
              <c:numCache>
                <c:formatCode>0.00E+00</c:formatCode>
                <c:ptCount val="386"/>
                <c:pt idx="0">
                  <c:v>1.246569E-6</c:v>
                </c:pt>
                <c:pt idx="1">
                  <c:v>1.250756E-6</c:v>
                </c:pt>
                <c:pt idx="2">
                  <c:v>1.2530026666666666E-6</c:v>
                </c:pt>
                <c:pt idx="3">
                  <c:v>1.2655244999999999E-6</c:v>
                </c:pt>
                <c:pt idx="4">
                  <c:v>1.2678406000000001E-6</c:v>
                </c:pt>
                <c:pt idx="5">
                  <c:v>1.2668396666666668E-6</c:v>
                </c:pt>
                <c:pt idx="6">
                  <c:v>1.2595798571428573E-6</c:v>
                </c:pt>
                <c:pt idx="7">
                  <c:v>1.2570585E-6</c:v>
                </c:pt>
                <c:pt idx="8">
                  <c:v>1.2563612222222222E-6</c:v>
                </c:pt>
                <c:pt idx="9">
                  <c:v>1.2595746000000002E-6</c:v>
                </c:pt>
                <c:pt idx="10">
                  <c:v>1.2585238181818183E-6</c:v>
                </c:pt>
                <c:pt idx="11">
                  <c:v>1.2567100833333333E-6</c:v>
                </c:pt>
                <c:pt idx="12">
                  <c:v>1.2521287692307694E-6</c:v>
                </c:pt>
                <c:pt idx="13">
                  <c:v>1.2500257142857144E-6</c:v>
                </c:pt>
                <c:pt idx="14">
                  <c:v>1.2493498666666665E-6</c:v>
                </c:pt>
                <c:pt idx="15">
                  <c:v>1.2507945624999999E-6</c:v>
                </c:pt>
                <c:pt idx="16">
                  <c:v>1.2490658235294117E-6</c:v>
                </c:pt>
                <c:pt idx="17">
                  <c:v>1.2458082777777777E-6</c:v>
                </c:pt>
                <c:pt idx="18">
                  <c:v>1.2442241052631579E-6</c:v>
                </c:pt>
                <c:pt idx="19">
                  <c:v>1.2452628999999998E-6</c:v>
                </c:pt>
                <c:pt idx="20">
                  <c:v>1.2441543499999999E-6</c:v>
                </c:pt>
                <c:pt idx="21">
                  <c:v>1.2421890999999998E-6</c:v>
                </c:pt>
                <c:pt idx="22">
                  <c:v>1.2398754499999999E-6</c:v>
                </c:pt>
                <c:pt idx="23">
                  <c:v>1.2345664499999996E-6</c:v>
                </c:pt>
                <c:pt idx="24">
                  <c:v>1.2324163499999999E-6</c:v>
                </c:pt>
                <c:pt idx="25">
                  <c:v>1.2316803999999998E-6</c:v>
                </c:pt>
                <c:pt idx="26">
                  <c:v>1.2317364499999999E-6</c:v>
                </c:pt>
                <c:pt idx="27">
                  <c:v>1.22986035E-6</c:v>
                </c:pt>
                <c:pt idx="28">
                  <c:v>1.22767305E-6</c:v>
                </c:pt>
                <c:pt idx="29">
                  <c:v>1.2219292500000001E-6</c:v>
                </c:pt>
                <c:pt idx="30">
                  <c:v>1.2185110999999999E-6</c:v>
                </c:pt>
                <c:pt idx="31">
                  <c:v>1.2172599500000002E-6</c:v>
                </c:pt>
                <c:pt idx="32">
                  <c:v>1.2173147000000001E-6</c:v>
                </c:pt>
                <c:pt idx="33">
                  <c:v>1.214862E-6</c:v>
                </c:pt>
                <c:pt idx="34">
                  <c:v>1.2118390999999999E-6</c:v>
                </c:pt>
                <c:pt idx="35">
                  <c:v>1.2071944499999998E-6</c:v>
                </c:pt>
                <c:pt idx="36">
                  <c:v>1.2068614999999999E-6</c:v>
                </c:pt>
                <c:pt idx="37">
                  <c:v>1.2089163000000002E-6</c:v>
                </c:pt>
                <c:pt idx="38">
                  <c:v>1.2077564500000001E-6</c:v>
                </c:pt>
                <c:pt idx="39">
                  <c:v>1.2034012999999998E-6</c:v>
                </c:pt>
                <c:pt idx="40">
                  <c:v>1.1988887E-6</c:v>
                </c:pt>
                <c:pt idx="41">
                  <c:v>1.1962288999999997E-6</c:v>
                </c:pt>
                <c:pt idx="42">
                  <c:v>1.1937830999999998E-6</c:v>
                </c:pt>
                <c:pt idx="43">
                  <c:v>1.1922638499999999E-6</c:v>
                </c:pt>
                <c:pt idx="44">
                  <c:v>1.1908017999999999E-6</c:v>
                </c:pt>
                <c:pt idx="45">
                  <c:v>1.1873608499999997E-6</c:v>
                </c:pt>
                <c:pt idx="46">
                  <c:v>1.1850957499999999E-6</c:v>
                </c:pt>
                <c:pt idx="47">
                  <c:v>1.1828540000000001E-6</c:v>
                </c:pt>
                <c:pt idx="48">
                  <c:v>1.1800114000000002E-6</c:v>
                </c:pt>
                <c:pt idx="49">
                  <c:v>1.1778483000000003E-6</c:v>
                </c:pt>
                <c:pt idx="50">
                  <c:v>1.1760405500000004E-6</c:v>
                </c:pt>
                <c:pt idx="51">
                  <c:v>1.1726731000000003E-6</c:v>
                </c:pt>
                <c:pt idx="52">
                  <c:v>1.1725358000000003E-6</c:v>
                </c:pt>
                <c:pt idx="53">
                  <c:v>1.1726587000000003E-6</c:v>
                </c:pt>
                <c:pt idx="54">
                  <c:v>1.1707668500000001E-6</c:v>
                </c:pt>
                <c:pt idx="55">
                  <c:v>1.1670164500000002E-6</c:v>
                </c:pt>
                <c:pt idx="56">
                  <c:v>1.1629872000000003E-6</c:v>
                </c:pt>
                <c:pt idx="57">
                  <c:v>1.1585528500000001E-6</c:v>
                </c:pt>
                <c:pt idx="58">
                  <c:v>1.1571264E-6</c:v>
                </c:pt>
                <c:pt idx="59">
                  <c:v>1.1557209500000002E-6</c:v>
                </c:pt>
                <c:pt idx="60">
                  <c:v>1.1550117E-6</c:v>
                </c:pt>
                <c:pt idx="61">
                  <c:v>1.15334675E-6</c:v>
                </c:pt>
                <c:pt idx="62">
                  <c:v>1.1515034499999999E-6</c:v>
                </c:pt>
                <c:pt idx="63">
                  <c:v>1.15081895E-6</c:v>
                </c:pt>
                <c:pt idx="64">
                  <c:v>1.1479556500000001E-6</c:v>
                </c:pt>
                <c:pt idx="65">
                  <c:v>1.1462350999999998E-6</c:v>
                </c:pt>
                <c:pt idx="66">
                  <c:v>1.14371145E-6</c:v>
                </c:pt>
                <c:pt idx="67">
                  <c:v>1.1418760999999997E-6</c:v>
                </c:pt>
                <c:pt idx="68">
                  <c:v>1.1412890999999998E-6</c:v>
                </c:pt>
                <c:pt idx="69">
                  <c:v>1.1431180499999997E-6</c:v>
                </c:pt>
                <c:pt idx="70">
                  <c:v>1.1427396499999997E-6</c:v>
                </c:pt>
                <c:pt idx="71">
                  <c:v>1.1414102999999999E-6</c:v>
                </c:pt>
                <c:pt idx="72">
                  <c:v>1.1378125E-6</c:v>
                </c:pt>
                <c:pt idx="73">
                  <c:v>1.1349424E-6</c:v>
                </c:pt>
                <c:pt idx="74">
                  <c:v>1.1344118499999999E-6</c:v>
                </c:pt>
                <c:pt idx="75">
                  <c:v>1.1360226E-6</c:v>
                </c:pt>
                <c:pt idx="76">
                  <c:v>1.13659415E-6</c:v>
                </c:pt>
                <c:pt idx="77">
                  <c:v>1.1367161E-6</c:v>
                </c:pt>
                <c:pt idx="78">
                  <c:v>1.1345990500000003E-6</c:v>
                </c:pt>
                <c:pt idx="79">
                  <c:v>1.1328437499999997E-6</c:v>
                </c:pt>
                <c:pt idx="80">
                  <c:v>1.13320135E-6</c:v>
                </c:pt>
                <c:pt idx="81">
                  <c:v>1.1340984999999999E-6</c:v>
                </c:pt>
                <c:pt idx="82">
                  <c:v>1.13635275E-6</c:v>
                </c:pt>
                <c:pt idx="83">
                  <c:v>1.135816E-6</c:v>
                </c:pt>
                <c:pt idx="84">
                  <c:v>1.1350673500000001E-6</c:v>
                </c:pt>
                <c:pt idx="85">
                  <c:v>1.1334470000000001E-6</c:v>
                </c:pt>
                <c:pt idx="86">
                  <c:v>1.1334036E-6</c:v>
                </c:pt>
                <c:pt idx="87">
                  <c:v>1.1337547500000002E-6</c:v>
                </c:pt>
                <c:pt idx="88">
                  <c:v>1.1332835000000001E-6</c:v>
                </c:pt>
                <c:pt idx="89">
                  <c:v>1.1320104500000001E-6</c:v>
                </c:pt>
                <c:pt idx="90">
                  <c:v>1.1320326500000002E-6</c:v>
                </c:pt>
                <c:pt idx="91">
                  <c:v>1.1315482E-6</c:v>
                </c:pt>
                <c:pt idx="92">
                  <c:v>1.1311361000000001E-6</c:v>
                </c:pt>
                <c:pt idx="93">
                  <c:v>1.1312048500000001E-6</c:v>
                </c:pt>
                <c:pt idx="94">
                  <c:v>1.1321874499999997E-6</c:v>
                </c:pt>
                <c:pt idx="95">
                  <c:v>1.1319109999999998E-6</c:v>
                </c:pt>
                <c:pt idx="96">
                  <c:v>1.13082055E-6</c:v>
                </c:pt>
                <c:pt idx="97">
                  <c:v>1.1288125999999999E-6</c:v>
                </c:pt>
                <c:pt idx="98">
                  <c:v>1.1279616999999998E-6</c:v>
                </c:pt>
                <c:pt idx="99">
                  <c:v>1.1292810499999998E-6</c:v>
                </c:pt>
                <c:pt idx="100">
                  <c:v>1.1302171E-6</c:v>
                </c:pt>
                <c:pt idx="101">
                  <c:v>1.1293111E-6</c:v>
                </c:pt>
                <c:pt idx="102">
                  <c:v>1.1257686500000001E-6</c:v>
                </c:pt>
                <c:pt idx="103">
                  <c:v>1.1237951500000001E-6</c:v>
                </c:pt>
                <c:pt idx="104">
                  <c:v>1.1228989500000001E-6</c:v>
                </c:pt>
                <c:pt idx="105">
                  <c:v>1.1253427999999999E-6</c:v>
                </c:pt>
                <c:pt idx="106">
                  <c:v>1.1254490999999999E-6</c:v>
                </c:pt>
                <c:pt idx="107">
                  <c:v>1.12470385E-6</c:v>
                </c:pt>
                <c:pt idx="108">
                  <c:v>1.1219008499999999E-6</c:v>
                </c:pt>
                <c:pt idx="109">
                  <c:v>1.1198537999999998E-6</c:v>
                </c:pt>
                <c:pt idx="110">
                  <c:v>1.1183363999999999E-6</c:v>
                </c:pt>
                <c:pt idx="111">
                  <c:v>1.1191890999999999E-6</c:v>
                </c:pt>
                <c:pt idx="112">
                  <c:v>1.1189473499999998E-6</c:v>
                </c:pt>
                <c:pt idx="113">
                  <c:v>1.1180414E-6</c:v>
                </c:pt>
                <c:pt idx="114">
                  <c:v>1.1140618499999999E-6</c:v>
                </c:pt>
                <c:pt idx="115">
                  <c:v>1.1122890000000003E-6</c:v>
                </c:pt>
                <c:pt idx="116">
                  <c:v>1.1123565000000003E-6</c:v>
                </c:pt>
                <c:pt idx="117">
                  <c:v>1.1130932000000003E-6</c:v>
                </c:pt>
                <c:pt idx="118">
                  <c:v>1.1134540000000004E-6</c:v>
                </c:pt>
                <c:pt idx="119">
                  <c:v>1.1112196500000004E-6</c:v>
                </c:pt>
                <c:pt idx="120">
                  <c:v>1.1086579500000004E-6</c:v>
                </c:pt>
                <c:pt idx="121">
                  <c:v>1.1079517500000003E-6</c:v>
                </c:pt>
                <c:pt idx="122">
                  <c:v>1.1100102000000001E-6</c:v>
                </c:pt>
                <c:pt idx="123">
                  <c:v>1.1109010500000002E-6</c:v>
                </c:pt>
                <c:pt idx="124">
                  <c:v>1.1100259000000001E-6</c:v>
                </c:pt>
                <c:pt idx="125">
                  <c:v>1.1067039500000001E-6</c:v>
                </c:pt>
                <c:pt idx="126">
                  <c:v>1.1056576999999999E-6</c:v>
                </c:pt>
                <c:pt idx="127">
                  <c:v>1.1077891499999998E-6</c:v>
                </c:pt>
                <c:pt idx="128">
                  <c:v>1.1099557499999997E-6</c:v>
                </c:pt>
                <c:pt idx="129">
                  <c:v>1.1109128499999998E-6</c:v>
                </c:pt>
                <c:pt idx="130">
                  <c:v>1.1113393000000001E-6</c:v>
                </c:pt>
                <c:pt idx="131">
                  <c:v>1.1087365499999999E-6</c:v>
                </c:pt>
                <c:pt idx="132">
                  <c:v>1.1077274499999998E-6</c:v>
                </c:pt>
                <c:pt idx="133">
                  <c:v>1.1074615000000001E-6</c:v>
                </c:pt>
                <c:pt idx="134">
                  <c:v>1.10976325E-6</c:v>
                </c:pt>
                <c:pt idx="135">
                  <c:v>1.1105039E-6</c:v>
                </c:pt>
                <c:pt idx="136">
                  <c:v>1.1094732499999999E-6</c:v>
                </c:pt>
                <c:pt idx="137">
                  <c:v>1.1080956499999999E-6</c:v>
                </c:pt>
                <c:pt idx="138">
                  <c:v>1.10733835E-6</c:v>
                </c:pt>
                <c:pt idx="139">
                  <c:v>1.1076224499999997E-6</c:v>
                </c:pt>
                <c:pt idx="140">
                  <c:v>1.1102441999999998E-6</c:v>
                </c:pt>
                <c:pt idx="141">
                  <c:v>1.1106583499999999E-6</c:v>
                </c:pt>
                <c:pt idx="142">
                  <c:v>1.10939155E-6</c:v>
                </c:pt>
                <c:pt idx="143">
                  <c:v>1.1065589500000001E-6</c:v>
                </c:pt>
                <c:pt idx="144">
                  <c:v>1.1065682E-6</c:v>
                </c:pt>
                <c:pt idx="145">
                  <c:v>1.1073773500000002E-6</c:v>
                </c:pt>
                <c:pt idx="146">
                  <c:v>1.1093718500000001E-6</c:v>
                </c:pt>
                <c:pt idx="147">
                  <c:v>1.1074911000000001E-6</c:v>
                </c:pt>
                <c:pt idx="148">
                  <c:v>1.1060390500000003E-6</c:v>
                </c:pt>
                <c:pt idx="149">
                  <c:v>1.1043983500000001E-6</c:v>
                </c:pt>
                <c:pt idx="150">
                  <c:v>1.1022684000000002E-6</c:v>
                </c:pt>
                <c:pt idx="151">
                  <c:v>1.1044631500000001E-6</c:v>
                </c:pt>
                <c:pt idx="152">
                  <c:v>1.1055632E-6</c:v>
                </c:pt>
                <c:pt idx="153">
                  <c:v>1.1054873500000001E-6</c:v>
                </c:pt>
                <c:pt idx="154">
                  <c:v>1.1041265000000001E-6</c:v>
                </c:pt>
                <c:pt idx="155">
                  <c:v>1.1028463000000001E-6</c:v>
                </c:pt>
                <c:pt idx="156">
                  <c:v>1.103582E-6</c:v>
                </c:pt>
                <c:pt idx="157">
                  <c:v>1.10414585E-6</c:v>
                </c:pt>
                <c:pt idx="158">
                  <c:v>1.1026271500000003E-6</c:v>
                </c:pt>
                <c:pt idx="159">
                  <c:v>1.1018753999999999E-6</c:v>
                </c:pt>
                <c:pt idx="160">
                  <c:v>1.0997302500000001E-6</c:v>
                </c:pt>
                <c:pt idx="161">
                  <c:v>1.0989842500000002E-6</c:v>
                </c:pt>
                <c:pt idx="162">
                  <c:v>1.09872015E-6</c:v>
                </c:pt>
                <c:pt idx="163">
                  <c:v>1.1011013999999999E-6</c:v>
                </c:pt>
                <c:pt idx="164">
                  <c:v>1.1014679E-6</c:v>
                </c:pt>
                <c:pt idx="165">
                  <c:v>1.09958335E-6</c:v>
                </c:pt>
                <c:pt idx="166">
                  <c:v>1.0970168E-6</c:v>
                </c:pt>
                <c:pt idx="167">
                  <c:v>1.0956055499999997E-6</c:v>
                </c:pt>
                <c:pt idx="168">
                  <c:v>1.0963681499999999E-6</c:v>
                </c:pt>
                <c:pt idx="169">
                  <c:v>1.0993290999999999E-6</c:v>
                </c:pt>
                <c:pt idx="170">
                  <c:v>1.1009466E-6</c:v>
                </c:pt>
                <c:pt idx="171">
                  <c:v>1.0996412499999999E-6</c:v>
                </c:pt>
                <c:pt idx="172">
                  <c:v>1.0985045499999999E-6</c:v>
                </c:pt>
                <c:pt idx="173">
                  <c:v>1.1005983499999998E-6</c:v>
                </c:pt>
                <c:pt idx="174">
                  <c:v>1.1018024E-6</c:v>
                </c:pt>
                <c:pt idx="175">
                  <c:v>1.1027763000000003E-6</c:v>
                </c:pt>
                <c:pt idx="176">
                  <c:v>1.1002824000000002E-6</c:v>
                </c:pt>
                <c:pt idx="177">
                  <c:v>1.0993571500000002E-6</c:v>
                </c:pt>
                <c:pt idx="178">
                  <c:v>1.10047435E-6</c:v>
                </c:pt>
                <c:pt idx="179">
                  <c:v>1.1011615500000002E-6</c:v>
                </c:pt>
                <c:pt idx="180">
                  <c:v>1.1007997000000001E-6</c:v>
                </c:pt>
                <c:pt idx="181">
                  <c:v>1.0992938999999999E-6</c:v>
                </c:pt>
                <c:pt idx="182">
                  <c:v>1.09776075E-6</c:v>
                </c:pt>
                <c:pt idx="183">
                  <c:v>1.0970814999999999E-6</c:v>
                </c:pt>
                <c:pt idx="184">
                  <c:v>1.0973158999999999E-6</c:v>
                </c:pt>
                <c:pt idx="185">
                  <c:v>1.0988775499999999E-6</c:v>
                </c:pt>
                <c:pt idx="186">
                  <c:v>1.0989195999999999E-6</c:v>
                </c:pt>
                <c:pt idx="187">
                  <c:v>1.0968758499999999E-6</c:v>
                </c:pt>
                <c:pt idx="188">
                  <c:v>1.0959156500000002E-6</c:v>
                </c:pt>
                <c:pt idx="189">
                  <c:v>1.0939437499999999E-6</c:v>
                </c:pt>
                <c:pt idx="190">
                  <c:v>1.0938932999999999E-6</c:v>
                </c:pt>
                <c:pt idx="191">
                  <c:v>1.0936377500000001E-6</c:v>
                </c:pt>
                <c:pt idx="192">
                  <c:v>1.0928165000000001E-6</c:v>
                </c:pt>
                <c:pt idx="193">
                  <c:v>1.0926723000000002E-6</c:v>
                </c:pt>
                <c:pt idx="194">
                  <c:v>1.0919581500000003E-6</c:v>
                </c:pt>
                <c:pt idx="195">
                  <c:v>1.0905522E-6</c:v>
                </c:pt>
                <c:pt idx="196">
                  <c:v>1.0903955E-6</c:v>
                </c:pt>
                <c:pt idx="197">
                  <c:v>1.0906096000000001E-6</c:v>
                </c:pt>
                <c:pt idx="198">
                  <c:v>1.0917229500000001E-6</c:v>
                </c:pt>
                <c:pt idx="199">
                  <c:v>1.09361325E-6</c:v>
                </c:pt>
                <c:pt idx="200">
                  <c:v>1.0957327499999997E-6</c:v>
                </c:pt>
                <c:pt idx="201">
                  <c:v>1.09710635E-6</c:v>
                </c:pt>
                <c:pt idx="202">
                  <c:v>1.0980831500000002E-6</c:v>
                </c:pt>
                <c:pt idx="203">
                  <c:v>1.09630625E-6</c:v>
                </c:pt>
                <c:pt idx="204">
                  <c:v>1.0944969E-6</c:v>
                </c:pt>
                <c:pt idx="205">
                  <c:v>1.0938994499999999E-6</c:v>
                </c:pt>
                <c:pt idx="206">
                  <c:v>1.0953661999999999E-6</c:v>
                </c:pt>
                <c:pt idx="207">
                  <c:v>1.0994146E-6</c:v>
                </c:pt>
                <c:pt idx="208">
                  <c:v>1.0999315E-6</c:v>
                </c:pt>
                <c:pt idx="209">
                  <c:v>1.09700955E-6</c:v>
                </c:pt>
                <c:pt idx="210">
                  <c:v>1.0955557499999999E-6</c:v>
                </c:pt>
                <c:pt idx="211">
                  <c:v>1.0957861499999999E-6</c:v>
                </c:pt>
                <c:pt idx="212">
                  <c:v>1.09835115E-6</c:v>
                </c:pt>
                <c:pt idx="213">
                  <c:v>1.0967252999999999E-6</c:v>
                </c:pt>
                <c:pt idx="214">
                  <c:v>1.0961235499999999E-6</c:v>
                </c:pt>
                <c:pt idx="215">
                  <c:v>1.0945348499999999E-6</c:v>
                </c:pt>
                <c:pt idx="216">
                  <c:v>1.09496635E-6</c:v>
                </c:pt>
                <c:pt idx="217">
                  <c:v>1.0953731499999999E-6</c:v>
                </c:pt>
                <c:pt idx="218">
                  <c:v>1.0962448000000001E-6</c:v>
                </c:pt>
                <c:pt idx="219">
                  <c:v>1.0928425999999999E-6</c:v>
                </c:pt>
                <c:pt idx="220">
                  <c:v>1.08881685E-6</c:v>
                </c:pt>
                <c:pt idx="221">
                  <c:v>1.0861659499999998E-6</c:v>
                </c:pt>
                <c:pt idx="222">
                  <c:v>1.0851219499999998E-6</c:v>
                </c:pt>
                <c:pt idx="223">
                  <c:v>1.0858392000000002E-6</c:v>
                </c:pt>
                <c:pt idx="224">
                  <c:v>1.0868990999999998E-6</c:v>
                </c:pt>
                <c:pt idx="225">
                  <c:v>1.0873838999999998E-6</c:v>
                </c:pt>
                <c:pt idx="226">
                  <c:v>1.08610465E-6</c:v>
                </c:pt>
                <c:pt idx="227">
                  <c:v>1.0839583999999996E-6</c:v>
                </c:pt>
                <c:pt idx="228">
                  <c:v>1.0813518499999995E-6</c:v>
                </c:pt>
                <c:pt idx="229">
                  <c:v>1.08308685E-6</c:v>
                </c:pt>
                <c:pt idx="230">
                  <c:v>1.08592485E-6</c:v>
                </c:pt>
                <c:pt idx="231">
                  <c:v>1.08635E-6</c:v>
                </c:pt>
                <c:pt idx="232">
                  <c:v>1.0849358E-6</c:v>
                </c:pt>
                <c:pt idx="233">
                  <c:v>1.0822283999999999E-6</c:v>
                </c:pt>
                <c:pt idx="234">
                  <c:v>1.08123225E-6</c:v>
                </c:pt>
                <c:pt idx="235">
                  <c:v>1.0828963999999999E-6</c:v>
                </c:pt>
                <c:pt idx="236">
                  <c:v>1.0857926499999999E-6</c:v>
                </c:pt>
                <c:pt idx="237">
                  <c:v>1.0839741999999999E-6</c:v>
                </c:pt>
                <c:pt idx="238">
                  <c:v>1.0813343E-6</c:v>
                </c:pt>
                <c:pt idx="239">
                  <c:v>1.0818638000000002E-6</c:v>
                </c:pt>
                <c:pt idx="240">
                  <c:v>1.0833012499999999E-6</c:v>
                </c:pt>
                <c:pt idx="241">
                  <c:v>1.08713335E-6</c:v>
                </c:pt>
                <c:pt idx="242">
                  <c:v>1.0882673000000002E-6</c:v>
                </c:pt>
                <c:pt idx="243">
                  <c:v>1.0887769000000001E-6</c:v>
                </c:pt>
                <c:pt idx="244">
                  <c:v>1.0875383000000002E-6</c:v>
                </c:pt>
                <c:pt idx="245">
                  <c:v>1.08593315E-6</c:v>
                </c:pt>
                <c:pt idx="246">
                  <c:v>1.0868652500000001E-6</c:v>
                </c:pt>
                <c:pt idx="247">
                  <c:v>1.0874132000000002E-6</c:v>
                </c:pt>
                <c:pt idx="248">
                  <c:v>1.0898907000000001E-6</c:v>
                </c:pt>
                <c:pt idx="249">
                  <c:v>1.0891974499999999E-6</c:v>
                </c:pt>
                <c:pt idx="250">
                  <c:v>1.0868818E-6</c:v>
                </c:pt>
                <c:pt idx="251">
                  <c:v>1.0839557999999999E-6</c:v>
                </c:pt>
                <c:pt idx="252">
                  <c:v>1.0828747499999999E-6</c:v>
                </c:pt>
                <c:pt idx="253">
                  <c:v>1.0862737499999999E-6</c:v>
                </c:pt>
                <c:pt idx="254">
                  <c:v>1.0876620999999999E-6</c:v>
                </c:pt>
                <c:pt idx="255">
                  <c:v>1.0872041E-6</c:v>
                </c:pt>
                <c:pt idx="256">
                  <c:v>1.0825848499999999E-6</c:v>
                </c:pt>
                <c:pt idx="257">
                  <c:v>1.0832855999999999E-6</c:v>
                </c:pt>
                <c:pt idx="258">
                  <c:v>1.0840930499999999E-6</c:v>
                </c:pt>
                <c:pt idx="259">
                  <c:v>1.08433235E-6</c:v>
                </c:pt>
                <c:pt idx="260">
                  <c:v>1.0819823000000001E-6</c:v>
                </c:pt>
                <c:pt idx="261">
                  <c:v>1.0794549500000003E-6</c:v>
                </c:pt>
                <c:pt idx="262">
                  <c:v>1.0794021000000002E-6</c:v>
                </c:pt>
                <c:pt idx="263">
                  <c:v>1.0813079E-6</c:v>
                </c:pt>
                <c:pt idx="264">
                  <c:v>1.0826828500000003E-6</c:v>
                </c:pt>
                <c:pt idx="265">
                  <c:v>1.0826006500000003E-6</c:v>
                </c:pt>
                <c:pt idx="266">
                  <c:v>1.0806868000000003E-6</c:v>
                </c:pt>
                <c:pt idx="267">
                  <c:v>1.0803308500000002E-6</c:v>
                </c:pt>
                <c:pt idx="268">
                  <c:v>1.0802081000000002E-6</c:v>
                </c:pt>
                <c:pt idx="269">
                  <c:v>1.0806356000000003E-6</c:v>
                </c:pt>
                <c:pt idx="270">
                  <c:v>1.0788855500000001E-6</c:v>
                </c:pt>
                <c:pt idx="271">
                  <c:v>1.0802944000000001E-6</c:v>
                </c:pt>
                <c:pt idx="272">
                  <c:v>1.0810730000000002E-6</c:v>
                </c:pt>
                <c:pt idx="273">
                  <c:v>1.0808883E-6</c:v>
                </c:pt>
                <c:pt idx="274">
                  <c:v>1.08140025E-6</c:v>
                </c:pt>
                <c:pt idx="275">
                  <c:v>1.0830212999999998E-6</c:v>
                </c:pt>
                <c:pt idx="276">
                  <c:v>1.0855528499999999E-6</c:v>
                </c:pt>
                <c:pt idx="277">
                  <c:v>1.0847748999999998E-6</c:v>
                </c:pt>
                <c:pt idx="278">
                  <c:v>1.0842121500000002E-6</c:v>
                </c:pt>
                <c:pt idx="279">
                  <c:v>1.0840765E-6</c:v>
                </c:pt>
                <c:pt idx="280">
                  <c:v>1.0881678500000001E-6</c:v>
                </c:pt>
                <c:pt idx="281">
                  <c:v>1.0904875000000004E-6</c:v>
                </c:pt>
                <c:pt idx="282">
                  <c:v>1.09015805E-6</c:v>
                </c:pt>
                <c:pt idx="283">
                  <c:v>1.0876516500000001E-6</c:v>
                </c:pt>
                <c:pt idx="284">
                  <c:v>1.0865444000000002E-6</c:v>
                </c:pt>
                <c:pt idx="285">
                  <c:v>1.0872958999999999E-6</c:v>
                </c:pt>
                <c:pt idx="286">
                  <c:v>1.0885392999999999E-6</c:v>
                </c:pt>
                <c:pt idx="287">
                  <c:v>1.0868013499999999E-6</c:v>
                </c:pt>
                <c:pt idx="288">
                  <c:v>1.0859837E-6</c:v>
                </c:pt>
                <c:pt idx="289">
                  <c:v>1.0859573E-6</c:v>
                </c:pt>
                <c:pt idx="290">
                  <c:v>1.0887788500000002E-6</c:v>
                </c:pt>
                <c:pt idx="291">
                  <c:v>1.0916075499999999E-6</c:v>
                </c:pt>
                <c:pt idx="292">
                  <c:v>1.0929624000000001E-6</c:v>
                </c:pt>
                <c:pt idx="293">
                  <c:v>1.0915768E-6</c:v>
                </c:pt>
                <c:pt idx="294">
                  <c:v>1.0885158999999999E-6</c:v>
                </c:pt>
                <c:pt idx="295">
                  <c:v>1.0866561500000001E-6</c:v>
                </c:pt>
                <c:pt idx="296">
                  <c:v>1.0866671000000002E-6</c:v>
                </c:pt>
                <c:pt idx="297">
                  <c:v>1.0883994E-6</c:v>
                </c:pt>
                <c:pt idx="298">
                  <c:v>1.08826585E-6</c:v>
                </c:pt>
                <c:pt idx="299">
                  <c:v>1.0877844000000001E-6</c:v>
                </c:pt>
                <c:pt idx="300">
                  <c:v>1.0862864500000003E-6</c:v>
                </c:pt>
                <c:pt idx="301">
                  <c:v>1.0846750000000001E-6</c:v>
                </c:pt>
                <c:pt idx="302">
                  <c:v>1.0846437500000001E-6</c:v>
                </c:pt>
                <c:pt idx="303">
                  <c:v>1.0851840500000002E-6</c:v>
                </c:pt>
                <c:pt idx="304">
                  <c:v>1.08526315E-6</c:v>
                </c:pt>
                <c:pt idx="305">
                  <c:v>1.0858017499999998E-6</c:v>
                </c:pt>
                <c:pt idx="306">
                  <c:v>1.0873487E-6</c:v>
                </c:pt>
                <c:pt idx="307">
                  <c:v>1.0895409999999998E-6</c:v>
                </c:pt>
                <c:pt idx="308">
                  <c:v>1.0905582499999999E-6</c:v>
                </c:pt>
                <c:pt idx="309">
                  <c:v>1.0897645500000001E-6</c:v>
                </c:pt>
                <c:pt idx="310">
                  <c:v>1.08833415E-6</c:v>
                </c:pt>
                <c:pt idx="311">
                  <c:v>1.0869806000000001E-6</c:v>
                </c:pt>
                <c:pt idx="312">
                  <c:v>1.0859727500000003E-6</c:v>
                </c:pt>
                <c:pt idx="313">
                  <c:v>1.0859180500000001E-6</c:v>
                </c:pt>
                <c:pt idx="314">
                  <c:v>1.0862935E-6</c:v>
                </c:pt>
                <c:pt idx="315">
                  <c:v>1.08690125E-6</c:v>
                </c:pt>
                <c:pt idx="316">
                  <c:v>1.0859586E-6</c:v>
                </c:pt>
                <c:pt idx="317">
                  <c:v>1.0859004E-6</c:v>
                </c:pt>
                <c:pt idx="318">
                  <c:v>1.0870784500000001E-6</c:v>
                </c:pt>
                <c:pt idx="319">
                  <c:v>1.0881186999999999E-6</c:v>
                </c:pt>
                <c:pt idx="320">
                  <c:v>1.0873087499999999E-6</c:v>
                </c:pt>
                <c:pt idx="321">
                  <c:v>1.0863281500000001E-6</c:v>
                </c:pt>
                <c:pt idx="322">
                  <c:v>1.0859673500000002E-6</c:v>
                </c:pt>
                <c:pt idx="323">
                  <c:v>1.0869649000000003E-6</c:v>
                </c:pt>
                <c:pt idx="324">
                  <c:v>1.0877330000000003E-6</c:v>
                </c:pt>
                <c:pt idx="325">
                  <c:v>1.0863095000000002E-6</c:v>
                </c:pt>
                <c:pt idx="326">
                  <c:v>1.0836770000000001E-6</c:v>
                </c:pt>
                <c:pt idx="327">
                  <c:v>1.0838519499999999E-6</c:v>
                </c:pt>
                <c:pt idx="328">
                  <c:v>1.08410955E-6</c:v>
                </c:pt>
                <c:pt idx="329">
                  <c:v>1.0834083000000001E-6</c:v>
                </c:pt>
                <c:pt idx="330">
                  <c:v>1.0827781500000002E-6</c:v>
                </c:pt>
                <c:pt idx="331">
                  <c:v>1.08273735E-6</c:v>
                </c:pt>
                <c:pt idx="332">
                  <c:v>1.085001E-6</c:v>
                </c:pt>
                <c:pt idx="333">
                  <c:v>1.0863344499999999E-6</c:v>
                </c:pt>
                <c:pt idx="334">
                  <c:v>1.0889708499999996E-6</c:v>
                </c:pt>
                <c:pt idx="335">
                  <c:v>1.0887256499999997E-6</c:v>
                </c:pt>
                <c:pt idx="336">
                  <c:v>1.0890718999999998E-6</c:v>
                </c:pt>
                <c:pt idx="337">
                  <c:v>1.0896801999999997E-6</c:v>
                </c:pt>
                <c:pt idx="338">
                  <c:v>1.0910830999999999E-6</c:v>
                </c:pt>
                <c:pt idx="339">
                  <c:v>1.0915688999999997E-6</c:v>
                </c:pt>
                <c:pt idx="340">
                  <c:v>1.0921810499999998E-6</c:v>
                </c:pt>
                <c:pt idx="341">
                  <c:v>1.0930277499999998E-6</c:v>
                </c:pt>
                <c:pt idx="342">
                  <c:v>1.0938829500000004E-6</c:v>
                </c:pt>
                <c:pt idx="343">
                  <c:v>1.0934456500000002E-6</c:v>
                </c:pt>
                <c:pt idx="344">
                  <c:v>1.0928933000000004E-6</c:v>
                </c:pt>
                <c:pt idx="345">
                  <c:v>1.0940799500000001E-6</c:v>
                </c:pt>
                <c:pt idx="346">
                  <c:v>1.0948495000000001E-6</c:v>
                </c:pt>
                <c:pt idx="347">
                  <c:v>1.0964880499999999E-6</c:v>
                </c:pt>
                <c:pt idx="348">
                  <c:v>1.0971998E-6</c:v>
                </c:pt>
                <c:pt idx="349">
                  <c:v>1.0999893999999999E-6</c:v>
                </c:pt>
                <c:pt idx="350">
                  <c:v>1.0999263499999999E-6</c:v>
                </c:pt>
                <c:pt idx="351">
                  <c:v>1.0993652500000002E-6</c:v>
                </c:pt>
                <c:pt idx="352">
                  <c:v>1.0968949499999999E-6</c:v>
                </c:pt>
                <c:pt idx="353">
                  <c:v>1.0971611999999999E-6</c:v>
                </c:pt>
                <c:pt idx="354">
                  <c:v>1.0971518999999999E-6</c:v>
                </c:pt>
                <c:pt idx="355">
                  <c:v>1.0975627999999996E-6</c:v>
                </c:pt>
                <c:pt idx="356">
                  <c:v>1.0979372499999997E-6</c:v>
                </c:pt>
                <c:pt idx="357">
                  <c:v>1.0983300499999997E-6</c:v>
                </c:pt>
                <c:pt idx="358">
                  <c:v>1.0987384499999997E-6</c:v>
                </c:pt>
                <c:pt idx="359">
                  <c:v>1.0988931499999997E-6</c:v>
                </c:pt>
                <c:pt idx="360">
                  <c:v>1.0994030499999999E-6</c:v>
                </c:pt>
                <c:pt idx="361">
                  <c:v>1.0974055500000001E-6</c:v>
                </c:pt>
                <c:pt idx="362">
                  <c:v>1.09742975E-6</c:v>
                </c:pt>
                <c:pt idx="363">
                  <c:v>1.0998686000000003E-6</c:v>
                </c:pt>
                <c:pt idx="364">
                  <c:v>1.1013911000000001E-6</c:v>
                </c:pt>
                <c:pt idx="365">
                  <c:v>1.1026059000000001E-6</c:v>
                </c:pt>
                <c:pt idx="366">
                  <c:v>1.1007344E-6</c:v>
                </c:pt>
                <c:pt idx="367">
                  <c:v>1.0981595E-6</c:v>
                </c:pt>
                <c:pt idx="368">
                  <c:v>1.0989688999999998E-6</c:v>
                </c:pt>
                <c:pt idx="369">
                  <c:v>1.0989525499999998E-6</c:v>
                </c:pt>
                <c:pt idx="370">
                  <c:v>1.0982291499999998E-6</c:v>
                </c:pt>
                <c:pt idx="371">
                  <c:v>1.0962016000000001E-6</c:v>
                </c:pt>
                <c:pt idx="372">
                  <c:v>1.0955763499999997E-6</c:v>
                </c:pt>
                <c:pt idx="373">
                  <c:v>1.0942060499999998E-6</c:v>
                </c:pt>
                <c:pt idx="374">
                  <c:v>1.0948669500000001E-6</c:v>
                </c:pt>
                <c:pt idx="375">
                  <c:v>1.09575155E-6</c:v>
                </c:pt>
                <c:pt idx="376">
                  <c:v>1.0941475999999999E-6</c:v>
                </c:pt>
                <c:pt idx="377">
                  <c:v>1.0928674000000001E-6</c:v>
                </c:pt>
                <c:pt idx="378">
                  <c:v>1.0904220500000001E-6</c:v>
                </c:pt>
                <c:pt idx="379">
                  <c:v>1.0897171500000001E-6</c:v>
                </c:pt>
                <c:pt idx="380">
                  <c:v>1.0903628999999999E-6</c:v>
                </c:pt>
                <c:pt idx="381">
                  <c:v>1.0945817E-6</c:v>
                </c:pt>
                <c:pt idx="382">
                  <c:v>1.0958E-6</c:v>
                </c:pt>
                <c:pt idx="383">
                  <c:v>1.0935077E-6</c:v>
                </c:pt>
                <c:pt idx="384">
                  <c:v>1.0915228E-6</c:v>
                </c:pt>
                <c:pt idx="385">
                  <c:v>1.0878582999999999E-6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7B-4E9C-88F1-0C9F0CB07CCC}"/>
            </c:ext>
          </c:extLst>
        </c:ser>
        <c:ser>
          <c:idx val="1"/>
          <c:order val="1"/>
          <c:tx>
            <c:strRef>
              <c:f>GRAPH!$T$29</c:f>
              <c:strCache>
                <c:ptCount val="1"/>
                <c:pt idx="0">
                  <c:v>IGS__R140-2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Wafer1!$E$2:$E$348</c:f>
              <c:numCache>
                <c:formatCode>0.00E+00</c:formatCode>
                <c:ptCount val="3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398.41467654156338</c:v>
                </c:pt>
                <c:pt idx="4">
                  <c:v>30841.382268691792</c:v>
                </c:pt>
                <c:pt idx="5">
                  <c:v>64849.650427842171</c:v>
                </c:pt>
                <c:pt idx="6">
                  <c:v>90858.977773350387</c:v>
                </c:pt>
                <c:pt idx="7">
                  <c:v>125888.82202619707</c:v>
                </c:pt>
                <c:pt idx="8">
                  <c:v>156198.98472616679</c:v>
                </c:pt>
                <c:pt idx="9">
                  <c:v>184465.99523874387</c:v>
                </c:pt>
                <c:pt idx="10">
                  <c:v>205714.77798762725</c:v>
                </c:pt>
                <c:pt idx="11">
                  <c:v>224685.44604756785</c:v>
                </c:pt>
                <c:pt idx="12">
                  <c:v>249121.54620878372</c:v>
                </c:pt>
                <c:pt idx="13">
                  <c:v>281331.8404430286</c:v>
                </c:pt>
                <c:pt idx="14">
                  <c:v>310773.66346335644</c:v>
                </c:pt>
                <c:pt idx="15">
                  <c:v>331123.45924978703</c:v>
                </c:pt>
                <c:pt idx="16">
                  <c:v>341931.73432109406</c:v>
                </c:pt>
                <c:pt idx="17">
                  <c:v>351973.82732212887</c:v>
                </c:pt>
                <c:pt idx="18">
                  <c:v>370382.62853053649</c:v>
                </c:pt>
                <c:pt idx="19">
                  <c:v>387361.22320776928</c:v>
                </c:pt>
                <c:pt idx="20">
                  <c:v>419142.45548266167</c:v>
                </c:pt>
                <c:pt idx="21">
                  <c:v>441341.30399868265</c:v>
                </c:pt>
                <c:pt idx="22">
                  <c:v>470997.65799868671</c:v>
                </c:pt>
                <c:pt idx="23">
                  <c:v>498100.07176444994</c:v>
                </c:pt>
                <c:pt idx="24">
                  <c:v>529952.81436590117</c:v>
                </c:pt>
                <c:pt idx="25">
                  <c:v>546951.84056500776</c:v>
                </c:pt>
                <c:pt idx="26">
                  <c:v>567230.12602487975</c:v>
                </c:pt>
                <c:pt idx="27">
                  <c:v>572184.77007930679</c:v>
                </c:pt>
                <c:pt idx="28">
                  <c:v>577006.60924155347</c:v>
                </c:pt>
                <c:pt idx="29">
                  <c:v>600768.46918092982</c:v>
                </c:pt>
                <c:pt idx="30">
                  <c:v>627666.56772795378</c:v>
                </c:pt>
                <c:pt idx="31">
                  <c:v>645309.18686608912</c:v>
                </c:pt>
                <c:pt idx="32">
                  <c:v>667119.83646650554</c:v>
                </c:pt>
                <c:pt idx="33">
                  <c:v>693977.07196978165</c:v>
                </c:pt>
                <c:pt idx="34">
                  <c:v>717197.49657949898</c:v>
                </c:pt>
                <c:pt idx="35">
                  <c:v>730958.12656158837</c:v>
                </c:pt>
                <c:pt idx="36">
                  <c:v>761881.23491777584</c:v>
                </c:pt>
                <c:pt idx="37">
                  <c:v>795817.9927503675</c:v>
                </c:pt>
                <c:pt idx="38">
                  <c:v>832053.29679377587</c:v>
                </c:pt>
                <c:pt idx="39">
                  <c:v>866081.99647480017</c:v>
                </c:pt>
                <c:pt idx="40">
                  <c:v>894604.40101080132</c:v>
                </c:pt>
                <c:pt idx="41">
                  <c:v>912267.45167081058</c:v>
                </c:pt>
                <c:pt idx="42">
                  <c:v>940115.61598497222</c:v>
                </c:pt>
                <c:pt idx="43">
                  <c:v>971028.50858022273</c:v>
                </c:pt>
                <c:pt idx="44">
                  <c:v>1001011.7669302096</c:v>
                </c:pt>
                <c:pt idx="45">
                  <c:v>1032343.5057238756</c:v>
                </c:pt>
                <c:pt idx="46">
                  <c:v>1054767.1009805098</c:v>
                </c:pt>
                <c:pt idx="47">
                  <c:v>1083994.3930211614</c:v>
                </c:pt>
                <c:pt idx="48">
                  <c:v>1107184.1703480678</c:v>
                </c:pt>
                <c:pt idx="49">
                  <c:v>1131885.8802936447</c:v>
                </c:pt>
                <c:pt idx="50">
                  <c:v>1153798.6875034308</c:v>
                </c:pt>
                <c:pt idx="51">
                  <c:v>1185416.4676033317</c:v>
                </c:pt>
                <c:pt idx="52">
                  <c:v>1205817.3421944471</c:v>
                </c:pt>
                <c:pt idx="53">
                  <c:v>1235065.0657569726</c:v>
                </c:pt>
                <c:pt idx="54">
                  <c:v>1255271.8408902858</c:v>
                </c:pt>
                <c:pt idx="55">
                  <c:v>1277858.8883219115</c:v>
                </c:pt>
                <c:pt idx="56">
                  <c:v>1310007.8879905343</c:v>
                </c:pt>
                <c:pt idx="57">
                  <c:v>1326833.2462537128</c:v>
                </c:pt>
                <c:pt idx="58">
                  <c:v>1361291.0078940894</c:v>
                </c:pt>
                <c:pt idx="59">
                  <c:v>1391253.8347222025</c:v>
                </c:pt>
                <c:pt idx="60">
                  <c:v>1421206.4457893784</c:v>
                </c:pt>
                <c:pt idx="61">
                  <c:v>1454826.5150329242</c:v>
                </c:pt>
                <c:pt idx="62">
                  <c:v>1489907.4380904557</c:v>
                </c:pt>
                <c:pt idx="63">
                  <c:v>1522751.1095027924</c:v>
                </c:pt>
                <c:pt idx="64">
                  <c:v>1556565.2782041405</c:v>
                </c:pt>
                <c:pt idx="65">
                  <c:v>1589797.1485320816</c:v>
                </c:pt>
                <c:pt idx="66">
                  <c:v>1621843.9905913351</c:v>
                </c:pt>
                <c:pt idx="67">
                  <c:v>1646893.0364087687</c:v>
                </c:pt>
                <c:pt idx="68">
                  <c:v>1678878.5839024005</c:v>
                </c:pt>
                <c:pt idx="69">
                  <c:v>1706931.0634353012</c:v>
                </c:pt>
                <c:pt idx="70">
                  <c:v>1737557.9147243167</c:v>
                </c:pt>
                <c:pt idx="71">
                  <c:v>1759726.1159575267</c:v>
                </c:pt>
                <c:pt idx="72">
                  <c:v>1784989.6927546368</c:v>
                </c:pt>
                <c:pt idx="73">
                  <c:v>1819488.3174387612</c:v>
                </c:pt>
                <c:pt idx="74">
                  <c:v>1852679.3247229548</c:v>
                </c:pt>
                <c:pt idx="75">
                  <c:v>1870270.8650564053</c:v>
                </c:pt>
                <c:pt idx="76">
                  <c:v>1904871.6473498994</c:v>
                </c:pt>
                <c:pt idx="77">
                  <c:v>1935835.6187498348</c:v>
                </c:pt>
                <c:pt idx="78">
                  <c:v>1966237.7232982372</c:v>
                </c:pt>
                <c:pt idx="79">
                  <c:v>1999326.5729730609</c:v>
                </c:pt>
                <c:pt idx="80">
                  <c:v>2024682.0916186036</c:v>
                </c:pt>
                <c:pt idx="81">
                  <c:v>2040414.3634615268</c:v>
                </c:pt>
                <c:pt idx="82">
                  <c:v>2066525.8484164046</c:v>
                </c:pt>
                <c:pt idx="83">
                  <c:v>2099808.7975490307</c:v>
                </c:pt>
                <c:pt idx="84">
                  <c:v>2134368.7167987768</c:v>
                </c:pt>
                <c:pt idx="85">
                  <c:v>2163830.9713409785</c:v>
                </c:pt>
                <c:pt idx="86">
                  <c:v>2191495.2519582747</c:v>
                </c:pt>
                <c:pt idx="87">
                  <c:v>2225666.9722924167</c:v>
                </c:pt>
                <c:pt idx="88">
                  <c:v>2258306.3284860142</c:v>
                </c:pt>
                <c:pt idx="89">
                  <c:v>2289178.3580375169</c:v>
                </c:pt>
                <c:pt idx="90">
                  <c:v>2315647.3946251883</c:v>
                </c:pt>
                <c:pt idx="91">
                  <c:v>2347796.3942938112</c:v>
                </c:pt>
                <c:pt idx="92">
                  <c:v>2382529.981479486</c:v>
                </c:pt>
                <c:pt idx="93">
                  <c:v>2410694.8343826937</c:v>
                </c:pt>
                <c:pt idx="94">
                  <c:v>2442608.8715497665</c:v>
                </c:pt>
                <c:pt idx="95">
                  <c:v>2476310.6668808078</c:v>
                </c:pt>
                <c:pt idx="96">
                  <c:v>2510421.0926493281</c:v>
                </c:pt>
                <c:pt idx="97">
                  <c:v>2544061.5934147476</c:v>
                </c:pt>
                <c:pt idx="98">
                  <c:v>2577834.8990723481</c:v>
                </c:pt>
                <c:pt idx="99">
                  <c:v>2607787.510139524</c:v>
                </c:pt>
                <c:pt idx="100">
                  <c:v>2632632.2407382182</c:v>
                </c:pt>
                <c:pt idx="101">
                  <c:v>2667713.1637957497</c:v>
                </c:pt>
                <c:pt idx="102">
                  <c:v>2700342.3042284101</c:v>
                </c:pt>
                <c:pt idx="103">
                  <c:v>2724175.6744943452</c:v>
                </c:pt>
                <c:pt idx="104">
                  <c:v>2755578.9236145699</c:v>
                </c:pt>
                <c:pt idx="105">
                  <c:v>2788310.2216566</c:v>
                </c:pt>
                <c:pt idx="106">
                  <c:v>2823615.8914547446</c:v>
                </c:pt>
                <c:pt idx="107">
                  <c:v>2856786.467217064</c:v>
                </c:pt>
                <c:pt idx="108">
                  <c:v>2888608.5625357046</c:v>
                </c:pt>
                <c:pt idx="109">
                  <c:v>2918029.9540341585</c:v>
                </c:pt>
                <c:pt idx="110">
                  <c:v>2947757.8183607212</c:v>
                </c:pt>
                <c:pt idx="111">
                  <c:v>2977220.072902923</c:v>
                </c:pt>
                <c:pt idx="112">
                  <c:v>3009665.3296387177</c:v>
                </c:pt>
                <c:pt idx="113">
                  <c:v>3032078.7091344153</c:v>
                </c:pt>
                <c:pt idx="114">
                  <c:v>3064472.8870655252</c:v>
                </c:pt>
                <c:pt idx="115">
                  <c:v>3095549.2318357672</c:v>
                </c:pt>
                <c:pt idx="116">
                  <c:v>3119995.5477579199</c:v>
                </c:pt>
                <c:pt idx="117">
                  <c:v>3149519.0968657434</c:v>
                </c:pt>
                <c:pt idx="118">
                  <c:v>3182097.1584937191</c:v>
                </c:pt>
                <c:pt idx="119">
                  <c:v>3213725.1543545569</c:v>
                </c:pt>
                <c:pt idx="120">
                  <c:v>3246824.2197903176</c:v>
                </c:pt>
                <c:pt idx="121">
                  <c:v>3278860.8460886343</c:v>
                </c:pt>
                <c:pt idx="122">
                  <c:v>3311806.6751103406</c:v>
                </c:pt>
                <c:pt idx="123">
                  <c:v>3345345.0182663905</c:v>
                </c:pt>
                <c:pt idx="124">
                  <c:v>3377902.6483724923</c:v>
                </c:pt>
                <c:pt idx="125">
                  <c:v>3410153.8056504847</c:v>
                </c:pt>
                <c:pt idx="126">
                  <c:v>3435437.8139694687</c:v>
                </c:pt>
                <c:pt idx="127">
                  <c:v>3463694.6087211086</c:v>
                </c:pt>
                <c:pt idx="128">
                  <c:v>3495128.5051241443</c:v>
                </c:pt>
                <c:pt idx="129">
                  <c:v>3526899.5216381</c:v>
                </c:pt>
                <c:pt idx="130">
                  <c:v>3561061.0262113046</c:v>
                </c:pt>
                <c:pt idx="131">
                  <c:v>3595294.0411110683</c:v>
                </c:pt>
                <c:pt idx="132">
                  <c:v>3630569.0636264021</c:v>
                </c:pt>
                <c:pt idx="133">
                  <c:v>3664945.0991792833</c:v>
                </c:pt>
                <c:pt idx="134">
                  <c:v>3684763.6753969914</c:v>
                </c:pt>
                <c:pt idx="135">
                  <c:v>3713265.6484111189</c:v>
                </c:pt>
                <c:pt idx="136">
                  <c:v>3745649.6105812918</c:v>
                </c:pt>
                <c:pt idx="137">
                  <c:v>3772435.3357580095</c:v>
                </c:pt>
                <c:pt idx="138">
                  <c:v>3806024.7577187442</c:v>
                </c:pt>
                <c:pt idx="139">
                  <c:v>3834945.5769312871</c:v>
                </c:pt>
                <c:pt idx="140">
                  <c:v>3866440.7678999444</c:v>
                </c:pt>
                <c:pt idx="141">
                  <c:v>3889436.4457690488</c:v>
                </c:pt>
                <c:pt idx="142">
                  <c:v>3914587.6491958518</c:v>
                </c:pt>
                <c:pt idx="143">
                  <c:v>3945132.7743973718</c:v>
                </c:pt>
                <c:pt idx="144">
                  <c:v>3978936.7273377827</c:v>
                </c:pt>
                <c:pt idx="145">
                  <c:v>4009114.0851455722</c:v>
                </c:pt>
                <c:pt idx="146">
                  <c:v>4040507.11850486</c:v>
                </c:pt>
                <c:pt idx="147">
                  <c:v>4069683.3317408268</c:v>
                </c:pt>
                <c:pt idx="148">
                  <c:v>4097776.6743174754</c:v>
                </c:pt>
                <c:pt idx="149">
                  <c:v>4129925.6739860983</c:v>
                </c:pt>
                <c:pt idx="150">
                  <c:v>4164056.5312764924</c:v>
                </c:pt>
                <c:pt idx="151">
                  <c:v>4198371.2722637514</c:v>
                </c:pt>
                <c:pt idx="152">
                  <c:v>4231940.2627026122</c:v>
                </c:pt>
                <c:pt idx="153">
                  <c:v>4264211.8515024791</c:v>
                </c:pt>
                <c:pt idx="154">
                  <c:v>4300089.6039130939</c:v>
                </c:pt>
                <c:pt idx="155">
                  <c:v>4333862.909570694</c:v>
                </c:pt>
                <c:pt idx="156">
                  <c:v>4368504.5549079366</c:v>
                </c:pt>
                <c:pt idx="157">
                  <c:v>4396720.4866158282</c:v>
                </c:pt>
                <c:pt idx="158">
                  <c:v>4426162.3096361561</c:v>
                </c:pt>
                <c:pt idx="159">
                  <c:v>4461396.4691077424</c:v>
                </c:pt>
                <c:pt idx="160">
                  <c:v>4488090.2524360269</c:v>
                </c:pt>
                <c:pt idx="161">
                  <c:v>4522936.2129920088</c:v>
                </c:pt>
                <c:pt idx="162">
                  <c:v>4553900.1843919437</c:v>
                </c:pt>
                <c:pt idx="163">
                  <c:v>4587806.2949417243</c:v>
                </c:pt>
                <c:pt idx="164">
                  <c:v>4615858.7744746255</c:v>
                </c:pt>
                <c:pt idx="165">
                  <c:v>4648968.0556713231</c:v>
                </c:pt>
                <c:pt idx="166">
                  <c:v>4685315.7330850381</c:v>
                </c:pt>
                <c:pt idx="167">
                  <c:v>4720222.9882066408</c:v>
                </c:pt>
                <c:pt idx="168">
                  <c:v>4747458.2068645852</c:v>
                </c:pt>
                <c:pt idx="169">
                  <c:v>4779535.6962066488</c:v>
                </c:pt>
                <c:pt idx="170">
                  <c:v>4807159.1137801977</c:v>
                </c:pt>
                <c:pt idx="171">
                  <c:v>4838112.8694191957</c:v>
                </c:pt>
                <c:pt idx="172">
                  <c:v>4873193.7924767276</c:v>
                </c:pt>
                <c:pt idx="173">
                  <c:v>4907723.0644436628</c:v>
                </c:pt>
                <c:pt idx="174">
                  <c:v>4941179.681512217</c:v>
                </c:pt>
                <c:pt idx="175">
                  <c:v>4971081.2137747081</c:v>
                </c:pt>
                <c:pt idx="176">
                  <c:v>5001861.3014777787</c:v>
                </c:pt>
                <c:pt idx="177">
                  <c:v>5035603.9598525679</c:v>
                </c:pt>
                <c:pt idx="178">
                  <c:v>5072482.8568350049</c:v>
                </c:pt>
                <c:pt idx="179">
                  <c:v>5106317.4570582267</c:v>
                </c:pt>
                <c:pt idx="180">
                  <c:v>5130058.8854757296</c:v>
                </c:pt>
                <c:pt idx="181">
                  <c:v>5160277.1063272664</c:v>
                </c:pt>
                <c:pt idx="182">
                  <c:v>5195082.2038394995</c:v>
                </c:pt>
                <c:pt idx="183">
                  <c:v>5229907.7328736074</c:v>
                </c:pt>
                <c:pt idx="184">
                  <c:v>5262925.0722218724</c:v>
                </c:pt>
                <c:pt idx="185">
                  <c:v>5298506.5675653145</c:v>
                </c:pt>
                <c:pt idx="186">
                  <c:v>5333771.3743197117</c:v>
                </c:pt>
                <c:pt idx="187">
                  <c:v>5360393.6473214375</c:v>
                </c:pt>
                <c:pt idx="188">
                  <c:v>5384421.1170451753</c:v>
                </c:pt>
                <c:pt idx="189">
                  <c:v>5413985.5291967466</c:v>
                </c:pt>
                <c:pt idx="190">
                  <c:v>5445991.5082122516</c:v>
                </c:pt>
                <c:pt idx="191">
                  <c:v>5474636.5018794965</c:v>
                </c:pt>
                <c:pt idx="192">
                  <c:v>5500625.3977031307</c:v>
                </c:pt>
                <c:pt idx="193">
                  <c:v>5538188.750668345</c:v>
                </c:pt>
                <c:pt idx="194">
                  <c:v>5572993.8481805781</c:v>
                </c:pt>
                <c:pt idx="195">
                  <c:v>5609259.7995067975</c:v>
                </c:pt>
                <c:pt idx="196">
                  <c:v>5648100.1225891309</c:v>
                </c:pt>
                <c:pt idx="197">
                  <c:v>5682762.1994482474</c:v>
                </c:pt>
                <c:pt idx="198">
                  <c:v>5713184.7355185235</c:v>
                </c:pt>
                <c:pt idx="199">
                  <c:v>5748194.1482494967</c:v>
                </c:pt>
                <c:pt idx="200">
                  <c:v>5771772.1244920073</c:v>
                </c:pt>
                <c:pt idx="201">
                  <c:v>5792969.8284362061</c:v>
                </c:pt>
                <c:pt idx="202">
                  <c:v>5823913.3683142671</c:v>
                </c:pt>
                <c:pt idx="203">
                  <c:v>5852098.6527393488</c:v>
                </c:pt>
                <c:pt idx="204">
                  <c:v>5877903.6648661178</c:v>
                </c:pt>
                <c:pt idx="205">
                  <c:v>5905649.6715709092</c:v>
                </c:pt>
                <c:pt idx="206">
                  <c:v>5929901.8880352601</c:v>
                </c:pt>
                <c:pt idx="207">
                  <c:v>5964206.4132615821</c:v>
                </c:pt>
                <c:pt idx="208">
                  <c:v>5995813.9776005466</c:v>
                </c:pt>
                <c:pt idx="209">
                  <c:v>6025327.3109474331</c:v>
                </c:pt>
                <c:pt idx="210">
                  <c:v>6058794.1437769243</c:v>
                </c:pt>
                <c:pt idx="211">
                  <c:v>6084476.5667724498</c:v>
                </c:pt>
                <c:pt idx="212">
                  <c:v>6116748.1555723166</c:v>
                </c:pt>
                <c:pt idx="213">
                  <c:v>6143983.37423026</c:v>
                </c:pt>
                <c:pt idx="214">
                  <c:v>6168276.4537383588</c:v>
                </c:pt>
                <c:pt idx="215">
                  <c:v>6188238.0506091844</c:v>
                </c:pt>
                <c:pt idx="216">
                  <c:v>6209190.5762908962</c:v>
                </c:pt>
                <c:pt idx="217">
                  <c:v>6232380.3536178023</c:v>
                </c:pt>
                <c:pt idx="218">
                  <c:v>6259309.0994476378</c:v>
                </c:pt>
                <c:pt idx="219">
                  <c:v>6288771.3539898396</c:v>
                </c:pt>
                <c:pt idx="220">
                  <c:v>6303696.5807187427</c:v>
                </c:pt>
                <c:pt idx="221">
                  <c:v>6319428.8525616657</c:v>
                </c:pt>
                <c:pt idx="222">
                  <c:v>6352415.5446271198</c:v>
                </c:pt>
                <c:pt idx="223">
                  <c:v>6387036.7584424876</c:v>
                </c:pt>
                <c:pt idx="224">
                  <c:v>6421014.3793188278</c:v>
                </c:pt>
                <c:pt idx="225">
                  <c:v>6457872.8447793908</c:v>
                </c:pt>
                <c:pt idx="226">
                  <c:v>6495609.8656805325</c:v>
                </c:pt>
                <c:pt idx="227">
                  <c:v>6520117.4761683065</c:v>
                </c:pt>
                <c:pt idx="228">
                  <c:v>6545381.0529654166</c:v>
                </c:pt>
                <c:pt idx="229">
                  <c:v>6584415.4755055532</c:v>
                </c:pt>
                <c:pt idx="230">
                  <c:v>6612273.8555806521</c:v>
                </c:pt>
                <c:pt idx="231">
                  <c:v>6639815.5470667044</c:v>
                </c:pt>
                <c:pt idx="232">
                  <c:v>6672219.9407587517</c:v>
                </c:pt>
                <c:pt idx="233">
                  <c:v>6712991.0426581716</c:v>
                </c:pt>
                <c:pt idx="234">
                  <c:v>6744659.9015627569</c:v>
                </c:pt>
                <c:pt idx="235">
                  <c:v>6777748.7512375806</c:v>
                </c:pt>
                <c:pt idx="236">
                  <c:v>6799477.6747505013</c:v>
                </c:pt>
                <c:pt idx="237">
                  <c:v>6827438.2124349698</c:v>
                </c:pt>
                <c:pt idx="238">
                  <c:v>6856277.305560017</c:v>
                </c:pt>
                <c:pt idx="239">
                  <c:v>6888804.2883833079</c:v>
                </c:pt>
                <c:pt idx="240">
                  <c:v>6921842.0592534468</c:v>
                </c:pt>
                <c:pt idx="241">
                  <c:v>6954675.5149048464</c:v>
                </c:pt>
                <c:pt idx="242">
                  <c:v>6991431.8227560399</c:v>
                </c:pt>
                <c:pt idx="243">
                  <c:v>7023396.938727797</c:v>
                </c:pt>
                <c:pt idx="244">
                  <c:v>7056557.2987291794</c:v>
                </c:pt>
                <c:pt idx="245">
                  <c:v>7090034.3473196076</c:v>
                </c:pt>
                <c:pt idx="246">
                  <c:v>7109842.7077763798</c:v>
                </c:pt>
                <c:pt idx="247">
                  <c:v>7141225.5253747301</c:v>
                </c:pt>
                <c:pt idx="248">
                  <c:v>7173926.1761339493</c:v>
                </c:pt>
                <c:pt idx="249">
                  <c:v>7208874.2942993008</c:v>
                </c:pt>
                <c:pt idx="250">
                  <c:v>7244149.316814634</c:v>
                </c:pt>
                <c:pt idx="251">
                  <c:v>7268575.2012149133</c:v>
                </c:pt>
                <c:pt idx="252">
                  <c:v>7301561.8932803674</c:v>
                </c:pt>
                <c:pt idx="253">
                  <c:v>7333904.9924067929</c:v>
                </c:pt>
                <c:pt idx="254">
                  <c:v>7361916.6088959454</c:v>
                </c:pt>
                <c:pt idx="255">
                  <c:v>7384340.2041525794</c:v>
                </c:pt>
                <c:pt idx="256">
                  <c:v>7419891.0522132115</c:v>
                </c:pt>
                <c:pt idx="257">
                  <c:v>7438943.4463606477</c:v>
                </c:pt>
                <c:pt idx="258">
                  <c:v>7466239.9595842138</c:v>
                </c:pt>
                <c:pt idx="259">
                  <c:v>7484199.2673113951</c:v>
                </c:pt>
                <c:pt idx="260">
                  <c:v>7513876.0528332731</c:v>
                </c:pt>
                <c:pt idx="261">
                  <c:v>7545595.9905425431</c:v>
                </c:pt>
                <c:pt idx="262">
                  <c:v>7565016.1520837108</c:v>
                </c:pt>
                <c:pt idx="263">
                  <c:v>7589176.4266996281</c:v>
                </c:pt>
                <c:pt idx="264">
                  <c:v>7623092.7530103456</c:v>
                </c:pt>
                <c:pt idx="265">
                  <c:v>7658725.3271584734</c:v>
                </c:pt>
                <c:pt idx="266">
                  <c:v>7691926.5502036037</c:v>
                </c:pt>
                <c:pt idx="267">
                  <c:v>7727130.0623923792</c:v>
                </c:pt>
                <c:pt idx="268">
                  <c:v>7752996.3690847699</c:v>
                </c:pt>
                <c:pt idx="269">
                  <c:v>7788445.0595360314</c:v>
                </c:pt>
                <c:pt idx="270">
                  <c:v>7825303.5249965945</c:v>
                </c:pt>
                <c:pt idx="271">
                  <c:v>7862294.7953493381</c:v>
                </c:pt>
                <c:pt idx="272">
                  <c:v>7897641.328191231</c:v>
                </c:pt>
                <c:pt idx="273">
                  <c:v>7933284.1181002958</c:v>
                </c:pt>
                <c:pt idx="274">
                  <c:v>7969478.5590999555</c:v>
                </c:pt>
                <c:pt idx="275">
                  <c:v>7992269.9217503211</c:v>
                </c:pt>
                <c:pt idx="276">
                  <c:v>8025828.6964282449</c:v>
                </c:pt>
                <c:pt idx="277">
                  <c:v>8061287.6026404435</c:v>
                </c:pt>
                <c:pt idx="278">
                  <c:v>8083537.5299611492</c:v>
                </c:pt>
                <c:pt idx="279">
                  <c:v>8113224.531243965</c:v>
                </c:pt>
                <c:pt idx="280">
                  <c:v>8141113.5586018739</c:v>
                </c:pt>
                <c:pt idx="281">
                  <c:v>8163649.5272288145</c:v>
                </c:pt>
                <c:pt idx="282">
                  <c:v>8198689.5872425986</c:v>
                </c:pt>
                <c:pt idx="283">
                  <c:v>8235221.148353179</c:v>
                </c:pt>
                <c:pt idx="284">
                  <c:v>8264703.8344172547</c:v>
                </c:pt>
                <c:pt idx="285">
                  <c:v>8291162.6552439891</c:v>
                </c:pt>
                <c:pt idx="286">
                  <c:v>8320195.8478268385</c:v>
                </c:pt>
                <c:pt idx="287">
                  <c:v>8352579.8099970119</c:v>
                </c:pt>
                <c:pt idx="288">
                  <c:v>8380509.7003986686</c:v>
                </c:pt>
                <c:pt idx="289">
                  <c:v>8412096.8332157582</c:v>
                </c:pt>
                <c:pt idx="290">
                  <c:v>8443459.2192922365</c:v>
                </c:pt>
                <c:pt idx="291">
                  <c:v>8472962.3368781861</c:v>
                </c:pt>
                <c:pt idx="292">
                  <c:v>8499942.1615127046</c:v>
                </c:pt>
                <c:pt idx="293">
                  <c:v>8535002.6530483626</c:v>
                </c:pt>
                <c:pt idx="294">
                  <c:v>8568438.8385950439</c:v>
                </c:pt>
                <c:pt idx="295">
                  <c:v>8603540.1931744479</c:v>
                </c:pt>
                <c:pt idx="296">
                  <c:v>8628568.8074700087</c:v>
                </c:pt>
                <c:pt idx="297">
                  <c:v>8663843.8299853429</c:v>
                </c:pt>
                <c:pt idx="298">
                  <c:v>8695441.1785633694</c:v>
                </c:pt>
                <c:pt idx="299">
                  <c:v>8730838.7902099472</c:v>
                </c:pt>
                <c:pt idx="300">
                  <c:v>8765776.6926143598</c:v>
                </c:pt>
                <c:pt idx="301">
                  <c:v>8800735.0265406482</c:v>
                </c:pt>
                <c:pt idx="302">
                  <c:v>8832128.0598999355</c:v>
                </c:pt>
                <c:pt idx="303">
                  <c:v>8869231.7036229875</c:v>
                </c:pt>
                <c:pt idx="304">
                  <c:v>8901554.3712275382</c:v>
                </c:pt>
                <c:pt idx="305">
                  <c:v>8935950.8383022938</c:v>
                </c:pt>
                <c:pt idx="306">
                  <c:v>8969805.8700473886</c:v>
                </c:pt>
                <c:pt idx="307">
                  <c:v>8997929.8599068485</c:v>
                </c:pt>
                <c:pt idx="308">
                  <c:v>9030303.606316084</c:v>
                </c:pt>
                <c:pt idx="309">
                  <c:v>9057947.4554115068</c:v>
                </c:pt>
                <c:pt idx="310">
                  <c:v>9080391.4821900148</c:v>
                </c:pt>
                <c:pt idx="311">
                  <c:v>9108392.8829182312</c:v>
                </c:pt>
                <c:pt idx="312">
                  <c:v>9138938.0081197508</c:v>
                </c:pt>
                <c:pt idx="313">
                  <c:v>9172660.2349726669</c:v>
                </c:pt>
                <c:pt idx="314">
                  <c:v>9202602.6302789059</c:v>
                </c:pt>
                <c:pt idx="315">
                  <c:v>9230961.5826399159</c:v>
                </c:pt>
                <c:pt idx="316">
                  <c:v>9265817.7589568328</c:v>
                </c:pt>
                <c:pt idx="317">
                  <c:v>9292531.9738069922</c:v>
                </c:pt>
                <c:pt idx="318">
                  <c:v>9315272.257652672</c:v>
                </c:pt>
                <c:pt idx="319">
                  <c:v>9348299.8127618749</c:v>
                </c:pt>
                <c:pt idx="320">
                  <c:v>9380847.2271070387</c:v>
                </c:pt>
                <c:pt idx="321">
                  <c:v>9414232.3338490352</c:v>
                </c:pt>
                <c:pt idx="322">
                  <c:v>9447750.2454832103</c:v>
                </c:pt>
                <c:pt idx="323">
                  <c:v>9472983.1749975104</c:v>
                </c:pt>
                <c:pt idx="324">
                  <c:v>9504120.8143333737</c:v>
                </c:pt>
                <c:pt idx="325">
                  <c:v>9530416.1829851158</c:v>
                </c:pt>
                <c:pt idx="326">
                  <c:v>9558478.878278954</c:v>
                </c:pt>
                <c:pt idx="327">
                  <c:v>9583231.6670292169</c:v>
                </c:pt>
                <c:pt idx="328">
                  <c:v>9613909.597122917</c:v>
                </c:pt>
                <c:pt idx="329">
                  <c:v>9646344.6380977742</c:v>
                </c:pt>
                <c:pt idx="330">
                  <c:v>9658521.825134635</c:v>
                </c:pt>
                <c:pt idx="331">
                  <c:v>9687125.955758132</c:v>
                </c:pt>
                <c:pt idx="332">
                  <c:v>9721951.4847922381</c:v>
                </c:pt>
                <c:pt idx="333">
                  <c:v>9750892.7355266549</c:v>
                </c:pt>
                <c:pt idx="334">
                  <c:v>9779343.6297360975</c:v>
                </c:pt>
                <c:pt idx="335">
                  <c:v>9797497.0369210821</c:v>
                </c:pt>
                <c:pt idx="336">
                  <c:v>9820605.0881604925</c:v>
                </c:pt>
                <c:pt idx="337">
                  <c:v>9847319.30301065</c:v>
                </c:pt>
                <c:pt idx="338">
                  <c:v>9880214.0532276724</c:v>
                </c:pt>
                <c:pt idx="339">
                  <c:v>9910309.6849479657</c:v>
                </c:pt>
                <c:pt idx="340">
                  <c:v>9938433.6748074256</c:v>
                </c:pt>
                <c:pt idx="341">
                  <c:v>9974086.6804774273</c:v>
                </c:pt>
                <c:pt idx="342">
                  <c:v>10005295.830139849</c:v>
                </c:pt>
                <c:pt idx="343">
                  <c:v>10037158.788502237</c:v>
                </c:pt>
                <c:pt idx="344">
                  <c:v>10050000</c:v>
                </c:pt>
                <c:pt idx="345">
                  <c:v>10050000</c:v>
                </c:pt>
                <c:pt idx="346">
                  <c:v>10050000</c:v>
                </c:pt>
              </c:numCache>
            </c:numRef>
          </c:xVal>
          <c:yVal>
            <c:numRef>
              <c:f>Wafer1!$G$2:$G$348</c:f>
              <c:numCache>
                <c:formatCode>0.00E+00</c:formatCode>
                <c:ptCount val="347"/>
                <c:pt idx="0">
                  <c:v>1.153423E-6</c:v>
                </c:pt>
                <c:pt idx="1">
                  <c:v>1.153568E-6</c:v>
                </c:pt>
                <c:pt idx="2">
                  <c:v>1.1555576666666668E-6</c:v>
                </c:pt>
                <c:pt idx="3">
                  <c:v>1.1540325E-6</c:v>
                </c:pt>
                <c:pt idx="4">
                  <c:v>1.1527154000000002E-6</c:v>
                </c:pt>
                <c:pt idx="5">
                  <c:v>1.1550393333333333E-6</c:v>
                </c:pt>
                <c:pt idx="6">
                  <c:v>1.1550934285714286E-6</c:v>
                </c:pt>
                <c:pt idx="7">
                  <c:v>1.154996375E-6</c:v>
                </c:pt>
                <c:pt idx="8">
                  <c:v>1.153732888888889E-6</c:v>
                </c:pt>
                <c:pt idx="9">
                  <c:v>1.1532735E-6</c:v>
                </c:pt>
                <c:pt idx="10">
                  <c:v>1.1527483636363638E-6</c:v>
                </c:pt>
                <c:pt idx="11">
                  <c:v>1.1537924166666669E-6</c:v>
                </c:pt>
                <c:pt idx="12">
                  <c:v>1.1534533076923077E-6</c:v>
                </c:pt>
                <c:pt idx="13">
                  <c:v>1.1532472142857146E-6</c:v>
                </c:pt>
                <c:pt idx="14">
                  <c:v>1.1516284000000002E-6</c:v>
                </c:pt>
                <c:pt idx="15">
                  <c:v>1.1510359375000003E-6</c:v>
                </c:pt>
                <c:pt idx="16">
                  <c:v>1.1499776470588238E-6</c:v>
                </c:pt>
                <c:pt idx="17">
                  <c:v>1.1493645000000001E-6</c:v>
                </c:pt>
                <c:pt idx="18">
                  <c:v>1.1489427368421055E-6</c:v>
                </c:pt>
                <c:pt idx="19">
                  <c:v>1.1481789000000002E-6</c:v>
                </c:pt>
                <c:pt idx="20">
                  <c:v>1.1465760999999999E-6</c:v>
                </c:pt>
                <c:pt idx="21">
                  <c:v>1.1448017999999998E-6</c:v>
                </c:pt>
                <c:pt idx="22">
                  <c:v>1.1434003499999999E-6</c:v>
                </c:pt>
                <c:pt idx="23">
                  <c:v>1.1431170499999997E-6</c:v>
                </c:pt>
                <c:pt idx="24">
                  <c:v>1.1425432499999998E-6</c:v>
                </c:pt>
                <c:pt idx="25">
                  <c:v>1.1403560499999999E-6</c:v>
                </c:pt>
                <c:pt idx="26">
                  <c:v>1.1383091999999999E-6</c:v>
                </c:pt>
                <c:pt idx="27">
                  <c:v>1.1365376499999998E-6</c:v>
                </c:pt>
                <c:pt idx="28">
                  <c:v>1.1354369999999999E-6</c:v>
                </c:pt>
                <c:pt idx="29">
                  <c:v>1.1342625999999999E-6</c:v>
                </c:pt>
                <c:pt idx="30">
                  <c:v>1.1328609499999998E-6</c:v>
                </c:pt>
                <c:pt idx="31">
                  <c:v>1.1305779499999997E-6</c:v>
                </c:pt>
                <c:pt idx="32">
                  <c:v>1.1282979999999998E-6</c:v>
                </c:pt>
                <c:pt idx="33">
                  <c:v>1.1263077499999999E-6</c:v>
                </c:pt>
                <c:pt idx="34">
                  <c:v>1.1253472000000004E-6</c:v>
                </c:pt>
                <c:pt idx="35">
                  <c:v>1.1240085500000001E-6</c:v>
                </c:pt>
                <c:pt idx="36">
                  <c:v>1.1238545000000005E-6</c:v>
                </c:pt>
                <c:pt idx="37">
                  <c:v>1.1227312500000003E-6</c:v>
                </c:pt>
                <c:pt idx="38">
                  <c:v>1.1206503500000002E-6</c:v>
                </c:pt>
                <c:pt idx="39">
                  <c:v>1.1188092000000001E-6</c:v>
                </c:pt>
                <c:pt idx="40">
                  <c:v>1.1180716E-6</c:v>
                </c:pt>
                <c:pt idx="41">
                  <c:v>1.11848175E-6</c:v>
                </c:pt>
                <c:pt idx="42">
                  <c:v>1.1174598499999999E-6</c:v>
                </c:pt>
                <c:pt idx="43">
                  <c:v>1.11581245E-6</c:v>
                </c:pt>
                <c:pt idx="44">
                  <c:v>1.114205E-6</c:v>
                </c:pt>
                <c:pt idx="45">
                  <c:v>1.1141494500000001E-6</c:v>
                </c:pt>
                <c:pt idx="46">
                  <c:v>1.1141035500000002E-6</c:v>
                </c:pt>
                <c:pt idx="47">
                  <c:v>1.1135061000000003E-6</c:v>
                </c:pt>
                <c:pt idx="48">
                  <c:v>1.1126004500000003E-6</c:v>
                </c:pt>
                <c:pt idx="49">
                  <c:v>1.1112386000000003E-6</c:v>
                </c:pt>
                <c:pt idx="50">
                  <c:v>1.1104445500000002E-6</c:v>
                </c:pt>
                <c:pt idx="51">
                  <c:v>1.1094174500000001E-6</c:v>
                </c:pt>
                <c:pt idx="52">
                  <c:v>1.10969785E-6</c:v>
                </c:pt>
                <c:pt idx="53">
                  <c:v>1.1092910500000001E-6</c:v>
                </c:pt>
                <c:pt idx="54">
                  <c:v>1.1079614000000002E-6</c:v>
                </c:pt>
                <c:pt idx="55">
                  <c:v>1.1068115499999999E-6</c:v>
                </c:pt>
                <c:pt idx="56">
                  <c:v>1.1046927999999997E-6</c:v>
                </c:pt>
                <c:pt idx="57">
                  <c:v>1.1037132499999997E-6</c:v>
                </c:pt>
                <c:pt idx="58">
                  <c:v>1.1039516499999997E-6</c:v>
                </c:pt>
                <c:pt idx="59">
                  <c:v>1.1041857499999999E-6</c:v>
                </c:pt>
                <c:pt idx="60">
                  <c:v>1.1036849499999997E-6</c:v>
                </c:pt>
                <c:pt idx="61">
                  <c:v>1.1020666999999999E-6</c:v>
                </c:pt>
                <c:pt idx="62">
                  <c:v>1.1005507999999999E-6</c:v>
                </c:pt>
                <c:pt idx="63">
                  <c:v>1.0997090499999998E-6</c:v>
                </c:pt>
                <c:pt idx="64">
                  <c:v>1.1000134500000001E-6</c:v>
                </c:pt>
                <c:pt idx="65">
                  <c:v>1.0989705499999999E-6</c:v>
                </c:pt>
                <c:pt idx="66">
                  <c:v>1.0981172500000002E-6</c:v>
                </c:pt>
                <c:pt idx="67">
                  <c:v>1.0969220499999998E-6</c:v>
                </c:pt>
                <c:pt idx="68">
                  <c:v>1.0964633499999998E-6</c:v>
                </c:pt>
                <c:pt idx="69">
                  <c:v>1.0963483000000001E-6</c:v>
                </c:pt>
                <c:pt idx="70">
                  <c:v>1.0951127000000002E-6</c:v>
                </c:pt>
                <c:pt idx="71">
                  <c:v>1.0948913500000001E-6</c:v>
                </c:pt>
                <c:pt idx="72">
                  <c:v>1.09430085E-6</c:v>
                </c:pt>
                <c:pt idx="73">
                  <c:v>1.0937304999999999E-6</c:v>
                </c:pt>
                <c:pt idx="74">
                  <c:v>1.0933808999999999E-6</c:v>
                </c:pt>
                <c:pt idx="75">
                  <c:v>1.0929940500000002E-6</c:v>
                </c:pt>
                <c:pt idx="76">
                  <c:v>1.0933416500000001E-6</c:v>
                </c:pt>
                <c:pt idx="77">
                  <c:v>1.0936723000000003E-6</c:v>
                </c:pt>
                <c:pt idx="78">
                  <c:v>1.0927195000000002E-6</c:v>
                </c:pt>
                <c:pt idx="79">
                  <c:v>1.0917446000000003E-6</c:v>
                </c:pt>
                <c:pt idx="80">
                  <c:v>1.0912499500000002E-6</c:v>
                </c:pt>
                <c:pt idx="81">
                  <c:v>1.0913361000000003E-6</c:v>
                </c:pt>
                <c:pt idx="82">
                  <c:v>1.0919632000000002E-6</c:v>
                </c:pt>
                <c:pt idx="83">
                  <c:v>1.0916516000000003E-6</c:v>
                </c:pt>
                <c:pt idx="84">
                  <c:v>1.0904394E-6</c:v>
                </c:pt>
                <c:pt idx="85">
                  <c:v>1.0895365999999999E-6</c:v>
                </c:pt>
                <c:pt idx="86">
                  <c:v>1.0889470499999999E-6</c:v>
                </c:pt>
                <c:pt idx="87">
                  <c:v>1.0897118499999999E-6</c:v>
                </c:pt>
                <c:pt idx="88">
                  <c:v>1.089787E-6</c:v>
                </c:pt>
                <c:pt idx="89">
                  <c:v>1.0892546999999999E-6</c:v>
                </c:pt>
                <c:pt idx="90">
                  <c:v>1.0888643E-6</c:v>
                </c:pt>
                <c:pt idx="91">
                  <c:v>1.0880379000000001E-6</c:v>
                </c:pt>
                <c:pt idx="92">
                  <c:v>1.0876265E-6</c:v>
                </c:pt>
                <c:pt idx="93">
                  <c:v>1.0873864000000002E-6</c:v>
                </c:pt>
                <c:pt idx="94">
                  <c:v>1.0877047500000001E-6</c:v>
                </c:pt>
                <c:pt idx="95">
                  <c:v>1.0874377000000001E-6</c:v>
                </c:pt>
                <c:pt idx="96">
                  <c:v>1.0861043999999999E-6</c:v>
                </c:pt>
                <c:pt idx="97">
                  <c:v>1.0847884E-6</c:v>
                </c:pt>
                <c:pt idx="98">
                  <c:v>1.0853064500000001E-6</c:v>
                </c:pt>
                <c:pt idx="99">
                  <c:v>1.0853743E-6</c:v>
                </c:pt>
                <c:pt idx="100">
                  <c:v>1.0850130999999999E-6</c:v>
                </c:pt>
                <c:pt idx="101">
                  <c:v>1.0839731999999999E-6</c:v>
                </c:pt>
                <c:pt idx="102">
                  <c:v>1.0837685999999999E-6</c:v>
                </c:pt>
                <c:pt idx="103">
                  <c:v>1.0835192999999998E-6</c:v>
                </c:pt>
                <c:pt idx="104">
                  <c:v>1.0833456499999996E-6</c:v>
                </c:pt>
                <c:pt idx="105">
                  <c:v>1.0831388999999999E-6</c:v>
                </c:pt>
                <c:pt idx="106">
                  <c:v>1.0822926499999998E-6</c:v>
                </c:pt>
                <c:pt idx="107">
                  <c:v>1.0814449E-6</c:v>
                </c:pt>
                <c:pt idx="108">
                  <c:v>1.0810884499999999E-6</c:v>
                </c:pt>
                <c:pt idx="109">
                  <c:v>1.0809711000000001E-6</c:v>
                </c:pt>
                <c:pt idx="110">
                  <c:v>1.0814873500000002E-6</c:v>
                </c:pt>
                <c:pt idx="111">
                  <c:v>1.0813500500000002E-6</c:v>
                </c:pt>
                <c:pt idx="112">
                  <c:v>1.0807249E-6</c:v>
                </c:pt>
                <c:pt idx="113">
                  <c:v>1.0807081999999998E-6</c:v>
                </c:pt>
                <c:pt idx="114">
                  <c:v>1.0807067E-6</c:v>
                </c:pt>
                <c:pt idx="115">
                  <c:v>1.0806010999999998E-6</c:v>
                </c:pt>
                <c:pt idx="116">
                  <c:v>1.08080295E-6</c:v>
                </c:pt>
                <c:pt idx="117">
                  <c:v>1.0812408999999998E-6</c:v>
                </c:pt>
                <c:pt idx="118">
                  <c:v>1.0810512500000001E-6</c:v>
                </c:pt>
                <c:pt idx="119">
                  <c:v>1.0812084500000003E-6</c:v>
                </c:pt>
                <c:pt idx="120">
                  <c:v>1.0809185500000001E-6</c:v>
                </c:pt>
                <c:pt idx="121">
                  <c:v>1.0807329500000002E-6</c:v>
                </c:pt>
                <c:pt idx="122">
                  <c:v>1.0799935500000001E-6</c:v>
                </c:pt>
                <c:pt idx="123">
                  <c:v>1.07985155E-6</c:v>
                </c:pt>
                <c:pt idx="124">
                  <c:v>1.0799188E-6</c:v>
                </c:pt>
                <c:pt idx="125">
                  <c:v>1.0804176000000002E-6</c:v>
                </c:pt>
                <c:pt idx="126">
                  <c:v>1.0802720500000001E-6</c:v>
                </c:pt>
                <c:pt idx="127">
                  <c:v>1.0798968500000002E-6</c:v>
                </c:pt>
                <c:pt idx="128">
                  <c:v>1.07948705E-6</c:v>
                </c:pt>
                <c:pt idx="129">
                  <c:v>1.0796200000000001E-6</c:v>
                </c:pt>
                <c:pt idx="130">
                  <c:v>1.0791536999999999E-6</c:v>
                </c:pt>
                <c:pt idx="131">
                  <c:v>1.0793322000000001E-6</c:v>
                </c:pt>
                <c:pt idx="132">
                  <c:v>1.0801002500000001E-6</c:v>
                </c:pt>
                <c:pt idx="133">
                  <c:v>1.0799529000000001E-6</c:v>
                </c:pt>
                <c:pt idx="134">
                  <c:v>1.0789625499999998E-6</c:v>
                </c:pt>
                <c:pt idx="135">
                  <c:v>1.0789899500000001E-6</c:v>
                </c:pt>
                <c:pt idx="136">
                  <c:v>1.0794285E-6</c:v>
                </c:pt>
                <c:pt idx="137">
                  <c:v>1.0791591000000003E-6</c:v>
                </c:pt>
                <c:pt idx="138">
                  <c:v>1.0785791999999999E-6</c:v>
                </c:pt>
                <c:pt idx="139">
                  <c:v>1.0782389999999999E-6</c:v>
                </c:pt>
                <c:pt idx="140">
                  <c:v>1.0782684000000001E-6</c:v>
                </c:pt>
                <c:pt idx="141">
                  <c:v>1.0787264000000002E-6</c:v>
                </c:pt>
                <c:pt idx="142">
                  <c:v>1.0790802500000001E-6</c:v>
                </c:pt>
                <c:pt idx="143">
                  <c:v>1.0787783E-6</c:v>
                </c:pt>
                <c:pt idx="144">
                  <c:v>1.0781749999999998E-6</c:v>
                </c:pt>
                <c:pt idx="145">
                  <c:v>1.0775045499999998E-6</c:v>
                </c:pt>
                <c:pt idx="146">
                  <c:v>1.0782643500000002E-6</c:v>
                </c:pt>
                <c:pt idx="147">
                  <c:v>1.0785637E-6</c:v>
                </c:pt>
                <c:pt idx="148">
                  <c:v>1.0784994000000001E-6</c:v>
                </c:pt>
                <c:pt idx="149">
                  <c:v>1.0778949499999998E-6</c:v>
                </c:pt>
                <c:pt idx="150">
                  <c:v>1.0774849500000001E-6</c:v>
                </c:pt>
                <c:pt idx="151">
                  <c:v>1.07770055E-6</c:v>
                </c:pt>
                <c:pt idx="152">
                  <c:v>1.07743455E-6</c:v>
                </c:pt>
                <c:pt idx="153">
                  <c:v>1.0773106999999999E-6</c:v>
                </c:pt>
                <c:pt idx="154">
                  <c:v>1.0783055E-6</c:v>
                </c:pt>
                <c:pt idx="155">
                  <c:v>1.0783372999999999E-6</c:v>
                </c:pt>
                <c:pt idx="156">
                  <c:v>1.0783684499999998E-6</c:v>
                </c:pt>
                <c:pt idx="157">
                  <c:v>1.0789225E-6</c:v>
                </c:pt>
                <c:pt idx="158">
                  <c:v>1.0790709499999998E-6</c:v>
                </c:pt>
                <c:pt idx="159">
                  <c:v>1.0791990999999999E-6</c:v>
                </c:pt>
                <c:pt idx="160">
                  <c:v>1.0800976E-6</c:v>
                </c:pt>
                <c:pt idx="161">
                  <c:v>1.0800771999999999E-6</c:v>
                </c:pt>
                <c:pt idx="162">
                  <c:v>1.07948605E-6</c:v>
                </c:pt>
                <c:pt idx="163">
                  <c:v>1.0797142500000002E-6</c:v>
                </c:pt>
                <c:pt idx="164">
                  <c:v>1.0801402000000002E-6</c:v>
                </c:pt>
                <c:pt idx="165">
                  <c:v>1.0807337999999999E-6</c:v>
                </c:pt>
                <c:pt idx="166">
                  <c:v>1.0807779499999999E-6</c:v>
                </c:pt>
                <c:pt idx="167">
                  <c:v>1.0804082499999999E-6</c:v>
                </c:pt>
                <c:pt idx="168">
                  <c:v>1.0796354999999998E-6</c:v>
                </c:pt>
                <c:pt idx="169">
                  <c:v>1.0795921999999999E-6</c:v>
                </c:pt>
                <c:pt idx="170">
                  <c:v>1.0811936E-6</c:v>
                </c:pt>
                <c:pt idx="171">
                  <c:v>1.0811846500000001E-6</c:v>
                </c:pt>
                <c:pt idx="172">
                  <c:v>1.0810559500000002E-6</c:v>
                </c:pt>
                <c:pt idx="173">
                  <c:v>1.0803219000000001E-6</c:v>
                </c:pt>
                <c:pt idx="174">
                  <c:v>1.0799611500000001E-6</c:v>
                </c:pt>
                <c:pt idx="175">
                  <c:v>1.0804066000000001E-6</c:v>
                </c:pt>
                <c:pt idx="176">
                  <c:v>1.0806201499999999E-6</c:v>
                </c:pt>
                <c:pt idx="177">
                  <c:v>1.0801053999999997E-6</c:v>
                </c:pt>
                <c:pt idx="178">
                  <c:v>1.0800138499999999E-6</c:v>
                </c:pt>
                <c:pt idx="179">
                  <c:v>1.0792236E-6</c:v>
                </c:pt>
                <c:pt idx="180">
                  <c:v>1.0785372000000002E-6</c:v>
                </c:pt>
                <c:pt idx="181">
                  <c:v>1.0788815000000002E-6</c:v>
                </c:pt>
                <c:pt idx="182">
                  <c:v>1.0800125000000003E-6</c:v>
                </c:pt>
                <c:pt idx="183">
                  <c:v>1.0802927000000003E-6</c:v>
                </c:pt>
                <c:pt idx="184">
                  <c:v>1.0802733000000002E-6</c:v>
                </c:pt>
                <c:pt idx="185">
                  <c:v>1.0794031500000002E-6</c:v>
                </c:pt>
                <c:pt idx="186">
                  <c:v>1.07886125E-6</c:v>
                </c:pt>
                <c:pt idx="187">
                  <c:v>1.0799725E-6</c:v>
                </c:pt>
                <c:pt idx="188">
                  <c:v>1.0808965499999999E-6</c:v>
                </c:pt>
                <c:pt idx="189">
                  <c:v>1.0810350499999998E-6</c:v>
                </c:pt>
                <c:pt idx="190">
                  <c:v>1.0793732E-6</c:v>
                </c:pt>
                <c:pt idx="191">
                  <c:v>1.0786700499999999E-6</c:v>
                </c:pt>
                <c:pt idx="192">
                  <c:v>1.0783233000000001E-6</c:v>
                </c:pt>
                <c:pt idx="193">
                  <c:v>1.0790019000000003E-6</c:v>
                </c:pt>
                <c:pt idx="194">
                  <c:v>1.0795129500000004E-6</c:v>
                </c:pt>
                <c:pt idx="195">
                  <c:v>1.0797685500000003E-6</c:v>
                </c:pt>
                <c:pt idx="196">
                  <c:v>1.0797448500000003E-6</c:v>
                </c:pt>
                <c:pt idx="197">
                  <c:v>1.0790075000000003E-6</c:v>
                </c:pt>
                <c:pt idx="198">
                  <c:v>1.0784746500000003E-6</c:v>
                </c:pt>
                <c:pt idx="199">
                  <c:v>1.0788447500000001E-6</c:v>
                </c:pt>
                <c:pt idx="200">
                  <c:v>1.0795082000000001E-6</c:v>
                </c:pt>
                <c:pt idx="201">
                  <c:v>1.0792757999999999E-6</c:v>
                </c:pt>
                <c:pt idx="202">
                  <c:v>1.0783768499999998E-6</c:v>
                </c:pt>
                <c:pt idx="203">
                  <c:v>1.0779836499999999E-6</c:v>
                </c:pt>
                <c:pt idx="204">
                  <c:v>1.0781878499999999E-6</c:v>
                </c:pt>
                <c:pt idx="205">
                  <c:v>1.0792991499999997E-6</c:v>
                </c:pt>
                <c:pt idx="206">
                  <c:v>1.0802644999999996E-6</c:v>
                </c:pt>
                <c:pt idx="207">
                  <c:v>1.0795614499999999E-6</c:v>
                </c:pt>
                <c:pt idx="208">
                  <c:v>1.07900795E-6</c:v>
                </c:pt>
                <c:pt idx="209">
                  <c:v>1.0790081500000001E-6</c:v>
                </c:pt>
                <c:pt idx="210">
                  <c:v>1.0803639999999999E-6</c:v>
                </c:pt>
                <c:pt idx="211">
                  <c:v>1.0810338499999999E-6</c:v>
                </c:pt>
                <c:pt idx="212">
                  <c:v>1.0811565999999998E-6</c:v>
                </c:pt>
                <c:pt idx="213">
                  <c:v>1.0804394000000001E-6</c:v>
                </c:pt>
                <c:pt idx="214">
                  <c:v>1.0797116499999999E-6</c:v>
                </c:pt>
                <c:pt idx="215">
                  <c:v>1.0788005999999998E-6</c:v>
                </c:pt>
                <c:pt idx="216">
                  <c:v>1.0785404500000001E-6</c:v>
                </c:pt>
                <c:pt idx="217">
                  <c:v>1.0791033000000001E-6</c:v>
                </c:pt>
                <c:pt idx="218">
                  <c:v>1.0791756E-6</c:v>
                </c:pt>
                <c:pt idx="219">
                  <c:v>1.0790334500000002E-6</c:v>
                </c:pt>
                <c:pt idx="220">
                  <c:v>1.0782411000000001E-6</c:v>
                </c:pt>
                <c:pt idx="221">
                  <c:v>1.07859355E-6</c:v>
                </c:pt>
                <c:pt idx="222">
                  <c:v>1.0789670000000001E-6</c:v>
                </c:pt>
                <c:pt idx="223">
                  <c:v>1.0789848999999996E-6</c:v>
                </c:pt>
                <c:pt idx="224">
                  <c:v>1.0785809999999998E-6</c:v>
                </c:pt>
                <c:pt idx="225">
                  <c:v>1.0773262499999998E-6</c:v>
                </c:pt>
                <c:pt idx="226">
                  <c:v>1.0764025499999999E-6</c:v>
                </c:pt>
                <c:pt idx="227">
                  <c:v>1.07547855E-6</c:v>
                </c:pt>
                <c:pt idx="228">
                  <c:v>1.0755598500000002E-6</c:v>
                </c:pt>
                <c:pt idx="229">
                  <c:v>1.0758393500000002E-6</c:v>
                </c:pt>
                <c:pt idx="230">
                  <c:v>1.0749491499999999E-6</c:v>
                </c:pt>
                <c:pt idx="231">
                  <c:v>1.0746170499999999E-6</c:v>
                </c:pt>
                <c:pt idx="232">
                  <c:v>1.0740981000000001E-6</c:v>
                </c:pt>
                <c:pt idx="233">
                  <c:v>1.0742342999999999E-6</c:v>
                </c:pt>
                <c:pt idx="234">
                  <c:v>1.0742965E-6</c:v>
                </c:pt>
                <c:pt idx="235">
                  <c:v>1.07484505E-6</c:v>
                </c:pt>
                <c:pt idx="236">
                  <c:v>1.0748051000000001E-6</c:v>
                </c:pt>
                <c:pt idx="237">
                  <c:v>1.0749459000000001E-6</c:v>
                </c:pt>
                <c:pt idx="238">
                  <c:v>1.0746847E-6</c:v>
                </c:pt>
                <c:pt idx="239">
                  <c:v>1.0743679000000001E-6</c:v>
                </c:pt>
                <c:pt idx="240">
                  <c:v>1.0741746000000002E-6</c:v>
                </c:pt>
                <c:pt idx="241">
                  <c:v>1.0738058000000001E-6</c:v>
                </c:pt>
                <c:pt idx="242">
                  <c:v>1.0738610999999999E-6</c:v>
                </c:pt>
                <c:pt idx="243">
                  <c:v>1.07459135E-6</c:v>
                </c:pt>
                <c:pt idx="244">
                  <c:v>1.0747587499999999E-6</c:v>
                </c:pt>
                <c:pt idx="245">
                  <c:v>1.0751043499999998E-6</c:v>
                </c:pt>
                <c:pt idx="246">
                  <c:v>1.0754976000000001E-6</c:v>
                </c:pt>
                <c:pt idx="247">
                  <c:v>1.0762866499999998E-6</c:v>
                </c:pt>
                <c:pt idx="248">
                  <c:v>1.0772747999999999E-6</c:v>
                </c:pt>
                <c:pt idx="249">
                  <c:v>1.0775737499999999E-6</c:v>
                </c:pt>
                <c:pt idx="250">
                  <c:v>1.0780047499999998E-6</c:v>
                </c:pt>
                <c:pt idx="251">
                  <c:v>1.0781326999999999E-6</c:v>
                </c:pt>
                <c:pt idx="252">
                  <c:v>1.0787402000000001E-6</c:v>
                </c:pt>
                <c:pt idx="253">
                  <c:v>1.0786070500000001E-6</c:v>
                </c:pt>
                <c:pt idx="254">
                  <c:v>1.0792059E-6</c:v>
                </c:pt>
                <c:pt idx="255">
                  <c:v>1.0792261E-6</c:v>
                </c:pt>
                <c:pt idx="256">
                  <c:v>1.0798484E-6</c:v>
                </c:pt>
                <c:pt idx="257">
                  <c:v>1.0800268000000001E-6</c:v>
                </c:pt>
                <c:pt idx="258">
                  <c:v>1.08066255E-6</c:v>
                </c:pt>
                <c:pt idx="259">
                  <c:v>1.0812957E-6</c:v>
                </c:pt>
                <c:pt idx="260">
                  <c:v>1.0813138000000002E-6</c:v>
                </c:pt>
                <c:pt idx="261">
                  <c:v>1.0811709000000002E-6</c:v>
                </c:pt>
                <c:pt idx="262">
                  <c:v>1.0811373000000003E-6</c:v>
                </c:pt>
                <c:pt idx="263">
                  <c:v>1.0804312500000001E-6</c:v>
                </c:pt>
                <c:pt idx="264">
                  <c:v>1.0801525999999998E-6</c:v>
                </c:pt>
                <c:pt idx="265">
                  <c:v>1.0803387E-6</c:v>
                </c:pt>
                <c:pt idx="266">
                  <c:v>1.0806755999999999E-6</c:v>
                </c:pt>
                <c:pt idx="267">
                  <c:v>1.0813428499999999E-6</c:v>
                </c:pt>
                <c:pt idx="268">
                  <c:v>1.0808971499999997E-6</c:v>
                </c:pt>
                <c:pt idx="269">
                  <c:v>1.0805809499999996E-6</c:v>
                </c:pt>
                <c:pt idx="270">
                  <c:v>1.0803121499999997E-6</c:v>
                </c:pt>
                <c:pt idx="271">
                  <c:v>1.0802624499999998E-6</c:v>
                </c:pt>
                <c:pt idx="272">
                  <c:v>1.0801843000000001E-6</c:v>
                </c:pt>
                <c:pt idx="273">
                  <c:v>1.0815879499999999E-6</c:v>
                </c:pt>
                <c:pt idx="274">
                  <c:v>1.081649E-6</c:v>
                </c:pt>
                <c:pt idx="275">
                  <c:v>1.0814875500000001E-6</c:v>
                </c:pt>
                <c:pt idx="276">
                  <c:v>1.0810933000000002E-6</c:v>
                </c:pt>
                <c:pt idx="277">
                  <c:v>1.0802757E-6</c:v>
                </c:pt>
                <c:pt idx="278">
                  <c:v>1.0796031E-6</c:v>
                </c:pt>
                <c:pt idx="279">
                  <c:v>1.0794542000000001E-6</c:v>
                </c:pt>
                <c:pt idx="280">
                  <c:v>1.0800381499999999E-6</c:v>
                </c:pt>
                <c:pt idx="281">
                  <c:v>1.0804292500000001E-6</c:v>
                </c:pt>
                <c:pt idx="282">
                  <c:v>1.0803810499999999E-6</c:v>
                </c:pt>
                <c:pt idx="283">
                  <c:v>1.0800928499999999E-6</c:v>
                </c:pt>
                <c:pt idx="284">
                  <c:v>1.0802977E-6</c:v>
                </c:pt>
                <c:pt idx="285">
                  <c:v>1.0812408000000001E-6</c:v>
                </c:pt>
                <c:pt idx="286">
                  <c:v>1.0813241500000001E-6</c:v>
                </c:pt>
                <c:pt idx="287">
                  <c:v>1.0810553500000001E-6</c:v>
                </c:pt>
                <c:pt idx="288">
                  <c:v>1.0808475000000002E-6</c:v>
                </c:pt>
                <c:pt idx="289">
                  <c:v>1.0805444500000002E-6</c:v>
                </c:pt>
                <c:pt idx="290">
                  <c:v>1.0808795500000002E-6</c:v>
                </c:pt>
                <c:pt idx="291">
                  <c:v>1.0815679999999999E-6</c:v>
                </c:pt>
                <c:pt idx="292">
                  <c:v>1.08221955E-6</c:v>
                </c:pt>
                <c:pt idx="293">
                  <c:v>1.0820376999999999E-6</c:v>
                </c:pt>
                <c:pt idx="294">
                  <c:v>1.0821173500000002E-6</c:v>
                </c:pt>
                <c:pt idx="295">
                  <c:v>1.0817682000000002E-6</c:v>
                </c:pt>
                <c:pt idx="296">
                  <c:v>1.0817806000000001E-6</c:v>
                </c:pt>
                <c:pt idx="297">
                  <c:v>1.0827924999999999E-6</c:v>
                </c:pt>
                <c:pt idx="298">
                  <c:v>1.08391725E-6</c:v>
                </c:pt>
                <c:pt idx="299">
                  <c:v>1.08390505E-6</c:v>
                </c:pt>
                <c:pt idx="300">
                  <c:v>1.08397685E-6</c:v>
                </c:pt>
                <c:pt idx="301">
                  <c:v>1.0844165000000001E-6</c:v>
                </c:pt>
                <c:pt idx="302">
                  <c:v>1.0854167000000002E-6</c:v>
                </c:pt>
                <c:pt idx="303">
                  <c:v>1.0864571000000001E-6</c:v>
                </c:pt>
                <c:pt idx="304">
                  <c:v>1.0867867500000003E-6</c:v>
                </c:pt>
                <c:pt idx="305">
                  <c:v>1.08633505E-6</c:v>
                </c:pt>
                <c:pt idx="306">
                  <c:v>1.0872340500000002E-6</c:v>
                </c:pt>
                <c:pt idx="307">
                  <c:v>1.0876964499999998E-6</c:v>
                </c:pt>
                <c:pt idx="308">
                  <c:v>1.0882075500000001E-6</c:v>
                </c:pt>
                <c:pt idx="309">
                  <c:v>1.0887797499999999E-6</c:v>
                </c:pt>
                <c:pt idx="310">
                  <c:v>1.0889183999999999E-6</c:v>
                </c:pt>
                <c:pt idx="311">
                  <c:v>1.0887107500000001E-6</c:v>
                </c:pt>
                <c:pt idx="312">
                  <c:v>1.0885915999999999E-6</c:v>
                </c:pt>
                <c:pt idx="313">
                  <c:v>1.0885943000000001E-6</c:v>
                </c:pt>
                <c:pt idx="314">
                  <c:v>1.08874955E-6</c:v>
                </c:pt>
                <c:pt idx="315">
                  <c:v>1.0892446499999999E-6</c:v>
                </c:pt>
                <c:pt idx="316">
                  <c:v>1.0892235999999999E-6</c:v>
                </c:pt>
                <c:pt idx="317">
                  <c:v>1.0890389999999997E-6</c:v>
                </c:pt>
                <c:pt idx="318">
                  <c:v>1.0892017499999999E-6</c:v>
                </c:pt>
                <c:pt idx="319">
                  <c:v>1.0904559999999998E-6</c:v>
                </c:pt>
                <c:pt idx="320">
                  <c:v>1.0905965E-6</c:v>
                </c:pt>
                <c:pt idx="321">
                  <c:v>1.0893982499999999E-6</c:v>
                </c:pt>
                <c:pt idx="322">
                  <c:v>1.0885859999999999E-6</c:v>
                </c:pt>
                <c:pt idx="323">
                  <c:v>1.0882557000000001E-6</c:v>
                </c:pt>
                <c:pt idx="324">
                  <c:v>1.08877565E-6</c:v>
                </c:pt>
                <c:pt idx="325">
                  <c:v>1.0894812500000001E-6</c:v>
                </c:pt>
                <c:pt idx="326">
                  <c:v>1.08840875E-6</c:v>
                </c:pt>
                <c:pt idx="327">
                  <c:v>1.0876402000000001E-6</c:v>
                </c:pt>
                <c:pt idx="328">
                  <c:v>1.0874197500000002E-6</c:v>
                </c:pt>
                <c:pt idx="329">
                  <c:v>1.0874551000000001E-6</c:v>
                </c:pt>
                <c:pt idx="330">
                  <c:v>1.0878658E-6</c:v>
                </c:pt>
                <c:pt idx="331">
                  <c:v>1.0879901000000001E-6</c:v>
                </c:pt>
                <c:pt idx="332">
                  <c:v>1.0877263499999998E-6</c:v>
                </c:pt>
                <c:pt idx="333">
                  <c:v>1.087434E-6</c:v>
                </c:pt>
                <c:pt idx="334">
                  <c:v>1.0870860000000002E-6</c:v>
                </c:pt>
                <c:pt idx="335">
                  <c:v>1.08742055E-6</c:v>
                </c:pt>
                <c:pt idx="336">
                  <c:v>1.0875541499999999E-6</c:v>
                </c:pt>
                <c:pt idx="337">
                  <c:v>1.0885102000000002E-6</c:v>
                </c:pt>
                <c:pt idx="338">
                  <c:v>1.0885762500000003E-6</c:v>
                </c:pt>
                <c:pt idx="339">
                  <c:v>1.0882374500000001E-6</c:v>
                </c:pt>
                <c:pt idx="340">
                  <c:v>1.0883560000000001E-6</c:v>
                </c:pt>
                <c:pt idx="341">
                  <c:v>1.0891881500000001E-6</c:v>
                </c:pt>
                <c:pt idx="342">
                  <c:v>1.0894833499999999E-6</c:v>
                </c:pt>
                <c:pt idx="343">
                  <c:v>1.0896668499999999E-6</c:v>
                </c:pt>
                <c:pt idx="344">
                  <c:v>1.0891807E-6</c:v>
                </c:pt>
                <c:pt idx="345">
                  <c:v>1.08808325E-6</c:v>
                </c:pt>
                <c:pt idx="346">
                  <c:v>1.0871547000000002E-6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7B-4E9C-88F1-0C9F0CB07CCC}"/>
            </c:ext>
          </c:extLst>
        </c:ser>
        <c:ser>
          <c:idx val="2"/>
          <c:order val="2"/>
          <c:tx>
            <c:strRef>
              <c:f>GRAPH!$T$30</c:f>
              <c:strCache>
                <c:ptCount val="1"/>
                <c:pt idx="0">
                  <c:v>IGS__R140-3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Wafer1!$I$2:$I$316</c:f>
              <c:numCache>
                <c:formatCode>0.00E+00</c:formatCode>
                <c:ptCount val="3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14434.100905562744</c:v>
                </c:pt>
                <c:pt idx="4">
                  <c:v>54265.966364812419</c:v>
                </c:pt>
                <c:pt idx="5">
                  <c:v>89637.329883570506</c:v>
                </c:pt>
                <c:pt idx="6">
                  <c:v>134555.00129366107</c:v>
                </c:pt>
                <c:pt idx="7">
                  <c:v>169957.63001293663</c:v>
                </c:pt>
                <c:pt idx="8">
                  <c:v>204286.82018111256</c:v>
                </c:pt>
                <c:pt idx="9">
                  <c:v>239783.2445019405</c:v>
                </c:pt>
                <c:pt idx="10">
                  <c:v>274268.76067270373</c:v>
                </c:pt>
                <c:pt idx="11">
                  <c:v>310598.9236739974</c:v>
                </c:pt>
                <c:pt idx="12">
                  <c:v>341801.59379042691</c:v>
                </c:pt>
                <c:pt idx="13">
                  <c:v>365573.56791720568</c:v>
                </c:pt>
                <c:pt idx="14">
                  <c:v>401122.10090556275</c:v>
                </c:pt>
                <c:pt idx="15">
                  <c:v>434033.935316947</c:v>
                </c:pt>
                <c:pt idx="16">
                  <c:v>469624.15523932729</c:v>
                </c:pt>
                <c:pt idx="17">
                  <c:v>506152.33117723156</c:v>
                </c:pt>
                <c:pt idx="18">
                  <c:v>536958.97542043985</c:v>
                </c:pt>
                <c:pt idx="19">
                  <c:v>572632.56921086682</c:v>
                </c:pt>
                <c:pt idx="20">
                  <c:v>609066.94954721862</c:v>
                </c:pt>
                <c:pt idx="21">
                  <c:v>644865.60413971543</c:v>
                </c:pt>
                <c:pt idx="22">
                  <c:v>670909.51617076329</c:v>
                </c:pt>
                <c:pt idx="23">
                  <c:v>703175.20310478657</c:v>
                </c:pt>
                <c:pt idx="24">
                  <c:v>736347.58085381635</c:v>
                </c:pt>
                <c:pt idx="25">
                  <c:v>767623.20310478657</c:v>
                </c:pt>
                <c:pt idx="26">
                  <c:v>801816.91073738679</c:v>
                </c:pt>
                <c:pt idx="27">
                  <c:v>834322.29754204396</c:v>
                </c:pt>
                <c:pt idx="28">
                  <c:v>863972.12936610612</c:v>
                </c:pt>
                <c:pt idx="29">
                  <c:v>897863.60672703758</c:v>
                </c:pt>
                <c:pt idx="30">
                  <c:v>930504.47606727039</c:v>
                </c:pt>
                <c:pt idx="31">
                  <c:v>955641.69728331175</c:v>
                </c:pt>
                <c:pt idx="32">
                  <c:v>990022.9961190169</c:v>
                </c:pt>
                <c:pt idx="33">
                  <c:v>1025894.6028460544</c:v>
                </c:pt>
                <c:pt idx="34">
                  <c:v>1057931.0116429497</c:v>
                </c:pt>
                <c:pt idx="35">
                  <c:v>1090967.9068564037</c:v>
                </c:pt>
                <c:pt idx="36">
                  <c:v>1107111.1720569211</c:v>
                </c:pt>
                <c:pt idx="37">
                  <c:v>1133853.3402328591</c:v>
                </c:pt>
                <c:pt idx="38">
                  <c:v>1167056.9831824063</c:v>
                </c:pt>
                <c:pt idx="39">
                  <c:v>1200135.5653298837</c:v>
                </c:pt>
                <c:pt idx="40">
                  <c:v>1230775.4618369988</c:v>
                </c:pt>
                <c:pt idx="41">
                  <c:v>1258611.912031048</c:v>
                </c:pt>
                <c:pt idx="42">
                  <c:v>1292023.9896507117</c:v>
                </c:pt>
                <c:pt idx="43">
                  <c:v>1326895.1099611903</c:v>
                </c:pt>
                <c:pt idx="44">
                  <c:v>1362297.7386804658</c:v>
                </c:pt>
                <c:pt idx="45">
                  <c:v>1391363.9534282018</c:v>
                </c:pt>
                <c:pt idx="46">
                  <c:v>1423264.8796895214</c:v>
                </c:pt>
                <c:pt idx="47">
                  <c:v>1456822.8615782666</c:v>
                </c:pt>
                <c:pt idx="48">
                  <c:v>1491756.5122897802</c:v>
                </c:pt>
                <c:pt idx="49">
                  <c:v>1528138.7839586029</c:v>
                </c:pt>
                <c:pt idx="50">
                  <c:v>1552952.9314359638</c:v>
                </c:pt>
                <c:pt idx="51">
                  <c:v>1586271.2134540752</c:v>
                </c:pt>
                <c:pt idx="52">
                  <c:v>1619714.5562742562</c:v>
                </c:pt>
                <c:pt idx="53">
                  <c:v>1645570.8771021992</c:v>
                </c:pt>
                <c:pt idx="54">
                  <c:v>1679827.1151358346</c:v>
                </c:pt>
                <c:pt idx="55">
                  <c:v>1714531.48771022</c:v>
                </c:pt>
                <c:pt idx="56">
                  <c:v>1751361.893919793</c:v>
                </c:pt>
                <c:pt idx="57">
                  <c:v>1786743.679172057</c:v>
                </c:pt>
                <c:pt idx="58">
                  <c:v>1817623.275549806</c:v>
                </c:pt>
                <c:pt idx="59">
                  <c:v>1849690.9495472186</c:v>
                </c:pt>
                <c:pt idx="60">
                  <c:v>1883040.4967658473</c:v>
                </c:pt>
                <c:pt idx="61">
                  <c:v>1918140.895213454</c:v>
                </c:pt>
                <c:pt idx="62">
                  <c:v>1953668.5847347996</c:v>
                </c:pt>
                <c:pt idx="63">
                  <c:v>1989165.0090556275</c:v>
                </c:pt>
                <c:pt idx="64">
                  <c:v>2025078.3027166883</c:v>
                </c:pt>
                <c:pt idx="65">
                  <c:v>2057719.1720569211</c:v>
                </c:pt>
                <c:pt idx="66">
                  <c:v>2093257.2833117724</c:v>
                </c:pt>
                <c:pt idx="67">
                  <c:v>2117664.9831824061</c:v>
                </c:pt>
                <c:pt idx="68">
                  <c:v>2150055.7309184996</c:v>
                </c:pt>
                <c:pt idx="69">
                  <c:v>2181091.6532988357</c:v>
                </c:pt>
                <c:pt idx="70">
                  <c:v>2210637.2677878398</c:v>
                </c:pt>
                <c:pt idx="71">
                  <c:v>2245268.6882276842</c:v>
                </c:pt>
                <c:pt idx="72">
                  <c:v>2279462.3958602846</c:v>
                </c:pt>
                <c:pt idx="73">
                  <c:v>2313551.8861578265</c:v>
                </c:pt>
                <c:pt idx="74">
                  <c:v>2349256.745148771</c:v>
                </c:pt>
                <c:pt idx="75">
                  <c:v>2374446.0750323418</c:v>
                </c:pt>
                <c:pt idx="76">
                  <c:v>2405523.684346701</c:v>
                </c:pt>
                <c:pt idx="77">
                  <c:v>2435559.1203104788</c:v>
                </c:pt>
                <c:pt idx="78">
                  <c:v>2469784.0931435963</c:v>
                </c:pt>
                <c:pt idx="79">
                  <c:v>2504280.0310478657</c:v>
                </c:pt>
                <c:pt idx="80">
                  <c:v>2536003.7878395859</c:v>
                </c:pt>
                <c:pt idx="81">
                  <c:v>2562339.508408797</c:v>
                </c:pt>
                <c:pt idx="82">
                  <c:v>2594000.7347994824</c:v>
                </c:pt>
                <c:pt idx="83">
                  <c:v>2628038.1164294956</c:v>
                </c:pt>
                <c:pt idx="84">
                  <c:v>2662784.1759379045</c:v>
                </c:pt>
                <c:pt idx="85">
                  <c:v>2694382.8719275552</c:v>
                </c:pt>
                <c:pt idx="86">
                  <c:v>2724814.3337645535</c:v>
                </c:pt>
                <c:pt idx="87">
                  <c:v>2758414.0025873221</c:v>
                </c:pt>
                <c:pt idx="88">
                  <c:v>2793368.4967658473</c:v>
                </c:pt>
                <c:pt idx="89">
                  <c:v>2820558.7994825356</c:v>
                </c:pt>
                <c:pt idx="90">
                  <c:v>2849489.5316946963</c:v>
                </c:pt>
                <c:pt idx="91">
                  <c:v>2881942.8098318242</c:v>
                </c:pt>
                <c:pt idx="92">
                  <c:v>2915406.9961190168</c:v>
                </c:pt>
                <c:pt idx="93">
                  <c:v>2948172.9262613198</c:v>
                </c:pt>
                <c:pt idx="94">
                  <c:v>2982908.5640362226</c:v>
                </c:pt>
                <c:pt idx="95">
                  <c:v>3012047.7309184996</c:v>
                </c:pt>
                <c:pt idx="96">
                  <c:v>3044761.552393273</c:v>
                </c:pt>
                <c:pt idx="97">
                  <c:v>3077642.1216041399</c:v>
                </c:pt>
                <c:pt idx="98">
                  <c:v>3107521.2315653302</c:v>
                </c:pt>
                <c:pt idx="99">
                  <c:v>3138546.7322121607</c:v>
                </c:pt>
                <c:pt idx="100">
                  <c:v>3164944.9831824065</c:v>
                </c:pt>
                <c:pt idx="101">
                  <c:v>3196189.3402328589</c:v>
                </c:pt>
                <c:pt idx="102">
                  <c:v>3231612.8124191463</c:v>
                </c:pt>
                <c:pt idx="103">
                  <c:v>3267599.0582147478</c:v>
                </c:pt>
                <c:pt idx="104">
                  <c:v>3303220.5433376455</c:v>
                </c:pt>
                <c:pt idx="105">
                  <c:v>3339425.6455368693</c:v>
                </c:pt>
                <c:pt idx="106">
                  <c:v>3369179.6946959896</c:v>
                </c:pt>
                <c:pt idx="107">
                  <c:v>3401997.7335058218</c:v>
                </c:pt>
                <c:pt idx="108">
                  <c:v>3433419.2600258733</c:v>
                </c:pt>
                <c:pt idx="109">
                  <c:v>3460453.236739974</c:v>
                </c:pt>
                <c:pt idx="110">
                  <c:v>3487195.4049159121</c:v>
                </c:pt>
                <c:pt idx="111">
                  <c:v>3517856.1448900388</c:v>
                </c:pt>
                <c:pt idx="112">
                  <c:v>3547526.8201811127</c:v>
                </c:pt>
                <c:pt idx="113">
                  <c:v>3581970.6494178525</c:v>
                </c:pt>
                <c:pt idx="114">
                  <c:v>3616820.9262613198</c:v>
                </c:pt>
                <c:pt idx="115">
                  <c:v>3642385.4385510995</c:v>
                </c:pt>
                <c:pt idx="116">
                  <c:v>3672889.8525226391</c:v>
                </c:pt>
                <c:pt idx="117">
                  <c:v>3701956.0672703753</c:v>
                </c:pt>
                <c:pt idx="118">
                  <c:v>3737577.552393273</c:v>
                </c:pt>
                <c:pt idx="119">
                  <c:v>3770176.7347994829</c:v>
                </c:pt>
                <c:pt idx="120">
                  <c:v>3802786.3389391978</c:v>
                </c:pt>
                <c:pt idx="121">
                  <c:v>3836490.2250970248</c:v>
                </c:pt>
                <c:pt idx="122">
                  <c:v>3867619.9430789133</c:v>
                </c:pt>
                <c:pt idx="123">
                  <c:v>3896779.9534282018</c:v>
                </c:pt>
                <c:pt idx="124">
                  <c:v>3926638.2199223805</c:v>
                </c:pt>
                <c:pt idx="125">
                  <c:v>3949659.8292367402</c:v>
                </c:pt>
                <c:pt idx="126">
                  <c:v>3979059.5394566623</c:v>
                </c:pt>
                <c:pt idx="127">
                  <c:v>4008844.8538163002</c:v>
                </c:pt>
                <c:pt idx="128">
                  <c:v>4039130.4113842174</c:v>
                </c:pt>
                <c:pt idx="129">
                  <c:v>4074001.5316946963</c:v>
                </c:pt>
                <c:pt idx="130">
                  <c:v>4105725.2884864165</c:v>
                </c:pt>
                <c:pt idx="131">
                  <c:v>4140888.2173350584</c:v>
                </c:pt>
                <c:pt idx="132">
                  <c:v>4176009.4592496767</c:v>
                </c:pt>
                <c:pt idx="133">
                  <c:v>4210484.5536869345</c:v>
                </c:pt>
                <c:pt idx="134">
                  <c:v>4244949.2263906859</c:v>
                </c:pt>
                <c:pt idx="135">
                  <c:v>4281123.0633893916</c:v>
                </c:pt>
                <c:pt idx="136">
                  <c:v>4316869.6093143597</c:v>
                </c:pt>
                <c:pt idx="137">
                  <c:v>4354314.8978007762</c:v>
                </c:pt>
                <c:pt idx="138">
                  <c:v>4390926.4476067275</c:v>
                </c:pt>
                <c:pt idx="139">
                  <c:v>4425266.0595084094</c:v>
                </c:pt>
                <c:pt idx="140">
                  <c:v>4453821.6093143597</c:v>
                </c:pt>
                <c:pt idx="141">
                  <c:v>4488630.1992238034</c:v>
                </c:pt>
                <c:pt idx="142">
                  <c:v>4514142.6028460544</c:v>
                </c:pt>
                <c:pt idx="143">
                  <c:v>4542885.7438551104</c:v>
                </c:pt>
                <c:pt idx="144">
                  <c:v>4575266.069857697</c:v>
                </c:pt>
                <c:pt idx="145">
                  <c:v>4605666.2664941782</c:v>
                </c:pt>
                <c:pt idx="146">
                  <c:v>4637806.8926261319</c:v>
                </c:pt>
                <c:pt idx="147">
                  <c:v>4672646.7477360936</c:v>
                </c:pt>
                <c:pt idx="148">
                  <c:v>4700785.4282018114</c:v>
                </c:pt>
                <c:pt idx="149">
                  <c:v>4730122.6080206987</c:v>
                </c:pt>
                <c:pt idx="150">
                  <c:v>4760481.1177231567</c:v>
                </c:pt>
                <c:pt idx="151">
                  <c:v>4790266.4320827946</c:v>
                </c:pt>
                <c:pt idx="152">
                  <c:v>4818811.5601552399</c:v>
                </c:pt>
                <c:pt idx="153">
                  <c:v>4849524.4087968953</c:v>
                </c:pt>
                <c:pt idx="154">
                  <c:v>4881925.578266494</c:v>
                </c:pt>
                <c:pt idx="155">
                  <c:v>4907500.5122897802</c:v>
                </c:pt>
                <c:pt idx="156">
                  <c:v>4937588.0569210872</c:v>
                </c:pt>
                <c:pt idx="157">
                  <c:v>4965153.5420439849</c:v>
                </c:pt>
                <c:pt idx="158">
                  <c:v>4996720.9728331175</c:v>
                </c:pt>
                <c:pt idx="159">
                  <c:v>5031175.2238033637</c:v>
                </c:pt>
                <c:pt idx="160">
                  <c:v>5063680.6106080208</c:v>
                </c:pt>
                <c:pt idx="161">
                  <c:v>5098405.8266494181</c:v>
                </c:pt>
                <c:pt idx="162">
                  <c:v>5131265.5523932735</c:v>
                </c:pt>
                <c:pt idx="163">
                  <c:v>5166240.8900388097</c:v>
                </c:pt>
                <c:pt idx="164">
                  <c:v>5200288.6934023285</c:v>
                </c:pt>
                <c:pt idx="165">
                  <c:v>5235462.0439844765</c:v>
                </c:pt>
                <c:pt idx="166">
                  <c:v>5271792.2069857698</c:v>
                </c:pt>
                <c:pt idx="167">
                  <c:v>5298419.7360931439</c:v>
                </c:pt>
                <c:pt idx="168">
                  <c:v>5324870.0957309185</c:v>
                </c:pt>
                <c:pt idx="169">
                  <c:v>5358438.4993531695</c:v>
                </c:pt>
                <c:pt idx="170">
                  <c:v>5391819.3117723158</c:v>
                </c:pt>
                <c:pt idx="171">
                  <c:v>5425554.4631306604</c:v>
                </c:pt>
                <c:pt idx="172">
                  <c:v>5461874.2043984476</c:v>
                </c:pt>
                <c:pt idx="173">
                  <c:v>5492097.2315653302</c:v>
                </c:pt>
                <c:pt idx="174">
                  <c:v>5521486.5200517466</c:v>
                </c:pt>
                <c:pt idx="175">
                  <c:v>5555888.6623544637</c:v>
                </c:pt>
                <c:pt idx="176">
                  <c:v>5591353.8214747738</c:v>
                </c:pt>
                <c:pt idx="177">
                  <c:v>5626704.3415265204</c:v>
                </c:pt>
                <c:pt idx="178">
                  <c:v>5664066.2561448906</c:v>
                </c:pt>
                <c:pt idx="179">
                  <c:v>5697916.0465717986</c:v>
                </c:pt>
                <c:pt idx="180">
                  <c:v>5730963.3635187587</c:v>
                </c:pt>
                <c:pt idx="181">
                  <c:v>5758924.8745148769</c:v>
                </c:pt>
                <c:pt idx="182">
                  <c:v>5792983.0996119017</c:v>
                </c:pt>
                <c:pt idx="183">
                  <c:v>5818214.1164294956</c:v>
                </c:pt>
                <c:pt idx="184">
                  <c:v>5848958.2302716691</c:v>
                </c:pt>
                <c:pt idx="185">
                  <c:v>5884079.4721862869</c:v>
                </c:pt>
                <c:pt idx="186">
                  <c:v>5917043.4152652007</c:v>
                </c:pt>
                <c:pt idx="187">
                  <c:v>5951508.087968952</c:v>
                </c:pt>
                <c:pt idx="188">
                  <c:v>5987848.6727037514</c:v>
                </c:pt>
                <c:pt idx="189">
                  <c:v>6023001.1798188873</c:v>
                </c:pt>
                <c:pt idx="190">
                  <c:v>6057997.3609314365</c:v>
                </c:pt>
                <c:pt idx="191">
                  <c:v>6090846.6649417859</c:v>
                </c:pt>
                <c:pt idx="192">
                  <c:v>6124863.2031047866</c:v>
                </c:pt>
                <c:pt idx="193">
                  <c:v>6160130.3492884869</c:v>
                </c:pt>
                <c:pt idx="194">
                  <c:v>6189248.6727037514</c:v>
                </c:pt>
                <c:pt idx="195">
                  <c:v>6221545.6248382926</c:v>
                </c:pt>
                <c:pt idx="196">
                  <c:v>6254697.159120311</c:v>
                </c:pt>
                <c:pt idx="197">
                  <c:v>6285389.1642949553</c:v>
                </c:pt>
                <c:pt idx="198">
                  <c:v>6317290.0905562742</c:v>
                </c:pt>
                <c:pt idx="199">
                  <c:v>6351098.1940491591</c:v>
                </c:pt>
                <c:pt idx="200">
                  <c:v>6378319.7619663654</c:v>
                </c:pt>
                <c:pt idx="201">
                  <c:v>6411377.5006468305</c:v>
                </c:pt>
                <c:pt idx="202">
                  <c:v>6442538.4838292366</c:v>
                </c:pt>
                <c:pt idx="203">
                  <c:v>6473136.6934023285</c:v>
                </c:pt>
                <c:pt idx="204">
                  <c:v>6503526.4683053046</c:v>
                </c:pt>
                <c:pt idx="205">
                  <c:v>6531873.5834411383</c:v>
                </c:pt>
                <c:pt idx="206">
                  <c:v>6564285.174644243</c:v>
                </c:pt>
                <c:pt idx="207">
                  <c:v>6598718.5821474772</c:v>
                </c:pt>
                <c:pt idx="208">
                  <c:v>6632995.6636481248</c:v>
                </c:pt>
                <c:pt idx="209">
                  <c:v>6669555.104786546</c:v>
                </c:pt>
                <c:pt idx="210">
                  <c:v>6701518.561448901</c:v>
                </c:pt>
                <c:pt idx="211">
                  <c:v>6732523.2186287194</c:v>
                </c:pt>
                <c:pt idx="212">
                  <c:v>6764392.8796895212</c:v>
                </c:pt>
                <c:pt idx="213">
                  <c:v>6796470.9754204396</c:v>
                </c:pt>
                <c:pt idx="214">
                  <c:v>6828569.9146183701</c:v>
                </c:pt>
                <c:pt idx="215">
                  <c:v>6866473.7593790432</c:v>
                </c:pt>
                <c:pt idx="216">
                  <c:v>6899958.789133247</c:v>
                </c:pt>
                <c:pt idx="217">
                  <c:v>6929900.4294954725</c:v>
                </c:pt>
                <c:pt idx="218">
                  <c:v>6962874.7943078913</c:v>
                </c:pt>
                <c:pt idx="219">
                  <c:v>6998548.3880983181</c:v>
                </c:pt>
                <c:pt idx="220">
                  <c:v>7035410.0595084094</c:v>
                </c:pt>
                <c:pt idx="221">
                  <c:v>7073324.3260025876</c:v>
                </c:pt>
                <c:pt idx="222">
                  <c:v>7109112.5588615788</c:v>
                </c:pt>
                <c:pt idx="223">
                  <c:v>7146849.6558861583</c:v>
                </c:pt>
                <c:pt idx="224">
                  <c:v>7182116.8020698577</c:v>
                </c:pt>
                <c:pt idx="225">
                  <c:v>7220218.6597671416</c:v>
                </c:pt>
                <c:pt idx="226">
                  <c:v>7256840.631306598</c:v>
                </c:pt>
                <c:pt idx="227">
                  <c:v>7289960.9003880983</c:v>
                </c:pt>
                <c:pt idx="228">
                  <c:v>7318162.1112548513</c:v>
                </c:pt>
                <c:pt idx="229">
                  <c:v>7353127.0271668825</c:v>
                </c:pt>
                <c:pt idx="230">
                  <c:v>7396606.4993531695</c:v>
                </c:pt>
                <c:pt idx="231">
                  <c:v>7426996.2742561447</c:v>
                </c:pt>
                <c:pt idx="232">
                  <c:v>7456385.562742562</c:v>
                </c:pt>
                <c:pt idx="233">
                  <c:v>7483367.4307891335</c:v>
                </c:pt>
                <c:pt idx="234">
                  <c:v>7514893.174644243</c:v>
                </c:pt>
                <c:pt idx="235">
                  <c:v>7551713.159120311</c:v>
                </c:pt>
                <c:pt idx="236">
                  <c:v>7578517.8576972838</c:v>
                </c:pt>
                <c:pt idx="237">
                  <c:v>7613545.3040103493</c:v>
                </c:pt>
                <c:pt idx="238">
                  <c:v>7645873.5213454077</c:v>
                </c:pt>
                <c:pt idx="239">
                  <c:v>7678535.2341526523</c:v>
                </c:pt>
                <c:pt idx="240">
                  <c:v>7715407.3272962486</c:v>
                </c:pt>
                <c:pt idx="241">
                  <c:v>7744817.4592496771</c:v>
                </c:pt>
                <c:pt idx="242">
                  <c:v>7780636.9573091855</c:v>
                </c:pt>
                <c:pt idx="243">
                  <c:v>7809901.1849935316</c:v>
                </c:pt>
                <c:pt idx="244">
                  <c:v>7839582.2820181111</c:v>
                </c:pt>
                <c:pt idx="245">
                  <c:v>7871618.6908150064</c:v>
                </c:pt>
                <c:pt idx="246">
                  <c:v>7904269.981888745</c:v>
                </c:pt>
                <c:pt idx="247">
                  <c:v>7936421.0297542047</c:v>
                </c:pt>
                <c:pt idx="248">
                  <c:v>7971177.5109961191</c:v>
                </c:pt>
                <c:pt idx="249">
                  <c:v>8000608.4864165587</c:v>
                </c:pt>
                <c:pt idx="250">
                  <c:v>8034552.0724450201</c:v>
                </c:pt>
                <c:pt idx="251">
                  <c:v>8065577.5730918506</c:v>
                </c:pt>
                <c:pt idx="252">
                  <c:v>8099979.7153945668</c:v>
                </c:pt>
                <c:pt idx="253">
                  <c:v>8129619.1254851231</c:v>
                </c:pt>
                <c:pt idx="254">
                  <c:v>8149806.0232858993</c:v>
                </c:pt>
                <c:pt idx="255">
                  <c:v>8182040.4450194053</c:v>
                </c:pt>
                <c:pt idx="256">
                  <c:v>8213086.789133247</c:v>
                </c:pt>
                <c:pt idx="257">
                  <c:v>8244226.9288486419</c:v>
                </c:pt>
                <c:pt idx="258">
                  <c:v>8277941.2367399745</c:v>
                </c:pt>
                <c:pt idx="259">
                  <c:v>8311374.15782665</c:v>
                </c:pt>
                <c:pt idx="260">
                  <c:v>8345380.2742561456</c:v>
                </c:pt>
                <c:pt idx="261">
                  <c:v>8378427.5912031047</c:v>
                </c:pt>
                <c:pt idx="262">
                  <c:v>8409546.8874514885</c:v>
                </c:pt>
                <c:pt idx="263">
                  <c:v>8442396.1914618369</c:v>
                </c:pt>
                <c:pt idx="264">
                  <c:v>8477840.5071151368</c:v>
                </c:pt>
                <c:pt idx="265">
                  <c:v>8507552.8693402335</c:v>
                </c:pt>
                <c:pt idx="266">
                  <c:v>8539881.0866752919</c:v>
                </c:pt>
                <c:pt idx="267">
                  <c:v>8572459.4256144892</c:v>
                </c:pt>
                <c:pt idx="268">
                  <c:v>8605673.4902975429</c:v>
                </c:pt>
                <c:pt idx="269">
                  <c:v>8640523.7671410087</c:v>
                </c:pt>
                <c:pt idx="270">
                  <c:v>8674644.5226390697</c:v>
                </c:pt>
                <c:pt idx="271">
                  <c:v>8706441.2315653302</c:v>
                </c:pt>
                <c:pt idx="272">
                  <c:v>8740780.843467012</c:v>
                </c:pt>
                <c:pt idx="273">
                  <c:v>8774151.2341526523</c:v>
                </c:pt>
                <c:pt idx="274">
                  <c:v>8807813.4333764557</c:v>
                </c:pt>
                <c:pt idx="275">
                  <c:v>8844226.9702457953</c:v>
                </c:pt>
                <c:pt idx="276">
                  <c:v>8880067.3117723167</c:v>
                </c:pt>
                <c:pt idx="277">
                  <c:v>8915198.9754204396</c:v>
                </c:pt>
                <c:pt idx="278">
                  <c:v>8944181.8163001295</c:v>
                </c:pt>
                <c:pt idx="279">
                  <c:v>8977239.5549805947</c:v>
                </c:pt>
                <c:pt idx="280">
                  <c:v>9012694.2923674006</c:v>
                </c:pt>
                <c:pt idx="281">
                  <c:v>9050264.6416558865</c:v>
                </c:pt>
                <c:pt idx="282">
                  <c:v>9087209.6869340241</c:v>
                </c:pt>
                <c:pt idx="283">
                  <c:v>9121882.7943078913</c:v>
                </c:pt>
                <c:pt idx="284">
                  <c:v>9158369.2833117731</c:v>
                </c:pt>
                <c:pt idx="285">
                  <c:v>9186080.6727037523</c:v>
                </c:pt>
                <c:pt idx="286">
                  <c:v>9215032.2483829241</c:v>
                </c:pt>
                <c:pt idx="287">
                  <c:v>9248944.5692108665</c:v>
                </c:pt>
                <c:pt idx="288">
                  <c:v>9283784.4243208282</c:v>
                </c:pt>
                <c:pt idx="289">
                  <c:v>9314799.5032341536</c:v>
                </c:pt>
                <c:pt idx="290">
                  <c:v>9344345.1177231576</c:v>
                </c:pt>
                <c:pt idx="291">
                  <c:v>9375912.5485122893</c:v>
                </c:pt>
                <c:pt idx="292">
                  <c:v>9411534.0336351879</c:v>
                </c:pt>
                <c:pt idx="293">
                  <c:v>9447447.3272962496</c:v>
                </c:pt>
                <c:pt idx="294">
                  <c:v>9483381.4644243214</c:v>
                </c:pt>
                <c:pt idx="295">
                  <c:v>9517429.2677878402</c:v>
                </c:pt>
                <c:pt idx="296">
                  <c:v>9550414.0543337651</c:v>
                </c:pt>
                <c:pt idx="297">
                  <c:v>9585441.5006468315</c:v>
                </c:pt>
                <c:pt idx="298">
                  <c:v>9618593.034928849</c:v>
                </c:pt>
                <c:pt idx="299">
                  <c:v>9650004.139715394</c:v>
                </c:pt>
                <c:pt idx="300">
                  <c:v>9684177.0038809832</c:v>
                </c:pt>
                <c:pt idx="301">
                  <c:v>9717474.4424320832</c:v>
                </c:pt>
                <c:pt idx="302">
                  <c:v>9753627.4359637778</c:v>
                </c:pt>
                <c:pt idx="303">
                  <c:v>9784559.1410090551</c:v>
                </c:pt>
                <c:pt idx="304">
                  <c:v>9819023.8137128074</c:v>
                </c:pt>
                <c:pt idx="305">
                  <c:v>9852821.4954721872</c:v>
                </c:pt>
                <c:pt idx="306">
                  <c:v>9882304.579560155</c:v>
                </c:pt>
                <c:pt idx="307">
                  <c:v>9919551.8551099617</c:v>
                </c:pt>
                <c:pt idx="308">
                  <c:v>9954214.5407503229</c:v>
                </c:pt>
                <c:pt idx="309">
                  <c:v>9991232.5381630007</c:v>
                </c:pt>
                <c:pt idx="310">
                  <c:v>10024008.890038811</c:v>
                </c:pt>
                <c:pt idx="311">
                  <c:v>10048552.07244502</c:v>
                </c:pt>
                <c:pt idx="312">
                  <c:v>10070000</c:v>
                </c:pt>
                <c:pt idx="313">
                  <c:v>10070000</c:v>
                </c:pt>
                <c:pt idx="314">
                  <c:v>10070000</c:v>
                </c:pt>
              </c:numCache>
            </c:numRef>
          </c:xVal>
          <c:yVal>
            <c:numRef>
              <c:f>Wafer1!$K$2:$K$316</c:f>
              <c:numCache>
                <c:formatCode>0.00E+00</c:formatCode>
                <c:ptCount val="315"/>
                <c:pt idx="0">
                  <c:v>9.4401428900000004E-7</c:v>
                </c:pt>
                <c:pt idx="1">
                  <c:v>9.4983502650000005E-7</c:v>
                </c:pt>
                <c:pt idx="2">
                  <c:v>9.5453513399999989E-7</c:v>
                </c:pt>
                <c:pt idx="3">
                  <c:v>9.5944021424999992E-7</c:v>
                </c:pt>
                <c:pt idx="4">
                  <c:v>9.6119193799999998E-7</c:v>
                </c:pt>
                <c:pt idx="5">
                  <c:v>9.6148044299999992E-7</c:v>
                </c:pt>
                <c:pt idx="6">
                  <c:v>9.6194396999999989E-7</c:v>
                </c:pt>
                <c:pt idx="7">
                  <c:v>9.6331825000000008E-7</c:v>
                </c:pt>
                <c:pt idx="8">
                  <c:v>9.6617216933333341E-7</c:v>
                </c:pt>
                <c:pt idx="9">
                  <c:v>9.6815618340000017E-7</c:v>
                </c:pt>
                <c:pt idx="10">
                  <c:v>9.6976805763636365E-7</c:v>
                </c:pt>
                <c:pt idx="11">
                  <c:v>9.6980575383333327E-7</c:v>
                </c:pt>
                <c:pt idx="12">
                  <c:v>9.6904283976923088E-7</c:v>
                </c:pt>
                <c:pt idx="13">
                  <c:v>9.6843639385714281E-7</c:v>
                </c:pt>
                <c:pt idx="14">
                  <c:v>9.6805408313333323E-7</c:v>
                </c:pt>
                <c:pt idx="15">
                  <c:v>9.6783556450000007E-7</c:v>
                </c:pt>
                <c:pt idx="16">
                  <c:v>9.6758654582352933E-7</c:v>
                </c:pt>
                <c:pt idx="17">
                  <c:v>9.6819209711111116E-7</c:v>
                </c:pt>
                <c:pt idx="18">
                  <c:v>9.6961843763157896E-7</c:v>
                </c:pt>
                <c:pt idx="19">
                  <c:v>9.7023191470000008E-7</c:v>
                </c:pt>
                <c:pt idx="20">
                  <c:v>9.7192996689999985E-7</c:v>
                </c:pt>
                <c:pt idx="21">
                  <c:v>9.7273046434999993E-7</c:v>
                </c:pt>
                <c:pt idx="22">
                  <c:v>9.7308774799999986E-7</c:v>
                </c:pt>
                <c:pt idx="23">
                  <c:v>9.7195614614999992E-7</c:v>
                </c:pt>
                <c:pt idx="24">
                  <c:v>9.7056195900000004E-7</c:v>
                </c:pt>
                <c:pt idx="25">
                  <c:v>9.6996980120000022E-7</c:v>
                </c:pt>
                <c:pt idx="26">
                  <c:v>9.6900382400000006E-7</c:v>
                </c:pt>
                <c:pt idx="27">
                  <c:v>9.6772189975000002E-7</c:v>
                </c:pt>
                <c:pt idx="28">
                  <c:v>9.6602448704999987E-7</c:v>
                </c:pt>
                <c:pt idx="29">
                  <c:v>9.6583324304999985E-7</c:v>
                </c:pt>
                <c:pt idx="30">
                  <c:v>9.6540568959999991E-7</c:v>
                </c:pt>
                <c:pt idx="31">
                  <c:v>9.6605358525000011E-7</c:v>
                </c:pt>
                <c:pt idx="32">
                  <c:v>9.6624414709999977E-7</c:v>
                </c:pt>
                <c:pt idx="33">
                  <c:v>9.6560179090000009E-7</c:v>
                </c:pt>
                <c:pt idx="34">
                  <c:v>9.6417732324999989E-7</c:v>
                </c:pt>
                <c:pt idx="35">
                  <c:v>9.6232569435000006E-7</c:v>
                </c:pt>
                <c:pt idx="36">
                  <c:v>9.6121372625000011E-7</c:v>
                </c:pt>
                <c:pt idx="37">
                  <c:v>9.5969187160000018E-7</c:v>
                </c:pt>
                <c:pt idx="38">
                  <c:v>9.5797257415000023E-7</c:v>
                </c:pt>
                <c:pt idx="39">
                  <c:v>9.5756050485000014E-7</c:v>
                </c:pt>
                <c:pt idx="40">
                  <c:v>9.5663537820000003E-7</c:v>
                </c:pt>
                <c:pt idx="41">
                  <c:v>9.5694212805000018E-7</c:v>
                </c:pt>
                <c:pt idx="42">
                  <c:v>9.5627449069999995E-7</c:v>
                </c:pt>
                <c:pt idx="43">
                  <c:v>9.5638448554999989E-7</c:v>
                </c:pt>
                <c:pt idx="44">
                  <c:v>9.5584683205000001E-7</c:v>
                </c:pt>
                <c:pt idx="45">
                  <c:v>9.5513569529999997E-7</c:v>
                </c:pt>
                <c:pt idx="46">
                  <c:v>9.5648242675000009E-7</c:v>
                </c:pt>
                <c:pt idx="47">
                  <c:v>9.568607282000001E-7</c:v>
                </c:pt>
                <c:pt idx="48">
                  <c:v>9.5676224414999994E-7</c:v>
                </c:pt>
                <c:pt idx="49">
                  <c:v>9.5416086194999988E-7</c:v>
                </c:pt>
                <c:pt idx="50">
                  <c:v>9.5132241989999994E-7</c:v>
                </c:pt>
                <c:pt idx="51">
                  <c:v>9.487828236E-7</c:v>
                </c:pt>
                <c:pt idx="52">
                  <c:v>9.4731508960000004E-7</c:v>
                </c:pt>
                <c:pt idx="53">
                  <c:v>9.4663685099999981E-7</c:v>
                </c:pt>
                <c:pt idx="54">
                  <c:v>9.4679284074999998E-7</c:v>
                </c:pt>
                <c:pt idx="55">
                  <c:v>9.4819054649999983E-7</c:v>
                </c:pt>
                <c:pt idx="56">
                  <c:v>9.4918346739999988E-7</c:v>
                </c:pt>
                <c:pt idx="57">
                  <c:v>9.5016397939999978E-7</c:v>
                </c:pt>
                <c:pt idx="58">
                  <c:v>9.4963301924999966E-7</c:v>
                </c:pt>
                <c:pt idx="59">
                  <c:v>9.4844170904999971E-7</c:v>
                </c:pt>
                <c:pt idx="60">
                  <c:v>9.4761142279999993E-7</c:v>
                </c:pt>
                <c:pt idx="61">
                  <c:v>9.4621435364999997E-7</c:v>
                </c:pt>
                <c:pt idx="62">
                  <c:v>9.4572806105000019E-7</c:v>
                </c:pt>
                <c:pt idx="63">
                  <c:v>9.446066541000001E-7</c:v>
                </c:pt>
                <c:pt idx="64">
                  <c:v>9.4437947370000029E-7</c:v>
                </c:pt>
                <c:pt idx="65">
                  <c:v>9.4314010530000035E-7</c:v>
                </c:pt>
                <c:pt idx="66">
                  <c:v>9.4072830440000011E-7</c:v>
                </c:pt>
                <c:pt idx="67">
                  <c:v>9.3947338080000024E-7</c:v>
                </c:pt>
                <c:pt idx="68">
                  <c:v>9.3925143569999995E-7</c:v>
                </c:pt>
                <c:pt idx="69">
                  <c:v>9.405115463E-7</c:v>
                </c:pt>
                <c:pt idx="70">
                  <c:v>9.4238314429999993E-7</c:v>
                </c:pt>
                <c:pt idx="71">
                  <c:v>9.4297072335000006E-7</c:v>
                </c:pt>
                <c:pt idx="72">
                  <c:v>9.4352297705E-7</c:v>
                </c:pt>
                <c:pt idx="73">
                  <c:v>9.4364011709999997E-7</c:v>
                </c:pt>
                <c:pt idx="74">
                  <c:v>9.4246112774999992E-7</c:v>
                </c:pt>
                <c:pt idx="75">
                  <c:v>9.4045557259999994E-7</c:v>
                </c:pt>
                <c:pt idx="76">
                  <c:v>9.3788636379999999E-7</c:v>
                </c:pt>
                <c:pt idx="77">
                  <c:v>9.3475986209999988E-7</c:v>
                </c:pt>
                <c:pt idx="78">
                  <c:v>9.3349055140000005E-7</c:v>
                </c:pt>
                <c:pt idx="79">
                  <c:v>9.321573856499999E-7</c:v>
                </c:pt>
                <c:pt idx="80">
                  <c:v>9.3148551065000001E-7</c:v>
                </c:pt>
                <c:pt idx="81">
                  <c:v>9.3141980534999999E-7</c:v>
                </c:pt>
                <c:pt idx="82">
                  <c:v>9.3108742484999987E-7</c:v>
                </c:pt>
                <c:pt idx="83">
                  <c:v>9.3159731029999989E-7</c:v>
                </c:pt>
                <c:pt idx="84">
                  <c:v>9.308053109499998E-7</c:v>
                </c:pt>
                <c:pt idx="85">
                  <c:v>9.3045103999999977E-7</c:v>
                </c:pt>
                <c:pt idx="86">
                  <c:v>9.3047300429999994E-7</c:v>
                </c:pt>
                <c:pt idx="87">
                  <c:v>9.3026093569999986E-7</c:v>
                </c:pt>
                <c:pt idx="88">
                  <c:v>9.2894673004999994E-7</c:v>
                </c:pt>
                <c:pt idx="89">
                  <c:v>9.2739458070000014E-7</c:v>
                </c:pt>
                <c:pt idx="90">
                  <c:v>9.2593693925000003E-7</c:v>
                </c:pt>
                <c:pt idx="91">
                  <c:v>9.2657203655000003E-7</c:v>
                </c:pt>
                <c:pt idx="92">
                  <c:v>9.2625311085000008E-7</c:v>
                </c:pt>
                <c:pt idx="93">
                  <c:v>9.264658018999999E-7</c:v>
                </c:pt>
                <c:pt idx="94">
                  <c:v>9.2762437304999996E-7</c:v>
                </c:pt>
                <c:pt idx="95">
                  <c:v>9.2871316324999997E-7</c:v>
                </c:pt>
                <c:pt idx="96">
                  <c:v>9.3008898144999996E-7</c:v>
                </c:pt>
                <c:pt idx="97">
                  <c:v>9.3128409159999968E-7</c:v>
                </c:pt>
                <c:pt idx="98">
                  <c:v>9.3117364200000008E-7</c:v>
                </c:pt>
                <c:pt idx="99">
                  <c:v>9.3020365740000002E-7</c:v>
                </c:pt>
                <c:pt idx="100">
                  <c:v>9.2967054855000005E-7</c:v>
                </c:pt>
                <c:pt idx="101">
                  <c:v>9.2824139130000019E-7</c:v>
                </c:pt>
                <c:pt idx="102">
                  <c:v>9.2745463005000011E-7</c:v>
                </c:pt>
                <c:pt idx="103">
                  <c:v>9.2818382880000013E-7</c:v>
                </c:pt>
                <c:pt idx="104">
                  <c:v>9.2936073770000002E-7</c:v>
                </c:pt>
                <c:pt idx="105">
                  <c:v>9.2962081340000005E-7</c:v>
                </c:pt>
                <c:pt idx="106">
                  <c:v>9.2841434309999988E-7</c:v>
                </c:pt>
                <c:pt idx="107">
                  <c:v>9.2738431194999992E-7</c:v>
                </c:pt>
                <c:pt idx="108">
                  <c:v>9.2718218244999996E-7</c:v>
                </c:pt>
                <c:pt idx="109">
                  <c:v>9.2687718055000008E-7</c:v>
                </c:pt>
                <c:pt idx="110">
                  <c:v>9.2622344995000003E-7</c:v>
                </c:pt>
                <c:pt idx="111">
                  <c:v>9.2450911500000003E-7</c:v>
                </c:pt>
                <c:pt idx="112">
                  <c:v>9.2535565560000006E-7</c:v>
                </c:pt>
                <c:pt idx="113">
                  <c:v>9.2510104825000001E-7</c:v>
                </c:pt>
                <c:pt idx="114">
                  <c:v>9.2468754364999989E-7</c:v>
                </c:pt>
                <c:pt idx="115">
                  <c:v>9.2465911624999991E-7</c:v>
                </c:pt>
                <c:pt idx="116">
                  <c:v>9.230534459999999E-7</c:v>
                </c:pt>
                <c:pt idx="117">
                  <c:v>9.2240794065000001E-7</c:v>
                </c:pt>
                <c:pt idx="118">
                  <c:v>9.2215952920000002E-7</c:v>
                </c:pt>
                <c:pt idx="119">
                  <c:v>9.2316782910000006E-7</c:v>
                </c:pt>
                <c:pt idx="120">
                  <c:v>9.2380721525000005E-7</c:v>
                </c:pt>
                <c:pt idx="121">
                  <c:v>9.2409583770000011E-7</c:v>
                </c:pt>
                <c:pt idx="122">
                  <c:v>9.2542829860000014E-7</c:v>
                </c:pt>
                <c:pt idx="123">
                  <c:v>9.2431239695000024E-7</c:v>
                </c:pt>
                <c:pt idx="124">
                  <c:v>9.2483924165000013E-7</c:v>
                </c:pt>
                <c:pt idx="125">
                  <c:v>9.2600792245000017E-7</c:v>
                </c:pt>
                <c:pt idx="126">
                  <c:v>9.2773209420000013E-7</c:v>
                </c:pt>
                <c:pt idx="127">
                  <c:v>9.2859708049999993E-7</c:v>
                </c:pt>
                <c:pt idx="128">
                  <c:v>9.2857614219999989E-7</c:v>
                </c:pt>
                <c:pt idx="129">
                  <c:v>9.285495991499997E-7</c:v>
                </c:pt>
                <c:pt idx="130">
                  <c:v>9.2886936324999971E-7</c:v>
                </c:pt>
                <c:pt idx="131">
                  <c:v>9.2839446774999984E-7</c:v>
                </c:pt>
                <c:pt idx="132">
                  <c:v>9.2719032235000008E-7</c:v>
                </c:pt>
                <c:pt idx="133">
                  <c:v>9.2749865810000009E-7</c:v>
                </c:pt>
                <c:pt idx="134">
                  <c:v>9.2787717844999986E-7</c:v>
                </c:pt>
                <c:pt idx="135">
                  <c:v>9.2777432029999996E-7</c:v>
                </c:pt>
                <c:pt idx="136">
                  <c:v>9.2922565494999989E-7</c:v>
                </c:pt>
                <c:pt idx="137">
                  <c:v>9.2996889970000003E-7</c:v>
                </c:pt>
                <c:pt idx="138">
                  <c:v>9.298041618000001E-7</c:v>
                </c:pt>
                <c:pt idx="139">
                  <c:v>9.3013667875000009E-7</c:v>
                </c:pt>
                <c:pt idx="140">
                  <c:v>9.2978014259999996E-7</c:v>
                </c:pt>
                <c:pt idx="141">
                  <c:v>9.3071464560000014E-7</c:v>
                </c:pt>
                <c:pt idx="142">
                  <c:v>9.305013748E-7</c:v>
                </c:pt>
                <c:pt idx="143">
                  <c:v>9.3149779160000016E-7</c:v>
                </c:pt>
                <c:pt idx="144">
                  <c:v>9.3093617575000002E-7</c:v>
                </c:pt>
                <c:pt idx="145">
                  <c:v>9.3080593040000026E-7</c:v>
                </c:pt>
                <c:pt idx="146">
                  <c:v>9.3051378935000023E-7</c:v>
                </c:pt>
                <c:pt idx="147">
                  <c:v>9.2939511940000022E-7</c:v>
                </c:pt>
                <c:pt idx="148">
                  <c:v>9.2841300440000012E-7</c:v>
                </c:pt>
                <c:pt idx="149">
                  <c:v>9.2826116994999989E-7</c:v>
                </c:pt>
                <c:pt idx="150">
                  <c:v>9.2793354154999994E-7</c:v>
                </c:pt>
                <c:pt idx="151">
                  <c:v>9.2853789509999998E-7</c:v>
                </c:pt>
                <c:pt idx="152">
                  <c:v>9.2822158139999987E-7</c:v>
                </c:pt>
                <c:pt idx="153">
                  <c:v>9.2830970289999983E-7</c:v>
                </c:pt>
                <c:pt idx="154">
                  <c:v>9.288400604999999E-7</c:v>
                </c:pt>
                <c:pt idx="155">
                  <c:v>9.2977626589999988E-7</c:v>
                </c:pt>
                <c:pt idx="156">
                  <c:v>9.2958595699999995E-7</c:v>
                </c:pt>
                <c:pt idx="157">
                  <c:v>9.2961387849999996E-7</c:v>
                </c:pt>
                <c:pt idx="158">
                  <c:v>9.3057407185E-7</c:v>
                </c:pt>
                <c:pt idx="159">
                  <c:v>9.2931551594999986E-7</c:v>
                </c:pt>
                <c:pt idx="160">
                  <c:v>9.2898747544999981E-7</c:v>
                </c:pt>
                <c:pt idx="161">
                  <c:v>9.2770356164999988E-7</c:v>
                </c:pt>
                <c:pt idx="162">
                  <c:v>9.2621549755E-7</c:v>
                </c:pt>
                <c:pt idx="163">
                  <c:v>9.2474105030000007E-7</c:v>
                </c:pt>
                <c:pt idx="164">
                  <c:v>9.2565353214999988E-7</c:v>
                </c:pt>
                <c:pt idx="165">
                  <c:v>9.2638414065000016E-7</c:v>
                </c:pt>
                <c:pt idx="166">
                  <c:v>9.2733493210000005E-7</c:v>
                </c:pt>
                <c:pt idx="167">
                  <c:v>9.2884777135000023E-7</c:v>
                </c:pt>
                <c:pt idx="168">
                  <c:v>9.3034881560000019E-7</c:v>
                </c:pt>
                <c:pt idx="169">
                  <c:v>9.3098802834999999E-7</c:v>
                </c:pt>
                <c:pt idx="170">
                  <c:v>9.3143921729999996E-7</c:v>
                </c:pt>
                <c:pt idx="171">
                  <c:v>9.3078544690000023E-7</c:v>
                </c:pt>
                <c:pt idx="172">
                  <c:v>9.298993404E-7</c:v>
                </c:pt>
                <c:pt idx="173">
                  <c:v>9.2833101340000011E-7</c:v>
                </c:pt>
                <c:pt idx="174">
                  <c:v>9.2702721015000001E-7</c:v>
                </c:pt>
                <c:pt idx="175">
                  <c:v>9.267039928E-7</c:v>
                </c:pt>
                <c:pt idx="176">
                  <c:v>9.2694340874999991E-7</c:v>
                </c:pt>
                <c:pt idx="177">
                  <c:v>9.2716302899999982E-7</c:v>
                </c:pt>
                <c:pt idx="178">
                  <c:v>9.2736166549999991E-7</c:v>
                </c:pt>
                <c:pt idx="179">
                  <c:v>9.2873260085000009E-7</c:v>
                </c:pt>
                <c:pt idx="180">
                  <c:v>9.2943838580000002E-7</c:v>
                </c:pt>
                <c:pt idx="181">
                  <c:v>9.3003671109999993E-7</c:v>
                </c:pt>
                <c:pt idx="182">
                  <c:v>9.2964865529999997E-7</c:v>
                </c:pt>
                <c:pt idx="183">
                  <c:v>9.2982914455000012E-7</c:v>
                </c:pt>
                <c:pt idx="184">
                  <c:v>9.2876351235000025E-7</c:v>
                </c:pt>
                <c:pt idx="185">
                  <c:v>9.2746145700000007E-7</c:v>
                </c:pt>
                <c:pt idx="186">
                  <c:v>9.2524563515000011E-7</c:v>
                </c:pt>
                <c:pt idx="187">
                  <c:v>9.2396277014999991E-7</c:v>
                </c:pt>
                <c:pt idx="188">
                  <c:v>9.2366561549999978E-7</c:v>
                </c:pt>
                <c:pt idx="189">
                  <c:v>9.2354928545E-7</c:v>
                </c:pt>
                <c:pt idx="190">
                  <c:v>9.2330234630000007E-7</c:v>
                </c:pt>
                <c:pt idx="191">
                  <c:v>9.2378755320000016E-7</c:v>
                </c:pt>
                <c:pt idx="192">
                  <c:v>9.2448050290000014E-7</c:v>
                </c:pt>
                <c:pt idx="193">
                  <c:v>9.2516664274999999E-7</c:v>
                </c:pt>
                <c:pt idx="194">
                  <c:v>9.2683733050000001E-7</c:v>
                </c:pt>
                <c:pt idx="195">
                  <c:v>9.2658075064999995E-7</c:v>
                </c:pt>
                <c:pt idx="196">
                  <c:v>9.2668620370000008E-7</c:v>
                </c:pt>
                <c:pt idx="197">
                  <c:v>9.2660426955000007E-7</c:v>
                </c:pt>
                <c:pt idx="198">
                  <c:v>9.2653630754999991E-7</c:v>
                </c:pt>
                <c:pt idx="199">
                  <c:v>9.2614044144999977E-7</c:v>
                </c:pt>
                <c:pt idx="200">
                  <c:v>9.2597665849999988E-7</c:v>
                </c:pt>
                <c:pt idx="201">
                  <c:v>9.2522266749999985E-7</c:v>
                </c:pt>
                <c:pt idx="202">
                  <c:v>9.246554440500001E-7</c:v>
                </c:pt>
                <c:pt idx="203">
                  <c:v>9.2421520030000007E-7</c:v>
                </c:pt>
                <c:pt idx="204">
                  <c:v>9.2364844295000029E-7</c:v>
                </c:pt>
                <c:pt idx="205">
                  <c:v>9.2358195320000026E-7</c:v>
                </c:pt>
                <c:pt idx="206">
                  <c:v>9.2476660985000023E-7</c:v>
                </c:pt>
                <c:pt idx="207">
                  <c:v>9.2574395569999997E-7</c:v>
                </c:pt>
                <c:pt idx="208">
                  <c:v>9.2731504245000005E-7</c:v>
                </c:pt>
                <c:pt idx="209">
                  <c:v>9.2796283290000004E-7</c:v>
                </c:pt>
                <c:pt idx="210">
                  <c:v>9.2878470060000001E-7</c:v>
                </c:pt>
                <c:pt idx="211">
                  <c:v>9.2950263864999995E-7</c:v>
                </c:pt>
                <c:pt idx="212">
                  <c:v>9.2979806524999992E-7</c:v>
                </c:pt>
                <c:pt idx="213">
                  <c:v>9.2973826599999976E-7</c:v>
                </c:pt>
                <c:pt idx="214">
                  <c:v>9.271601838999999E-7</c:v>
                </c:pt>
                <c:pt idx="215">
                  <c:v>9.2620065564999992E-7</c:v>
                </c:pt>
                <c:pt idx="216">
                  <c:v>9.2535763650000008E-7</c:v>
                </c:pt>
                <c:pt idx="217">
                  <c:v>9.2480925100000012E-7</c:v>
                </c:pt>
                <c:pt idx="218">
                  <c:v>9.2462496745000007E-7</c:v>
                </c:pt>
                <c:pt idx="219">
                  <c:v>9.2604255420000015E-7</c:v>
                </c:pt>
                <c:pt idx="220">
                  <c:v>9.2694615705000005E-7</c:v>
                </c:pt>
                <c:pt idx="221">
                  <c:v>9.2844373670000012E-7</c:v>
                </c:pt>
                <c:pt idx="222">
                  <c:v>9.3098195454999992E-7</c:v>
                </c:pt>
                <c:pt idx="223">
                  <c:v>9.3194215924999994E-7</c:v>
                </c:pt>
                <c:pt idx="224">
                  <c:v>9.3296368384999976E-7</c:v>
                </c:pt>
                <c:pt idx="225">
                  <c:v>9.3402184394999987E-7</c:v>
                </c:pt>
                <c:pt idx="226">
                  <c:v>9.3474377239999997E-7</c:v>
                </c:pt>
                <c:pt idx="227">
                  <c:v>9.3546162234999994E-7</c:v>
                </c:pt>
                <c:pt idx="228">
                  <c:v>9.346521549999999E-7</c:v>
                </c:pt>
                <c:pt idx="229">
                  <c:v>9.3462342065000001E-7</c:v>
                </c:pt>
                <c:pt idx="230">
                  <c:v>9.3433879715000013E-7</c:v>
                </c:pt>
                <c:pt idx="231">
                  <c:v>9.3346489215000017E-7</c:v>
                </c:pt>
                <c:pt idx="232">
                  <c:v>9.3221669025000011E-7</c:v>
                </c:pt>
                <c:pt idx="233">
                  <c:v>9.322032894E-7</c:v>
                </c:pt>
                <c:pt idx="234">
                  <c:v>9.3404965175000012E-7</c:v>
                </c:pt>
                <c:pt idx="235">
                  <c:v>9.3469595005000019E-7</c:v>
                </c:pt>
                <c:pt idx="236">
                  <c:v>9.3537653064999992E-7</c:v>
                </c:pt>
                <c:pt idx="237">
                  <c:v>9.3466979074999984E-7</c:v>
                </c:pt>
                <c:pt idx="238">
                  <c:v>9.3392899029999989E-7</c:v>
                </c:pt>
                <c:pt idx="239">
                  <c:v>9.3259057509999995E-7</c:v>
                </c:pt>
                <c:pt idx="240">
                  <c:v>9.3155264555000005E-7</c:v>
                </c:pt>
                <c:pt idx="241">
                  <c:v>9.3064301729999992E-7</c:v>
                </c:pt>
                <c:pt idx="242">
                  <c:v>9.3132495925000007E-7</c:v>
                </c:pt>
                <c:pt idx="243">
                  <c:v>9.3205647434999985E-7</c:v>
                </c:pt>
                <c:pt idx="244">
                  <c:v>9.3237082409999986E-7</c:v>
                </c:pt>
                <c:pt idx="245">
                  <c:v>9.3207009399999987E-7</c:v>
                </c:pt>
                <c:pt idx="246">
                  <c:v>9.3187615564999988E-7</c:v>
                </c:pt>
                <c:pt idx="247">
                  <c:v>9.3124201900000004E-7</c:v>
                </c:pt>
                <c:pt idx="248">
                  <c:v>9.3079593460000015E-7</c:v>
                </c:pt>
                <c:pt idx="249">
                  <c:v>9.305041857500001E-7</c:v>
                </c:pt>
                <c:pt idx="250">
                  <c:v>9.3162771010000012E-7</c:v>
                </c:pt>
                <c:pt idx="251">
                  <c:v>9.3293009515000001E-7</c:v>
                </c:pt>
                <c:pt idx="252">
                  <c:v>9.3486597170000005E-7</c:v>
                </c:pt>
                <c:pt idx="253">
                  <c:v>9.3554061215000003E-7</c:v>
                </c:pt>
                <c:pt idx="254">
                  <c:v>9.3496957735000006E-7</c:v>
                </c:pt>
                <c:pt idx="255">
                  <c:v>9.3443543395000018E-7</c:v>
                </c:pt>
                <c:pt idx="256">
                  <c:v>9.3468000275000025E-7</c:v>
                </c:pt>
                <c:pt idx="257">
                  <c:v>9.3556225240000036E-7</c:v>
                </c:pt>
                <c:pt idx="258">
                  <c:v>9.3536168325000018E-7</c:v>
                </c:pt>
                <c:pt idx="259">
                  <c:v>9.3543076790000034E-7</c:v>
                </c:pt>
                <c:pt idx="260">
                  <c:v>9.3636820400000033E-7</c:v>
                </c:pt>
                <c:pt idx="261">
                  <c:v>9.3785188824999999E-7</c:v>
                </c:pt>
                <c:pt idx="262">
                  <c:v>9.3796459740000005E-7</c:v>
                </c:pt>
                <c:pt idx="263">
                  <c:v>9.3758727079999987E-7</c:v>
                </c:pt>
                <c:pt idx="264">
                  <c:v>9.3758324629999994E-7</c:v>
                </c:pt>
                <c:pt idx="265">
                  <c:v>9.3815689305000002E-7</c:v>
                </c:pt>
                <c:pt idx="266">
                  <c:v>9.3826510300000013E-7</c:v>
                </c:pt>
                <c:pt idx="267">
                  <c:v>9.3892527960000016E-7</c:v>
                </c:pt>
                <c:pt idx="268">
                  <c:v>9.384923430500001E-7</c:v>
                </c:pt>
                <c:pt idx="269">
                  <c:v>9.3866662784999997E-7</c:v>
                </c:pt>
                <c:pt idx="270">
                  <c:v>9.3707575964999989E-7</c:v>
                </c:pt>
                <c:pt idx="271">
                  <c:v>9.3596027574999973E-7</c:v>
                </c:pt>
                <c:pt idx="272">
                  <c:v>9.355812807999998E-7</c:v>
                </c:pt>
                <c:pt idx="273">
                  <c:v>9.3541775080000005E-7</c:v>
                </c:pt>
                <c:pt idx="274">
                  <c:v>9.3603976274999997E-7</c:v>
                </c:pt>
                <c:pt idx="275">
                  <c:v>9.3783455674999985E-7</c:v>
                </c:pt>
                <c:pt idx="276">
                  <c:v>9.3830860810000004E-7</c:v>
                </c:pt>
                <c:pt idx="277">
                  <c:v>9.3903087764999997E-7</c:v>
                </c:pt>
                <c:pt idx="278">
                  <c:v>9.3911008609999996E-7</c:v>
                </c:pt>
                <c:pt idx="279">
                  <c:v>9.3969698015000004E-7</c:v>
                </c:pt>
                <c:pt idx="280">
                  <c:v>9.3913930924999999E-7</c:v>
                </c:pt>
                <c:pt idx="281">
                  <c:v>9.3865097314999994E-7</c:v>
                </c:pt>
                <c:pt idx="282">
                  <c:v>9.3889899805000013E-7</c:v>
                </c:pt>
                <c:pt idx="283">
                  <c:v>9.3951645684999994E-7</c:v>
                </c:pt>
                <c:pt idx="284">
                  <c:v>9.3997209665000006E-7</c:v>
                </c:pt>
                <c:pt idx="285">
                  <c:v>9.4042529214999988E-7</c:v>
                </c:pt>
                <c:pt idx="286">
                  <c:v>9.4102354069999991E-7</c:v>
                </c:pt>
                <c:pt idx="287">
                  <c:v>9.4169415949999996E-7</c:v>
                </c:pt>
                <c:pt idx="288">
                  <c:v>9.4334505440000008E-7</c:v>
                </c:pt>
                <c:pt idx="289">
                  <c:v>9.4412842775000033E-7</c:v>
                </c:pt>
                <c:pt idx="290">
                  <c:v>9.4410105195000017E-7</c:v>
                </c:pt>
                <c:pt idx="291">
                  <c:v>9.4466666670000013E-7</c:v>
                </c:pt>
                <c:pt idx="292">
                  <c:v>9.4470966020000007E-7</c:v>
                </c:pt>
                <c:pt idx="293">
                  <c:v>9.4476399965000006E-7</c:v>
                </c:pt>
                <c:pt idx="294">
                  <c:v>9.4471658374999987E-7</c:v>
                </c:pt>
                <c:pt idx="295">
                  <c:v>9.4489398634999978E-7</c:v>
                </c:pt>
                <c:pt idx="296">
                  <c:v>9.4473197694999985E-7</c:v>
                </c:pt>
                <c:pt idx="297">
                  <c:v>9.4616156899999986E-7</c:v>
                </c:pt>
                <c:pt idx="298">
                  <c:v>9.480647548499997E-7</c:v>
                </c:pt>
                <c:pt idx="299">
                  <c:v>9.4878394064999996E-7</c:v>
                </c:pt>
                <c:pt idx="300">
                  <c:v>9.4954846475000005E-7</c:v>
                </c:pt>
                <c:pt idx="301">
                  <c:v>9.5000063710000007E-7</c:v>
                </c:pt>
                <c:pt idx="302">
                  <c:v>9.4928765005000009E-7</c:v>
                </c:pt>
                <c:pt idx="303">
                  <c:v>9.4769290795000001E-7</c:v>
                </c:pt>
                <c:pt idx="304">
                  <c:v>9.4702697589999994E-7</c:v>
                </c:pt>
                <c:pt idx="305">
                  <c:v>9.4657619909999999E-7</c:v>
                </c:pt>
                <c:pt idx="306">
                  <c:v>9.4603543060000014E-7</c:v>
                </c:pt>
                <c:pt idx="307">
                  <c:v>9.4561390534999998E-7</c:v>
                </c:pt>
                <c:pt idx="308">
                  <c:v>9.4533546069999995E-7</c:v>
                </c:pt>
                <c:pt idx="309">
                  <c:v>9.4505898285000003E-7</c:v>
                </c:pt>
                <c:pt idx="310">
                  <c:v>9.4638719185000007E-7</c:v>
                </c:pt>
                <c:pt idx="311">
                  <c:v>9.4700180280000025E-7</c:v>
                </c:pt>
                <c:pt idx="312">
                  <c:v>9.4814998585000013E-7</c:v>
                </c:pt>
                <c:pt idx="313">
                  <c:v>9.4876465080000019E-7</c:v>
                </c:pt>
                <c:pt idx="314">
                  <c:v>9.4901740505000011E-7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7B-4E9C-88F1-0C9F0CB07CCC}"/>
            </c:ext>
          </c:extLst>
        </c:ser>
        <c:ser>
          <c:idx val="3"/>
          <c:order val="3"/>
          <c:tx>
            <c:strRef>
              <c:f>GRAPH!$T$31</c:f>
              <c:strCache>
                <c:ptCount val="1"/>
                <c:pt idx="0">
                  <c:v>IGS__R141-1</c:v>
                </c:pt>
              </c:strCache>
            </c:strRef>
          </c:tx>
          <c:spPr>
            <a:ln w="158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Wafer1!$M$2:$M$335</c:f>
              <c:numCache>
                <c:formatCode>0.00E+00</c:formatCode>
                <c:ptCount val="334"/>
                <c:pt idx="0">
                  <c:v>0</c:v>
                </c:pt>
                <c:pt idx="1">
                  <c:v>0</c:v>
                </c:pt>
                <c:pt idx="2">
                  <c:v>1171.8338826360359</c:v>
                </c:pt>
                <c:pt idx="3">
                  <c:v>31834.82047827898</c:v>
                </c:pt>
                <c:pt idx="4">
                  <c:v>66146.938901428875</c:v>
                </c:pt>
                <c:pt idx="5">
                  <c:v>101486.98178303144</c:v>
                </c:pt>
                <c:pt idx="6">
                  <c:v>128870.88935621038</c:v>
                </c:pt>
                <c:pt idx="7">
                  <c:v>150847.91427792833</c:v>
                </c:pt>
                <c:pt idx="8">
                  <c:v>182693.01400079182</c:v>
                </c:pt>
                <c:pt idx="9">
                  <c:v>216809.82677683572</c:v>
                </c:pt>
                <c:pt idx="10">
                  <c:v>248901.62836972787</c:v>
                </c:pt>
                <c:pt idx="11">
                  <c:v>281877.44499688927</c:v>
                </c:pt>
                <c:pt idx="12">
                  <c:v>309631.40537511121</c:v>
                </c:pt>
                <c:pt idx="13">
                  <c:v>336408.83751780307</c:v>
                </c:pt>
                <c:pt idx="14">
                  <c:v>362960.12627963535</c:v>
                </c:pt>
                <c:pt idx="15">
                  <c:v>390991.62626163947</c:v>
                </c:pt>
                <c:pt idx="16">
                  <c:v>420513.61670839996</c:v>
                </c:pt>
                <c:pt idx="17">
                  <c:v>453448.31635722332</c:v>
                </c:pt>
                <c:pt idx="18">
                  <c:v>484429.95953498658</c:v>
                </c:pt>
                <c:pt idx="19">
                  <c:v>525053.53413303581</c:v>
                </c:pt>
                <c:pt idx="20">
                  <c:v>554051.28310598549</c:v>
                </c:pt>
                <c:pt idx="21">
                  <c:v>583634.94902025315</c:v>
                </c:pt>
                <c:pt idx="22">
                  <c:v>612807.44515113963</c:v>
                </c:pt>
                <c:pt idx="23">
                  <c:v>645557.11839744158</c:v>
                </c:pt>
                <c:pt idx="24">
                  <c:v>679653.37268431636</c:v>
                </c:pt>
                <c:pt idx="25">
                  <c:v>708753.91410311125</c:v>
                </c:pt>
                <c:pt idx="26">
                  <c:v>744834.06259479979</c:v>
                </c:pt>
                <c:pt idx="27">
                  <c:v>778735.01123456855</c:v>
                </c:pt>
                <c:pt idx="28">
                  <c:v>816829.89166482422</c:v>
                </c:pt>
                <c:pt idx="29">
                  <c:v>853629.58727742964</c:v>
                </c:pt>
                <c:pt idx="30">
                  <c:v>887181.04160132457</c:v>
                </c:pt>
                <c:pt idx="31">
                  <c:v>913619.25867272704</c:v>
                </c:pt>
                <c:pt idx="32">
                  <c:v>947335.18090997438</c:v>
                </c:pt>
                <c:pt idx="33">
                  <c:v>976877.72984590393</c:v>
                </c:pt>
                <c:pt idx="34">
                  <c:v>1006523.0712276787</c:v>
                </c:pt>
                <c:pt idx="35">
                  <c:v>1040968.8198304275</c:v>
                </c:pt>
                <c:pt idx="36">
                  <c:v>1073862.4025009128</c:v>
                </c:pt>
                <c:pt idx="37">
                  <c:v>1106653.1927255527</c:v>
                </c:pt>
                <c:pt idx="38">
                  <c:v>1134427.7115929436</c:v>
                </c:pt>
                <c:pt idx="39">
                  <c:v>1169757.4752299616</c:v>
                </c:pt>
                <c:pt idx="40">
                  <c:v>1194150.1226290434</c:v>
                </c:pt>
                <c:pt idx="41">
                  <c:v>1226324.1581786117</c:v>
                </c:pt>
                <c:pt idx="42">
                  <c:v>1254396.7751389539</c:v>
                </c:pt>
                <c:pt idx="43">
                  <c:v>1283857.0901182073</c:v>
                </c:pt>
                <c:pt idx="44">
                  <c:v>1301866.3266302978</c:v>
                </c:pt>
                <c:pt idx="45">
                  <c:v>1333680.5886194077</c:v>
                </c:pt>
                <c:pt idx="46">
                  <c:v>1365237.8694939045</c:v>
                </c:pt>
                <c:pt idx="47">
                  <c:v>1395345.776881983</c:v>
                </c:pt>
                <c:pt idx="48">
                  <c:v>1427026.4086914943</c:v>
                </c:pt>
                <c:pt idx="49">
                  <c:v>1460207.8102103462</c:v>
                </c:pt>
                <c:pt idx="50">
                  <c:v>1489154.1629603731</c:v>
                </c:pt>
                <c:pt idx="51">
                  <c:v>1520228.3193393971</c:v>
                </c:pt>
                <c:pt idx="52">
                  <c:v>1552392.0756443809</c:v>
                </c:pt>
                <c:pt idx="53">
                  <c:v>1586282.7450395653</c:v>
                </c:pt>
                <c:pt idx="54">
                  <c:v>1617521.3693319417</c:v>
                </c:pt>
                <c:pt idx="55">
                  <c:v>1652419.4046964096</c:v>
                </c:pt>
                <c:pt idx="56">
                  <c:v>1685754.9948840295</c:v>
                </c:pt>
                <c:pt idx="57">
                  <c:v>1715811.5060491853</c:v>
                </c:pt>
                <c:pt idx="58">
                  <c:v>1746793.1492269486</c:v>
                </c:pt>
                <c:pt idx="59">
                  <c:v>1779861.4790553709</c:v>
                </c:pt>
                <c:pt idx="60">
                  <c:v>1807728.5111240225</c:v>
                </c:pt>
                <c:pt idx="61">
                  <c:v>1835071.3017188634</c:v>
                </c:pt>
                <c:pt idx="62">
                  <c:v>1871192.56718889</c:v>
                </c:pt>
                <c:pt idx="63">
                  <c:v>1906213.9534883723</c:v>
                </c:pt>
                <c:pt idx="64">
                  <c:v>1940484.954933184</c:v>
                </c:pt>
                <c:pt idx="65">
                  <c:v>1973070.1602661335</c:v>
                </c:pt>
                <c:pt idx="66">
                  <c:v>2005532.0146640686</c:v>
                </c:pt>
                <c:pt idx="67">
                  <c:v>2039350.729347161</c:v>
                </c:pt>
                <c:pt idx="68">
                  <c:v>2069242.7725989646</c:v>
                </c:pt>
                <c:pt idx="69">
                  <c:v>2100183.2987983897</c:v>
                </c:pt>
                <c:pt idx="70">
                  <c:v>2135019.6586953504</c:v>
                </c:pt>
                <c:pt idx="71">
                  <c:v>2168601.9507529992</c:v>
                </c:pt>
                <c:pt idx="72">
                  <c:v>2198504.2732493868</c:v>
                </c:pt>
                <c:pt idx="73">
                  <c:v>2233114.4897654881</c:v>
                </c:pt>
                <c:pt idx="74">
                  <c:v>2267745.2647707583</c:v>
                </c:pt>
                <c:pt idx="75">
                  <c:v>2300608.00970749</c:v>
                </c:pt>
                <c:pt idx="76">
                  <c:v>2335187.3884898378</c:v>
                </c:pt>
                <c:pt idx="77">
                  <c:v>2369437.8314454802</c:v>
                </c:pt>
                <c:pt idx="78">
                  <c:v>2404448.9385003778</c:v>
                </c:pt>
                <c:pt idx="79">
                  <c:v>2434197.072327998</c:v>
                </c:pt>
                <c:pt idx="80">
                  <c:v>2468077.4624785976</c:v>
                </c:pt>
                <c:pt idx="81">
                  <c:v>2498904.9169875933</c:v>
                </c:pt>
                <c:pt idx="82">
                  <c:v>2527882.1074713739</c:v>
                </c:pt>
                <c:pt idx="83">
                  <c:v>2562564.2786995666</c:v>
                </c:pt>
                <c:pt idx="84">
                  <c:v>2596598.8575189342</c:v>
                </c:pt>
                <c:pt idx="85">
                  <c:v>2631774.4324871846</c:v>
                </c:pt>
                <c:pt idx="86">
                  <c:v>2663825.1171017387</c:v>
                </c:pt>
                <c:pt idx="87">
                  <c:v>2691877.1755729117</c:v>
                </c:pt>
                <c:pt idx="88">
                  <c:v>2726888.2826278093</c:v>
                </c:pt>
                <c:pt idx="89">
                  <c:v>2754148.8392659742</c:v>
                </c:pt>
                <c:pt idx="90">
                  <c:v>2789118.8293425338</c:v>
                </c:pt>
                <c:pt idx="91">
                  <c:v>2822341.3478397238</c:v>
                </c:pt>
                <c:pt idx="92">
                  <c:v>2857845.8586346786</c:v>
                </c:pt>
                <c:pt idx="93">
                  <c:v>2887059.4717439036</c:v>
                </c:pt>
                <c:pt idx="94">
                  <c:v>2919870.8204577123</c:v>
                </c:pt>
                <c:pt idx="95">
                  <c:v>2954912.7652463638</c:v>
                </c:pt>
                <c:pt idx="96">
                  <c:v>2990078.0609700293</c:v>
                </c:pt>
                <c:pt idx="97">
                  <c:v>3024287.3869473338</c:v>
                </c:pt>
                <c:pt idx="98">
                  <c:v>3049409.8607119168</c:v>
                </c:pt>
                <c:pt idx="99">
                  <c:v>3084616.2734139208</c:v>
                </c:pt>
                <c:pt idx="100">
                  <c:v>3120490.8370139184</c:v>
                </c:pt>
                <c:pt idx="101">
                  <c:v>3153579.72533151</c:v>
                </c:pt>
                <c:pt idx="102">
                  <c:v>3185137.0062060067</c:v>
                </c:pt>
                <c:pt idx="103">
                  <c:v>3215933.6229812484</c:v>
                </c:pt>
                <c:pt idx="104">
                  <c:v>3249186.9792121919</c:v>
                </c:pt>
                <c:pt idx="105">
                  <c:v>3283601.8900811872</c:v>
                </c:pt>
                <c:pt idx="106">
                  <c:v>3309721.4505704693</c:v>
                </c:pt>
                <c:pt idx="107">
                  <c:v>3338513.6146517284</c:v>
                </c:pt>
                <c:pt idx="108">
                  <c:v>3374891.8612363683</c:v>
                </c:pt>
                <c:pt idx="109">
                  <c:v>3405441.7761415816</c:v>
                </c:pt>
                <c:pt idx="110">
                  <c:v>3443711.4037297741</c:v>
                </c:pt>
                <c:pt idx="111">
                  <c:v>3472914.737594414</c:v>
                </c:pt>
                <c:pt idx="112">
                  <c:v>3504492.5769580803</c:v>
                </c:pt>
                <c:pt idx="113">
                  <c:v>3536060.1370771611</c:v>
                </c:pt>
                <c:pt idx="114">
                  <c:v>3567864.1198216868</c:v>
                </c:pt>
                <c:pt idx="115">
                  <c:v>3603214.4419478737</c:v>
                </c:pt>
                <c:pt idx="116">
                  <c:v>3639294.5904395622</c:v>
                </c:pt>
                <c:pt idx="117">
                  <c:v>3667850.3318953775</c:v>
                </c:pt>
                <c:pt idx="118">
                  <c:v>3701113.9673709054</c:v>
                </c:pt>
                <c:pt idx="119">
                  <c:v>3736402.6140295854</c:v>
                </c:pt>
                <c:pt idx="120">
                  <c:v>3770252.1664464315</c:v>
                </c:pt>
                <c:pt idx="121">
                  <c:v>3805417.462170097</c:v>
                </c:pt>
                <c:pt idx="122">
                  <c:v>3837087.8147350238</c:v>
                </c:pt>
                <c:pt idx="123">
                  <c:v>3872129.7595236748</c:v>
                </c:pt>
                <c:pt idx="124">
                  <c:v>3898321.2747250488</c:v>
                </c:pt>
                <c:pt idx="125">
                  <c:v>3934010.8119225255</c:v>
                </c:pt>
                <c:pt idx="126">
                  <c:v>3969535.8812066494</c:v>
                </c:pt>
                <c:pt idx="127">
                  <c:v>4004218.0524348421</c:v>
                </c:pt>
                <c:pt idx="128">
                  <c:v>4036289.2955385651</c:v>
                </c:pt>
                <c:pt idx="129">
                  <c:v>4069172.5989644662</c:v>
                </c:pt>
                <c:pt idx="130">
                  <c:v>4104677.1097594211</c:v>
                </c:pt>
                <c:pt idx="131">
                  <c:v>4138454.7074641758</c:v>
                </c:pt>
                <c:pt idx="132">
                  <c:v>4168665.4072980992</c:v>
                </c:pt>
                <c:pt idx="133">
                  <c:v>4198876.1071320232</c:v>
                </c:pt>
                <c:pt idx="134">
                  <c:v>4235501.055586691</c:v>
                </c:pt>
                <c:pt idx="135">
                  <c:v>4265475.3327951711</c:v>
                </c:pt>
                <c:pt idx="136">
                  <c:v>4300846.2134105274</c:v>
                </c:pt>
                <c:pt idx="137">
                  <c:v>4332968.8527371734</c:v>
                </c:pt>
                <c:pt idx="138">
                  <c:v>4369408.7747893203</c:v>
                </c:pt>
                <c:pt idx="139">
                  <c:v>4396905.7540529286</c:v>
                </c:pt>
                <c:pt idx="140">
                  <c:v>4427722.9293173393</c:v>
                </c:pt>
                <c:pt idx="141">
                  <c:v>4461449.1307991715</c:v>
                </c:pt>
                <c:pt idx="142">
                  <c:v>4495843.4831789974</c:v>
                </c:pt>
                <c:pt idx="143">
                  <c:v>4528922.092252004</c:v>
                </c:pt>
                <c:pt idx="144">
                  <c:v>4560808.3089532061</c:v>
                </c:pt>
                <c:pt idx="145">
                  <c:v>4588480.0353747513</c:v>
                </c:pt>
                <c:pt idx="146">
                  <c:v>4613808.0940310247</c:v>
                </c:pt>
                <c:pt idx="147">
                  <c:v>4647739.8804045478</c:v>
                </c:pt>
                <c:pt idx="148">
                  <c:v>4681661.387533485</c:v>
                </c:pt>
                <c:pt idx="149">
                  <c:v>4711707.619454057</c:v>
                </c:pt>
                <c:pt idx="150">
                  <c:v>4738824.2666680384</c:v>
                </c:pt>
                <c:pt idx="151">
                  <c:v>4764090.6498568049</c:v>
                </c:pt>
                <c:pt idx="152">
                  <c:v>4794044.368576115</c:v>
                </c:pt>
                <c:pt idx="153">
                  <c:v>4814284.2011630479</c:v>
                </c:pt>
                <c:pt idx="154">
                  <c:v>4838553.4976271158</c:v>
                </c:pt>
                <c:pt idx="155">
                  <c:v>4870316.363393303</c:v>
                </c:pt>
                <c:pt idx="156">
                  <c:v>4903559.4403796615</c:v>
                </c:pt>
                <c:pt idx="157">
                  <c:v>4938025.7474715794</c:v>
                </c:pt>
                <c:pt idx="158">
                  <c:v>4968020.5831692284</c:v>
                </c:pt>
                <c:pt idx="159">
                  <c:v>4990984.415571061</c:v>
                </c:pt>
                <c:pt idx="160">
                  <c:v>5020249.4249032084</c:v>
                </c:pt>
                <c:pt idx="161">
                  <c:v>5056802.4186457852</c:v>
                </c:pt>
                <c:pt idx="162">
                  <c:v>5083805.9941693367</c:v>
                </c:pt>
                <c:pt idx="163">
                  <c:v>5114818.4750808533</c:v>
                </c:pt>
                <c:pt idx="164">
                  <c:v>5142058.4732298488</c:v>
                </c:pt>
                <c:pt idx="165">
                  <c:v>5172855.0900050905</c:v>
                </c:pt>
                <c:pt idx="166">
                  <c:v>5197854.212834659</c:v>
                </c:pt>
                <c:pt idx="167">
                  <c:v>5228054.633423999</c:v>
                </c:pt>
                <c:pt idx="168">
                  <c:v>5253094.8732319055</c:v>
                </c:pt>
                <c:pt idx="169">
                  <c:v>5288044.3048192961</c:v>
                </c:pt>
                <c:pt idx="170">
                  <c:v>5318008.3027831912</c:v>
                </c:pt>
                <c:pt idx="171">
                  <c:v>5354766.8814174579</c:v>
                </c:pt>
                <c:pt idx="172">
                  <c:v>5375119.7856948208</c:v>
                </c:pt>
                <c:pt idx="173">
                  <c:v>5408619.8437957931</c:v>
                </c:pt>
                <c:pt idx="174">
                  <c:v>5442860.0075068511</c:v>
                </c:pt>
                <c:pt idx="175">
                  <c:v>5475506.8883073078</c:v>
                </c:pt>
                <c:pt idx="176">
                  <c:v>5503096.3807721781</c:v>
                </c:pt>
                <c:pt idx="177">
                  <c:v>5529400.967663981</c:v>
                </c:pt>
                <c:pt idx="178">
                  <c:v>5563332.7540375041</c:v>
                </c:pt>
                <c:pt idx="179">
                  <c:v>5587283.3939194512</c:v>
                </c:pt>
                <c:pt idx="180">
                  <c:v>5617668.8409113111</c:v>
                </c:pt>
                <c:pt idx="181">
                  <c:v>5652114.5895140599</c:v>
                </c:pt>
                <c:pt idx="182">
                  <c:v>5682623.3874409348</c:v>
                </c:pt>
                <c:pt idx="183">
                  <c:v>5712977.9966990426</c:v>
                </c:pt>
                <c:pt idx="184">
                  <c:v>5743620.4248055164</c:v>
                </c:pt>
                <c:pt idx="185">
                  <c:v>5770192.2720565172</c:v>
                </c:pt>
                <c:pt idx="186">
                  <c:v>5805748.1790743954</c:v>
                </c:pt>
                <c:pt idx="187">
                  <c:v>5834396.4337314712</c:v>
                </c:pt>
                <c:pt idx="188">
                  <c:v>5868975.812513819</c:v>
                </c:pt>
                <c:pt idx="189">
                  <c:v>5892864.7769282581</c:v>
                </c:pt>
                <c:pt idx="190">
                  <c:v>5921985.8768362226</c:v>
                </c:pt>
                <c:pt idx="191">
                  <c:v>5951703.1729300888</c:v>
                </c:pt>
                <c:pt idx="192">
                  <c:v>5977113.4655430391</c:v>
                </c:pt>
                <c:pt idx="193">
                  <c:v>6013265.5687468192</c:v>
                </c:pt>
                <c:pt idx="194">
                  <c:v>6040680.3140537515</c:v>
                </c:pt>
                <c:pt idx="195">
                  <c:v>6075609.1871519731</c:v>
                </c:pt>
                <c:pt idx="196">
                  <c:v>6093155.8576577595</c:v>
                </c:pt>
                <c:pt idx="197">
                  <c:v>6119840.7765991911</c:v>
                </c:pt>
                <c:pt idx="198">
                  <c:v>6145456.6541038314</c:v>
                </c:pt>
                <c:pt idx="199">
                  <c:v>6178843.6405143738</c:v>
                </c:pt>
                <c:pt idx="200">
                  <c:v>6200409.495652711</c:v>
                </c:pt>
                <c:pt idx="201">
                  <c:v>6232655.485914371</c:v>
                </c:pt>
                <c:pt idx="202">
                  <c:v>6265621.0232969476</c:v>
                </c:pt>
                <c:pt idx="203">
                  <c:v>6301639.4963211287</c:v>
                </c:pt>
                <c:pt idx="204">
                  <c:v>6331644.6112633627</c:v>
                </c:pt>
                <c:pt idx="205">
                  <c:v>6361094.6469980311</c:v>
                </c:pt>
                <c:pt idx="206">
                  <c:v>6385713.4377779728</c:v>
                </c:pt>
                <c:pt idx="207">
                  <c:v>6418504.2280026125</c:v>
                </c:pt>
                <c:pt idx="208">
                  <c:v>6451325.8559610061</c:v>
                </c:pt>
                <c:pt idx="209">
                  <c:v>6483952.1782722929</c:v>
                </c:pt>
                <c:pt idx="210">
                  <c:v>6519508.0852901712</c:v>
                </c:pt>
                <c:pt idx="211">
                  <c:v>6550602.8001583638</c:v>
                </c:pt>
                <c:pt idx="212">
                  <c:v>6581440.5339119444</c:v>
                </c:pt>
                <c:pt idx="213">
                  <c:v>6616975.8824406527</c:v>
                </c:pt>
                <c:pt idx="214">
                  <c:v>6638408.1073993901</c:v>
                </c:pt>
                <c:pt idx="215">
                  <c:v>6674334.0672223112</c:v>
                </c:pt>
                <c:pt idx="216">
                  <c:v>6708111.6649270654</c:v>
                </c:pt>
                <c:pt idx="217">
                  <c:v>6736739.3610949721</c:v>
                </c:pt>
                <c:pt idx="218">
                  <c:v>6769869.3663909016</c:v>
                </c:pt>
                <c:pt idx="219">
                  <c:v>6797150.4815182351</c:v>
                </c:pt>
                <c:pt idx="220">
                  <c:v>6831349.528250955</c:v>
                </c:pt>
                <c:pt idx="221">
                  <c:v>6859442.703700467</c:v>
                </c:pt>
                <c:pt idx="222">
                  <c:v>6891832.6033863099</c:v>
                </c:pt>
                <c:pt idx="223">
                  <c:v>6919524.8882970251</c:v>
                </c:pt>
                <c:pt idx="224">
                  <c:v>6945747.2412321521</c:v>
                </c:pt>
                <c:pt idx="225">
                  <c:v>6978609.9861688837</c:v>
                </c:pt>
                <c:pt idx="226">
                  <c:v>7004719.2674135817</c:v>
                </c:pt>
                <c:pt idx="227">
                  <c:v>7036811.0690064738</c:v>
                </c:pt>
                <c:pt idx="228">
                  <c:v>7070598.9459558129</c:v>
                </c:pt>
                <c:pt idx="229">
                  <c:v>7092894.6274596509</c:v>
                </c:pt>
                <c:pt idx="230">
                  <c:v>7123084.7688044058</c:v>
                </c:pt>
                <c:pt idx="231">
                  <c:v>7146696.1936150631</c:v>
                </c:pt>
                <c:pt idx="232">
                  <c:v>7171376.6598625118</c:v>
                </c:pt>
                <c:pt idx="233">
                  <c:v>7199243.6919311639</c:v>
                </c:pt>
                <c:pt idx="234">
                  <c:v>7226144.4750088695</c:v>
                </c:pt>
                <c:pt idx="235">
                  <c:v>7252089.2883402146</c:v>
                </c:pt>
                <c:pt idx="236">
                  <c:v>7286154.7048933366</c:v>
                </c:pt>
                <c:pt idx="237">
                  <c:v>7311112.7107445672</c:v>
                </c:pt>
                <c:pt idx="238">
                  <c:v>7343512.8896749951</c:v>
                </c:pt>
                <c:pt idx="239">
                  <c:v>7377434.3968039323</c:v>
                </c:pt>
                <c:pt idx="240">
                  <c:v>7407254.4853436444</c:v>
                </c:pt>
                <c:pt idx="241">
                  <c:v>7432572.2647553338</c:v>
                </c:pt>
                <c:pt idx="242">
                  <c:v>7464777.1380386557</c:v>
                </c:pt>
                <c:pt idx="243">
                  <c:v>7495152.3057859316</c:v>
                </c:pt>
                <c:pt idx="244">
                  <c:v>7531119.3825871907</c:v>
                </c:pt>
                <c:pt idx="245">
                  <c:v>7556056.8299492523</c:v>
                </c:pt>
                <c:pt idx="246">
                  <c:v>7588343.9371892503</c:v>
                </c:pt>
                <c:pt idx="247">
                  <c:v>7622286.0028073573</c:v>
                </c:pt>
                <c:pt idx="248">
                  <c:v>7656577.5627413383</c:v>
                </c:pt>
                <c:pt idx="249">
                  <c:v>7683457.7873298749</c:v>
                </c:pt>
                <c:pt idx="250">
                  <c:v>7715590.705901105</c:v>
                </c:pt>
                <c:pt idx="251">
                  <c:v>7746078.9453388117</c:v>
                </c:pt>
                <c:pt idx="252">
                  <c:v>7770255.7286016177</c:v>
                </c:pt>
                <c:pt idx="253">
                  <c:v>7803889.416882189</c:v>
                </c:pt>
                <c:pt idx="254">
                  <c:v>7840195.7087547369</c:v>
                </c:pt>
                <c:pt idx="255">
                  <c:v>7856735.0132912407</c:v>
                </c:pt>
                <c:pt idx="256">
                  <c:v>7865986.3334173141</c:v>
                </c:pt>
                <c:pt idx="257">
                  <c:v>7892938.5127179436</c:v>
                </c:pt>
                <c:pt idx="258">
                  <c:v>7917392.8355845325</c:v>
                </c:pt>
                <c:pt idx="259">
                  <c:v>7944581.437510605</c:v>
                </c:pt>
                <c:pt idx="260">
                  <c:v>7971050.4923157608</c:v>
                </c:pt>
                <c:pt idx="261">
                  <c:v>7995134.7623773068</c:v>
                </c:pt>
                <c:pt idx="262">
                  <c:v>8020771.1983711161</c:v>
                </c:pt>
                <c:pt idx="263">
                  <c:v>8053068.584855699</c:v>
                </c:pt>
                <c:pt idx="264">
                  <c:v>8079702.1075742077</c:v>
                </c:pt>
                <c:pt idx="265">
                  <c:v>8106931.8264786191</c:v>
                </c:pt>
                <c:pt idx="266">
                  <c:v>8129073.3193136891</c:v>
                </c:pt>
                <c:pt idx="267">
                  <c:v>8163354.6000030851</c:v>
                </c:pt>
                <c:pt idx="268">
                  <c:v>8184920.4551414223</c:v>
                </c:pt>
                <c:pt idx="269">
                  <c:v>8210022.3704168359</c:v>
                </c:pt>
                <c:pt idx="270">
                  <c:v>8243337.4021152873</c:v>
                </c:pt>
                <c:pt idx="271">
                  <c:v>8261696.1329432521</c:v>
                </c:pt>
                <c:pt idx="272">
                  <c:v>8287692.3424975192</c:v>
                </c:pt>
                <c:pt idx="273">
                  <c:v>8314623.9633089798</c:v>
                </c:pt>
                <c:pt idx="274">
                  <c:v>8335922.5580881182</c:v>
                </c:pt>
                <c:pt idx="275">
                  <c:v>8365372.5938227875</c:v>
                </c:pt>
                <c:pt idx="276">
                  <c:v>8387750.5092833014</c:v>
                </c:pt>
                <c:pt idx="277">
                  <c:v>8422268.2125981413</c:v>
                </c:pt>
                <c:pt idx="278">
                  <c:v>8449590.4447038136</c:v>
                </c:pt>
                <c:pt idx="279">
                  <c:v>8477416.3597941268</c:v>
                </c:pt>
                <c:pt idx="280">
                  <c:v>8503340.6146363039</c:v>
                </c:pt>
                <c:pt idx="281">
                  <c:v>8538660.0990287364</c:v>
                </c:pt>
                <c:pt idx="282">
                  <c:v>8572756.3533156123</c:v>
                </c:pt>
                <c:pt idx="283">
                  <c:v>8603254.8719979022</c:v>
                </c:pt>
                <c:pt idx="284">
                  <c:v>8631759.217230795</c:v>
                </c:pt>
                <c:pt idx="285">
                  <c:v>8659636.5285440311</c:v>
                </c:pt>
                <c:pt idx="286">
                  <c:v>8695459.6959211063</c:v>
                </c:pt>
                <c:pt idx="287">
                  <c:v>8723480.9166585263</c:v>
                </c:pt>
                <c:pt idx="288">
                  <c:v>8759869.4424877502</c:v>
                </c:pt>
                <c:pt idx="289">
                  <c:v>8794397.425047176</c:v>
                </c:pt>
                <c:pt idx="290">
                  <c:v>8829048.7585416138</c:v>
                </c:pt>
                <c:pt idx="291">
                  <c:v>8856545.7378052231</c:v>
                </c:pt>
                <c:pt idx="292">
                  <c:v>8892081.0863339324</c:v>
                </c:pt>
                <c:pt idx="293">
                  <c:v>8927513.6424167957</c:v>
                </c:pt>
                <c:pt idx="294">
                  <c:v>8943436.1922782268</c:v>
                </c:pt>
                <c:pt idx="295">
                  <c:v>8955606.8178663068</c:v>
                </c:pt>
                <c:pt idx="296">
                  <c:v>8985704.4460097998</c:v>
                </c:pt>
                <c:pt idx="297">
                  <c:v>9007712.3086652718</c:v>
                </c:pt>
                <c:pt idx="298">
                  <c:v>9036021.3482510578</c:v>
                </c:pt>
                <c:pt idx="299">
                  <c:v>9066221.7688403968</c:v>
                </c:pt>
                <c:pt idx="300">
                  <c:v>9089380.9068893362</c:v>
                </c:pt>
                <c:pt idx="301">
                  <c:v>9124648.9950588476</c:v>
                </c:pt>
                <c:pt idx="302">
                  <c:v>9153985.9591030851</c:v>
                </c:pt>
                <c:pt idx="303">
                  <c:v>9188997.0661579836</c:v>
                </c:pt>
                <c:pt idx="304">
                  <c:v>9217419.1774342004</c:v>
                </c:pt>
                <c:pt idx="305">
                  <c:v>9235777.9082621653</c:v>
                </c:pt>
                <c:pt idx="306">
                  <c:v>9245234.8132799286</c:v>
                </c:pt>
                <c:pt idx="307">
                  <c:v>9279495.5354801565</c:v>
                </c:pt>
                <c:pt idx="308">
                  <c:v>9307640.1071525905</c:v>
                </c:pt>
                <c:pt idx="309">
                  <c:v>9340790.670937689</c:v>
                </c:pt>
                <c:pt idx="310">
                  <c:v>9371782.5933600366</c:v>
                </c:pt>
                <c:pt idx="311">
                  <c:v>9405395.7231514379</c:v>
                </c:pt>
                <c:pt idx="312">
                  <c:v>9427722.2423890308</c:v>
                </c:pt>
                <c:pt idx="313">
                  <c:v>9461756.8212083969</c:v>
                </c:pt>
                <c:pt idx="314">
                  <c:v>9495894.1924736109</c:v>
                </c:pt>
                <c:pt idx="315">
                  <c:v>9514365.9949920047</c:v>
                </c:pt>
                <c:pt idx="316">
                  <c:v>9543507.6533891372</c:v>
                </c:pt>
                <c:pt idx="317">
                  <c:v>9578148.707638992</c:v>
                </c:pt>
                <c:pt idx="318">
                  <c:v>9608811.6942346357</c:v>
                </c:pt>
                <c:pt idx="319">
                  <c:v>9637038.4998637456</c:v>
                </c:pt>
                <c:pt idx="320">
                  <c:v>9673149.4860891886</c:v>
                </c:pt>
                <c:pt idx="321">
                  <c:v>9703781.6349510774</c:v>
                </c:pt>
                <c:pt idx="322">
                  <c:v>9739131.9570772648</c:v>
                </c:pt>
                <c:pt idx="323">
                  <c:v>9764686.1591143981</c:v>
                </c:pt>
                <c:pt idx="324">
                  <c:v>9790260.9196406994</c:v>
                </c:pt>
                <c:pt idx="325">
                  <c:v>9821787.3627814427</c:v>
                </c:pt>
                <c:pt idx="326">
                  <c:v>9856233.1113841925</c:v>
                </c:pt>
                <c:pt idx="327">
                  <c:v>9884028.1887407526</c:v>
                </c:pt>
                <c:pt idx="328">
                  <c:v>9917219.8695041891</c:v>
                </c:pt>
                <c:pt idx="329">
                  <c:v>9949722.840880461</c:v>
                </c:pt>
                <c:pt idx="330">
                  <c:v>9979727.955822695</c:v>
                </c:pt>
                <c:pt idx="331">
                  <c:v>9996000</c:v>
                </c:pt>
                <c:pt idx="332">
                  <c:v>9996000</c:v>
                </c:pt>
                <c:pt idx="333">
                  <c:v>9996000</c:v>
                </c:pt>
              </c:numCache>
            </c:numRef>
          </c:xVal>
          <c:yVal>
            <c:numRef>
              <c:f>Wafer1!$O$2:$O$335</c:f>
              <c:numCache>
                <c:formatCode>0.00E+00</c:formatCode>
                <c:ptCount val="334"/>
                <c:pt idx="0">
                  <c:v>1.12348E-6</c:v>
                </c:pt>
                <c:pt idx="1">
                  <c:v>1.1005139999999998E-6</c:v>
                </c:pt>
                <c:pt idx="2">
                  <c:v>1.0998986666666667E-6</c:v>
                </c:pt>
                <c:pt idx="3">
                  <c:v>1.0972389999999999E-6</c:v>
                </c:pt>
                <c:pt idx="4">
                  <c:v>1.0946191999999998E-6</c:v>
                </c:pt>
                <c:pt idx="5">
                  <c:v>1.0892533333333332E-6</c:v>
                </c:pt>
                <c:pt idx="6">
                  <c:v>1.0844862857142856E-6</c:v>
                </c:pt>
                <c:pt idx="7">
                  <c:v>1.082735625E-6</c:v>
                </c:pt>
                <c:pt idx="8">
                  <c:v>1.0831844444444443E-6</c:v>
                </c:pt>
                <c:pt idx="9">
                  <c:v>1.0794603E-6</c:v>
                </c:pt>
                <c:pt idx="10">
                  <c:v>1.0759594545454545E-6</c:v>
                </c:pt>
                <c:pt idx="11">
                  <c:v>1.0729947499999999E-6</c:v>
                </c:pt>
                <c:pt idx="12">
                  <c:v>1.0707244615384615E-6</c:v>
                </c:pt>
                <c:pt idx="13">
                  <c:v>1.0687688571428572E-6</c:v>
                </c:pt>
                <c:pt idx="14">
                  <c:v>1.0692450666666667E-6</c:v>
                </c:pt>
                <c:pt idx="15">
                  <c:v>1.0676732500000001E-6</c:v>
                </c:pt>
                <c:pt idx="16">
                  <c:v>1.0652054705882355E-6</c:v>
                </c:pt>
                <c:pt idx="17">
                  <c:v>1.0653681111111113E-6</c:v>
                </c:pt>
                <c:pt idx="18">
                  <c:v>1.0638297894736844E-6</c:v>
                </c:pt>
                <c:pt idx="19">
                  <c:v>1.0613502000000001E-6</c:v>
                </c:pt>
                <c:pt idx="20">
                  <c:v>1.0555180000000002E-6</c:v>
                </c:pt>
                <c:pt idx="21">
                  <c:v>1.0519109999999999E-6</c:v>
                </c:pt>
                <c:pt idx="22">
                  <c:v>1.04962765E-6</c:v>
                </c:pt>
                <c:pt idx="23">
                  <c:v>1.04694025E-6</c:v>
                </c:pt>
                <c:pt idx="24">
                  <c:v>1.04381055E-6</c:v>
                </c:pt>
                <c:pt idx="25">
                  <c:v>1.0416358500000001E-6</c:v>
                </c:pt>
                <c:pt idx="26">
                  <c:v>1.0413421999999999E-6</c:v>
                </c:pt>
                <c:pt idx="27">
                  <c:v>1.0365953114999999E-6</c:v>
                </c:pt>
                <c:pt idx="28">
                  <c:v>1.0319272958499997E-6</c:v>
                </c:pt>
                <c:pt idx="29">
                  <c:v>1.0281757442999999E-6</c:v>
                </c:pt>
                <c:pt idx="30">
                  <c:v>1.0255796494999999E-6</c:v>
                </c:pt>
                <c:pt idx="31">
                  <c:v>1.02301317685E-6</c:v>
                </c:pt>
                <c:pt idx="32">
                  <c:v>1.0201596887E-6</c:v>
                </c:pt>
                <c:pt idx="33">
                  <c:v>1.0174325548000001E-6</c:v>
                </c:pt>
                <c:pt idx="34">
                  <c:v>1.0140341048E-6</c:v>
                </c:pt>
                <c:pt idx="35">
                  <c:v>1.0129843547999998E-6</c:v>
                </c:pt>
                <c:pt idx="36">
                  <c:v>1.0119076547999998E-6</c:v>
                </c:pt>
                <c:pt idx="37">
                  <c:v>1.0086881547999999E-6</c:v>
                </c:pt>
                <c:pt idx="38">
                  <c:v>1.0066000014499999E-6</c:v>
                </c:pt>
                <c:pt idx="39">
                  <c:v>1.0051449418500001E-6</c:v>
                </c:pt>
                <c:pt idx="40">
                  <c:v>1.0034036965499999E-6</c:v>
                </c:pt>
                <c:pt idx="41">
                  <c:v>1.0016465284E-6</c:v>
                </c:pt>
                <c:pt idx="42">
                  <c:v>9.9765521234999989E-7</c:v>
                </c:pt>
                <c:pt idx="43">
                  <c:v>9.9628246234999995E-7</c:v>
                </c:pt>
                <c:pt idx="44">
                  <c:v>9.9491805749999991E-7</c:v>
                </c:pt>
                <c:pt idx="45">
                  <c:v>9.9423560749999978E-7</c:v>
                </c:pt>
                <c:pt idx="46">
                  <c:v>9.9088013804999979E-7</c:v>
                </c:pt>
                <c:pt idx="47">
                  <c:v>9.9135019904999975E-7</c:v>
                </c:pt>
                <c:pt idx="48">
                  <c:v>9.8977265210000001E-7</c:v>
                </c:pt>
                <c:pt idx="49">
                  <c:v>9.8804312004999997E-7</c:v>
                </c:pt>
                <c:pt idx="50">
                  <c:v>9.8659857530000004E-7</c:v>
                </c:pt>
                <c:pt idx="51">
                  <c:v>9.8533180265000003E-7</c:v>
                </c:pt>
                <c:pt idx="52">
                  <c:v>9.8565926620000013E-7</c:v>
                </c:pt>
                <c:pt idx="53">
                  <c:v>9.8516564930000014E-7</c:v>
                </c:pt>
                <c:pt idx="54">
                  <c:v>9.8353719115000012E-7</c:v>
                </c:pt>
                <c:pt idx="55">
                  <c:v>9.8082573980000004E-7</c:v>
                </c:pt>
                <c:pt idx="56">
                  <c:v>9.783174315000002E-7</c:v>
                </c:pt>
                <c:pt idx="57">
                  <c:v>9.7542214154999985E-7</c:v>
                </c:pt>
                <c:pt idx="58">
                  <c:v>9.7304035114999999E-7</c:v>
                </c:pt>
                <c:pt idx="59">
                  <c:v>9.7107790600000001E-7</c:v>
                </c:pt>
                <c:pt idx="60">
                  <c:v>9.6999135539999999E-7</c:v>
                </c:pt>
                <c:pt idx="61">
                  <c:v>9.7076833100000009E-7</c:v>
                </c:pt>
                <c:pt idx="62">
                  <c:v>9.7062018565000009E-7</c:v>
                </c:pt>
                <c:pt idx="63">
                  <c:v>9.6804864540000014E-7</c:v>
                </c:pt>
                <c:pt idx="64">
                  <c:v>9.6605680085000005E-7</c:v>
                </c:pt>
                <c:pt idx="65">
                  <c:v>9.650960493500002E-7</c:v>
                </c:pt>
                <c:pt idx="66">
                  <c:v>9.6367720919999994E-7</c:v>
                </c:pt>
                <c:pt idx="67">
                  <c:v>9.6201458180000008E-7</c:v>
                </c:pt>
                <c:pt idx="68">
                  <c:v>9.5971665529999986E-7</c:v>
                </c:pt>
                <c:pt idx="69">
                  <c:v>9.5980884395000007E-7</c:v>
                </c:pt>
                <c:pt idx="70">
                  <c:v>9.5914121229999985E-7</c:v>
                </c:pt>
                <c:pt idx="71">
                  <c:v>9.587224979999999E-7</c:v>
                </c:pt>
                <c:pt idx="72">
                  <c:v>9.5754152485000011E-7</c:v>
                </c:pt>
                <c:pt idx="73">
                  <c:v>9.5670488069999989E-7</c:v>
                </c:pt>
                <c:pt idx="74">
                  <c:v>9.5567270085000019E-7</c:v>
                </c:pt>
                <c:pt idx="75">
                  <c:v>9.5529449885000004E-7</c:v>
                </c:pt>
                <c:pt idx="76">
                  <c:v>9.5520929625000011E-7</c:v>
                </c:pt>
                <c:pt idx="77">
                  <c:v>9.5509586520000005E-7</c:v>
                </c:pt>
                <c:pt idx="78">
                  <c:v>9.5311129375000016E-7</c:v>
                </c:pt>
                <c:pt idx="79">
                  <c:v>9.5144543485000007E-7</c:v>
                </c:pt>
                <c:pt idx="80">
                  <c:v>9.505178952000001E-7</c:v>
                </c:pt>
                <c:pt idx="81">
                  <c:v>9.4772404685000024E-7</c:v>
                </c:pt>
                <c:pt idx="82">
                  <c:v>9.4576113275000029E-7</c:v>
                </c:pt>
                <c:pt idx="83">
                  <c:v>9.4594428795000012E-7</c:v>
                </c:pt>
                <c:pt idx="84">
                  <c:v>9.467676421000002E-7</c:v>
                </c:pt>
                <c:pt idx="85">
                  <c:v>9.443251599999999E-7</c:v>
                </c:pt>
                <c:pt idx="86">
                  <c:v>9.4367788394999995E-7</c:v>
                </c:pt>
                <c:pt idx="87">
                  <c:v>9.4457275570000019E-7</c:v>
                </c:pt>
                <c:pt idx="88">
                  <c:v>9.4712239055000021E-7</c:v>
                </c:pt>
                <c:pt idx="89">
                  <c:v>9.4825560675000023E-7</c:v>
                </c:pt>
                <c:pt idx="90">
                  <c:v>9.4818050240000007E-7</c:v>
                </c:pt>
                <c:pt idx="91">
                  <c:v>9.4885498364999995E-7</c:v>
                </c:pt>
                <c:pt idx="92">
                  <c:v>9.4798311074999992E-7</c:v>
                </c:pt>
                <c:pt idx="93">
                  <c:v>9.4710954674999993E-7</c:v>
                </c:pt>
                <c:pt idx="94">
                  <c:v>9.4644406094999987E-7</c:v>
                </c:pt>
                <c:pt idx="95">
                  <c:v>9.4517569384999999E-7</c:v>
                </c:pt>
                <c:pt idx="96">
                  <c:v>9.4353057425000008E-7</c:v>
                </c:pt>
                <c:pt idx="97">
                  <c:v>9.4223595969999994E-7</c:v>
                </c:pt>
                <c:pt idx="98">
                  <c:v>9.4262462940000015E-7</c:v>
                </c:pt>
                <c:pt idx="99">
                  <c:v>9.4312417220000029E-7</c:v>
                </c:pt>
                <c:pt idx="100">
                  <c:v>9.4267481360000013E-7</c:v>
                </c:pt>
                <c:pt idx="101">
                  <c:v>9.4213650075000014E-7</c:v>
                </c:pt>
                <c:pt idx="102">
                  <c:v>9.4056036635E-7</c:v>
                </c:pt>
                <c:pt idx="103">
                  <c:v>9.3810144509999977E-7</c:v>
                </c:pt>
                <c:pt idx="104">
                  <c:v>9.3433264399999993E-7</c:v>
                </c:pt>
                <c:pt idx="105">
                  <c:v>9.335423328999999E-7</c:v>
                </c:pt>
                <c:pt idx="106">
                  <c:v>9.3413318329999998E-7</c:v>
                </c:pt>
                <c:pt idx="107">
                  <c:v>9.3315438225E-7</c:v>
                </c:pt>
                <c:pt idx="108">
                  <c:v>9.3173755714999988E-7</c:v>
                </c:pt>
                <c:pt idx="109">
                  <c:v>9.2837062479999999E-7</c:v>
                </c:pt>
                <c:pt idx="110">
                  <c:v>9.2683484065000009E-7</c:v>
                </c:pt>
                <c:pt idx="111">
                  <c:v>9.2396563500000014E-7</c:v>
                </c:pt>
                <c:pt idx="112">
                  <c:v>9.2216272090000015E-7</c:v>
                </c:pt>
                <c:pt idx="113">
                  <c:v>9.2110132070000018E-7</c:v>
                </c:pt>
                <c:pt idx="114">
                  <c:v>9.2064315989999992E-7</c:v>
                </c:pt>
                <c:pt idx="115">
                  <c:v>9.2070468150000023E-7</c:v>
                </c:pt>
                <c:pt idx="116">
                  <c:v>9.2173272600000002E-7</c:v>
                </c:pt>
                <c:pt idx="117">
                  <c:v>9.2263162790000006E-7</c:v>
                </c:pt>
                <c:pt idx="118">
                  <c:v>9.2459192434999998E-7</c:v>
                </c:pt>
                <c:pt idx="119">
                  <c:v>9.2509164904999986E-7</c:v>
                </c:pt>
                <c:pt idx="120">
                  <c:v>9.2548934269999995E-7</c:v>
                </c:pt>
                <c:pt idx="121">
                  <c:v>9.2453308574999987E-7</c:v>
                </c:pt>
                <c:pt idx="122">
                  <c:v>9.2524328174999985E-7</c:v>
                </c:pt>
                <c:pt idx="123">
                  <c:v>9.2520921264999975E-7</c:v>
                </c:pt>
                <c:pt idx="124">
                  <c:v>9.2604988419999963E-7</c:v>
                </c:pt>
                <c:pt idx="125">
                  <c:v>9.2472394889999978E-7</c:v>
                </c:pt>
                <c:pt idx="126">
                  <c:v>9.2280232869999994E-7</c:v>
                </c:pt>
                <c:pt idx="127">
                  <c:v>9.2135037155000014E-7</c:v>
                </c:pt>
                <c:pt idx="128">
                  <c:v>9.2220641354999999E-7</c:v>
                </c:pt>
                <c:pt idx="129">
                  <c:v>9.2524230690000013E-7</c:v>
                </c:pt>
                <c:pt idx="130">
                  <c:v>9.2655307070000006E-7</c:v>
                </c:pt>
                <c:pt idx="131">
                  <c:v>9.2744430445000001E-7</c:v>
                </c:pt>
                <c:pt idx="132">
                  <c:v>9.2748373960000013E-7</c:v>
                </c:pt>
                <c:pt idx="133">
                  <c:v>9.2624887884999998E-7</c:v>
                </c:pt>
                <c:pt idx="134">
                  <c:v>9.2398617255000008E-7</c:v>
                </c:pt>
                <c:pt idx="135">
                  <c:v>9.227185757E-7</c:v>
                </c:pt>
                <c:pt idx="136">
                  <c:v>9.2054350204999989E-7</c:v>
                </c:pt>
                <c:pt idx="137">
                  <c:v>9.1899294149999987E-7</c:v>
                </c:pt>
                <c:pt idx="138">
                  <c:v>9.1671508929999984E-7</c:v>
                </c:pt>
                <c:pt idx="139">
                  <c:v>9.1553349934999987E-7</c:v>
                </c:pt>
                <c:pt idx="140">
                  <c:v>9.1485339055000002E-7</c:v>
                </c:pt>
                <c:pt idx="141">
                  <c:v>9.171445868000001E-7</c:v>
                </c:pt>
                <c:pt idx="142">
                  <c:v>9.1913878465000005E-7</c:v>
                </c:pt>
                <c:pt idx="143">
                  <c:v>9.1997661970000007E-7</c:v>
                </c:pt>
                <c:pt idx="144">
                  <c:v>9.2072055510000013E-7</c:v>
                </c:pt>
                <c:pt idx="145">
                  <c:v>9.2208439640000005E-7</c:v>
                </c:pt>
                <c:pt idx="146">
                  <c:v>9.2188869305000012E-7</c:v>
                </c:pt>
                <c:pt idx="147">
                  <c:v>9.2223697840000001E-7</c:v>
                </c:pt>
                <c:pt idx="148">
                  <c:v>9.206664117999998E-7</c:v>
                </c:pt>
                <c:pt idx="149">
                  <c:v>9.1921174319999989E-7</c:v>
                </c:pt>
                <c:pt idx="150">
                  <c:v>9.1825799304999987E-7</c:v>
                </c:pt>
                <c:pt idx="151">
                  <c:v>9.1792503269999998E-7</c:v>
                </c:pt>
                <c:pt idx="152">
                  <c:v>9.1825746155000011E-7</c:v>
                </c:pt>
                <c:pt idx="153">
                  <c:v>9.1950591069999998E-7</c:v>
                </c:pt>
                <c:pt idx="154">
                  <c:v>9.2020729029999998E-7</c:v>
                </c:pt>
                <c:pt idx="155">
                  <c:v>9.1968506979999986E-7</c:v>
                </c:pt>
                <c:pt idx="156">
                  <c:v>9.2013621044999985E-7</c:v>
                </c:pt>
                <c:pt idx="157">
                  <c:v>9.2011565019999994E-7</c:v>
                </c:pt>
                <c:pt idx="158">
                  <c:v>9.2018587169999977E-7</c:v>
                </c:pt>
                <c:pt idx="159">
                  <c:v>9.2193105844999983E-7</c:v>
                </c:pt>
                <c:pt idx="160">
                  <c:v>9.2266699885E-7</c:v>
                </c:pt>
                <c:pt idx="161">
                  <c:v>9.2204729470000005E-7</c:v>
                </c:pt>
                <c:pt idx="162">
                  <c:v>9.2056999110000009E-7</c:v>
                </c:pt>
                <c:pt idx="163">
                  <c:v>9.1850223215000013E-7</c:v>
                </c:pt>
                <c:pt idx="164">
                  <c:v>9.1655104200000011E-7</c:v>
                </c:pt>
                <c:pt idx="165">
                  <c:v>9.1542111135000003E-7</c:v>
                </c:pt>
                <c:pt idx="166">
                  <c:v>9.1548137960000009E-7</c:v>
                </c:pt>
                <c:pt idx="167">
                  <c:v>9.1443467055000016E-7</c:v>
                </c:pt>
                <c:pt idx="168">
                  <c:v>9.1542474080000019E-7</c:v>
                </c:pt>
                <c:pt idx="169">
                  <c:v>9.1644946280000005E-7</c:v>
                </c:pt>
                <c:pt idx="170">
                  <c:v>9.1645874249999993E-7</c:v>
                </c:pt>
                <c:pt idx="171">
                  <c:v>9.1469138399999998E-7</c:v>
                </c:pt>
                <c:pt idx="172">
                  <c:v>9.1258892494999987E-7</c:v>
                </c:pt>
                <c:pt idx="173">
                  <c:v>9.1135988500000004E-7</c:v>
                </c:pt>
                <c:pt idx="174">
                  <c:v>9.116890027E-7</c:v>
                </c:pt>
                <c:pt idx="175">
                  <c:v>9.1376985839999995E-7</c:v>
                </c:pt>
                <c:pt idx="176">
                  <c:v>9.1550450640000009E-7</c:v>
                </c:pt>
                <c:pt idx="177">
                  <c:v>9.1670701185000007E-7</c:v>
                </c:pt>
                <c:pt idx="178">
                  <c:v>9.1839569054999999E-7</c:v>
                </c:pt>
                <c:pt idx="179">
                  <c:v>9.1853434584999994E-7</c:v>
                </c:pt>
                <c:pt idx="180">
                  <c:v>9.1843715494999992E-7</c:v>
                </c:pt>
                <c:pt idx="181">
                  <c:v>9.1758825819999992E-7</c:v>
                </c:pt>
                <c:pt idx="182">
                  <c:v>9.1726970200000009E-7</c:v>
                </c:pt>
                <c:pt idx="183">
                  <c:v>9.1840008170000004E-7</c:v>
                </c:pt>
                <c:pt idx="184">
                  <c:v>9.198606222E-7</c:v>
                </c:pt>
                <c:pt idx="185">
                  <c:v>9.2072543230000008E-7</c:v>
                </c:pt>
                <c:pt idx="186">
                  <c:v>9.2122117224999998E-7</c:v>
                </c:pt>
                <c:pt idx="187">
                  <c:v>9.2195229799999999E-7</c:v>
                </c:pt>
                <c:pt idx="188">
                  <c:v>9.2048683770000001E-7</c:v>
                </c:pt>
                <c:pt idx="189">
                  <c:v>9.1879113600000013E-7</c:v>
                </c:pt>
                <c:pt idx="190">
                  <c:v>9.1646991225000013E-7</c:v>
                </c:pt>
                <c:pt idx="191">
                  <c:v>9.1635840250000006E-7</c:v>
                </c:pt>
                <c:pt idx="192">
                  <c:v>9.161861726500001E-7</c:v>
                </c:pt>
                <c:pt idx="193">
                  <c:v>9.161065321500002E-7</c:v>
                </c:pt>
                <c:pt idx="194">
                  <c:v>9.1566251115000004E-7</c:v>
                </c:pt>
                <c:pt idx="195">
                  <c:v>9.1351225535000006E-7</c:v>
                </c:pt>
                <c:pt idx="196">
                  <c:v>9.1255425045000003E-7</c:v>
                </c:pt>
                <c:pt idx="197">
                  <c:v>9.1247734414999982E-7</c:v>
                </c:pt>
                <c:pt idx="198">
                  <c:v>9.1228390599999989E-7</c:v>
                </c:pt>
                <c:pt idx="199">
                  <c:v>9.1112725614999993E-7</c:v>
                </c:pt>
                <c:pt idx="200">
                  <c:v>9.1059669675000013E-7</c:v>
                </c:pt>
                <c:pt idx="201">
                  <c:v>9.1076008179999992E-7</c:v>
                </c:pt>
                <c:pt idx="202">
                  <c:v>9.1017042795000004E-7</c:v>
                </c:pt>
                <c:pt idx="203">
                  <c:v>9.0884006174999996E-7</c:v>
                </c:pt>
                <c:pt idx="204">
                  <c:v>9.0703707945000012E-7</c:v>
                </c:pt>
                <c:pt idx="205">
                  <c:v>9.0523685405000014E-7</c:v>
                </c:pt>
                <c:pt idx="206">
                  <c:v>9.0394891579999999E-7</c:v>
                </c:pt>
                <c:pt idx="207">
                  <c:v>9.0283989500000015E-7</c:v>
                </c:pt>
                <c:pt idx="208">
                  <c:v>9.0205372495000014E-7</c:v>
                </c:pt>
                <c:pt idx="209">
                  <c:v>9.0223926185000003E-7</c:v>
                </c:pt>
                <c:pt idx="210">
                  <c:v>9.0481023565000003E-7</c:v>
                </c:pt>
                <c:pt idx="211">
                  <c:v>9.0684820864999996E-7</c:v>
                </c:pt>
                <c:pt idx="212">
                  <c:v>9.0903852200000008E-7</c:v>
                </c:pt>
                <c:pt idx="213">
                  <c:v>9.1015440380000003E-7</c:v>
                </c:pt>
                <c:pt idx="214">
                  <c:v>9.0971358874999993E-7</c:v>
                </c:pt>
                <c:pt idx="215">
                  <c:v>9.0939286964999995E-7</c:v>
                </c:pt>
                <c:pt idx="216">
                  <c:v>9.0733446144999975E-7</c:v>
                </c:pt>
                <c:pt idx="217">
                  <c:v>9.0534879294999986E-7</c:v>
                </c:pt>
                <c:pt idx="218">
                  <c:v>9.0341539199999983E-7</c:v>
                </c:pt>
                <c:pt idx="219">
                  <c:v>9.0255961144999988E-7</c:v>
                </c:pt>
                <c:pt idx="220">
                  <c:v>9.0227622994999984E-7</c:v>
                </c:pt>
                <c:pt idx="221">
                  <c:v>9.0343011154999984E-7</c:v>
                </c:pt>
                <c:pt idx="222">
                  <c:v>9.0421597749999973E-7</c:v>
                </c:pt>
                <c:pt idx="223">
                  <c:v>9.0624291714999983E-7</c:v>
                </c:pt>
                <c:pt idx="224">
                  <c:v>9.082735374499999E-7</c:v>
                </c:pt>
                <c:pt idx="225">
                  <c:v>9.1041671340000004E-7</c:v>
                </c:pt>
                <c:pt idx="226">
                  <c:v>9.1037293259999998E-7</c:v>
                </c:pt>
                <c:pt idx="227">
                  <c:v>9.1052048675000002E-7</c:v>
                </c:pt>
                <c:pt idx="228">
                  <c:v>9.1059225440000006E-7</c:v>
                </c:pt>
                <c:pt idx="229">
                  <c:v>9.0998107965000011E-7</c:v>
                </c:pt>
                <c:pt idx="230">
                  <c:v>9.1059586680000023E-7</c:v>
                </c:pt>
                <c:pt idx="231">
                  <c:v>9.1070053825000004E-7</c:v>
                </c:pt>
                <c:pt idx="232">
                  <c:v>9.1078011334999994E-7</c:v>
                </c:pt>
                <c:pt idx="233">
                  <c:v>9.1040035670000001E-7</c:v>
                </c:pt>
                <c:pt idx="234">
                  <c:v>9.1069045139999988E-7</c:v>
                </c:pt>
                <c:pt idx="235">
                  <c:v>9.1045080805000011E-7</c:v>
                </c:pt>
                <c:pt idx="236">
                  <c:v>9.1157922095000006E-7</c:v>
                </c:pt>
                <c:pt idx="237">
                  <c:v>9.1316360050000026E-7</c:v>
                </c:pt>
                <c:pt idx="238">
                  <c:v>9.1385493580000012E-7</c:v>
                </c:pt>
                <c:pt idx="239">
                  <c:v>9.1587015440000002E-7</c:v>
                </c:pt>
                <c:pt idx="240">
                  <c:v>9.1744812484999997E-7</c:v>
                </c:pt>
                <c:pt idx="241">
                  <c:v>9.1755636890000006E-7</c:v>
                </c:pt>
                <c:pt idx="242">
                  <c:v>9.1787689189999989E-7</c:v>
                </c:pt>
                <c:pt idx="243">
                  <c:v>9.1789213164999982E-7</c:v>
                </c:pt>
                <c:pt idx="244">
                  <c:v>9.1760695674999976E-7</c:v>
                </c:pt>
                <c:pt idx="245">
                  <c:v>9.1572852905000016E-7</c:v>
                </c:pt>
                <c:pt idx="246">
                  <c:v>9.1522436484999991E-7</c:v>
                </c:pt>
                <c:pt idx="247">
                  <c:v>9.1428195495000002E-7</c:v>
                </c:pt>
                <c:pt idx="248">
                  <c:v>9.1447025730000011E-7</c:v>
                </c:pt>
                <c:pt idx="249">
                  <c:v>9.160064421999999E-7</c:v>
                </c:pt>
                <c:pt idx="250">
                  <c:v>9.1650775569999999E-7</c:v>
                </c:pt>
                <c:pt idx="251">
                  <c:v>9.1661522384999999E-7</c:v>
                </c:pt>
                <c:pt idx="252">
                  <c:v>9.1712516049999982E-7</c:v>
                </c:pt>
                <c:pt idx="253">
                  <c:v>9.179554325E-7</c:v>
                </c:pt>
                <c:pt idx="254">
                  <c:v>9.1943992115000023E-7</c:v>
                </c:pt>
                <c:pt idx="255">
                  <c:v>9.2103806535000012E-7</c:v>
                </c:pt>
                <c:pt idx="256">
                  <c:v>9.2189369524999999E-7</c:v>
                </c:pt>
                <c:pt idx="257">
                  <c:v>9.2117386429999993E-7</c:v>
                </c:pt>
                <c:pt idx="258">
                  <c:v>9.2021614364999996E-7</c:v>
                </c:pt>
                <c:pt idx="259">
                  <c:v>9.1760219049999986E-7</c:v>
                </c:pt>
                <c:pt idx="260">
                  <c:v>9.1549811999999992E-7</c:v>
                </c:pt>
                <c:pt idx="261">
                  <c:v>9.1481080350000008E-7</c:v>
                </c:pt>
                <c:pt idx="262">
                  <c:v>9.1560640385000011E-7</c:v>
                </c:pt>
                <c:pt idx="263">
                  <c:v>9.1609188075000022E-7</c:v>
                </c:pt>
                <c:pt idx="264">
                  <c:v>9.1674685620000013E-7</c:v>
                </c:pt>
                <c:pt idx="265">
                  <c:v>9.1915412385000005E-7</c:v>
                </c:pt>
                <c:pt idx="266">
                  <c:v>9.2153713354999999E-7</c:v>
                </c:pt>
                <c:pt idx="267">
                  <c:v>9.2372009419999992E-7</c:v>
                </c:pt>
                <c:pt idx="268">
                  <c:v>9.2497155894999996E-7</c:v>
                </c:pt>
                <c:pt idx="269">
                  <c:v>9.2454447725000006E-7</c:v>
                </c:pt>
                <c:pt idx="270">
                  <c:v>9.2233035219999997E-7</c:v>
                </c:pt>
                <c:pt idx="271">
                  <c:v>9.2023789479999977E-7</c:v>
                </c:pt>
                <c:pt idx="272">
                  <c:v>9.1759876854999997E-7</c:v>
                </c:pt>
                <c:pt idx="273">
                  <c:v>9.1538209689999984E-7</c:v>
                </c:pt>
                <c:pt idx="274">
                  <c:v>9.143564426499998E-7</c:v>
                </c:pt>
                <c:pt idx="275">
                  <c:v>9.1541759845000007E-7</c:v>
                </c:pt>
                <c:pt idx="276">
                  <c:v>9.1679233379999984E-7</c:v>
                </c:pt>
                <c:pt idx="277">
                  <c:v>9.1839760330000007E-7</c:v>
                </c:pt>
                <c:pt idx="278">
                  <c:v>9.1989063835000005E-7</c:v>
                </c:pt>
                <c:pt idx="279">
                  <c:v>9.2157112875000011E-7</c:v>
                </c:pt>
                <c:pt idx="280">
                  <c:v>9.2261309985000026E-7</c:v>
                </c:pt>
                <c:pt idx="281">
                  <c:v>9.2234710675000028E-7</c:v>
                </c:pt>
                <c:pt idx="282">
                  <c:v>9.1941485605000029E-7</c:v>
                </c:pt>
                <c:pt idx="283">
                  <c:v>9.1809595515000031E-7</c:v>
                </c:pt>
                <c:pt idx="284">
                  <c:v>9.1793576470000027E-7</c:v>
                </c:pt>
                <c:pt idx="285">
                  <c:v>9.1821073334999997E-7</c:v>
                </c:pt>
                <c:pt idx="286">
                  <c:v>9.1917803214999996E-7</c:v>
                </c:pt>
                <c:pt idx="287">
                  <c:v>9.1959138614999994E-7</c:v>
                </c:pt>
                <c:pt idx="288">
                  <c:v>9.1945345554999986E-7</c:v>
                </c:pt>
                <c:pt idx="289">
                  <c:v>9.183399014999998E-7</c:v>
                </c:pt>
                <c:pt idx="290">
                  <c:v>9.1888724674999972E-7</c:v>
                </c:pt>
                <c:pt idx="291">
                  <c:v>9.1976532409999972E-7</c:v>
                </c:pt>
                <c:pt idx="292">
                  <c:v>9.2041610450000004E-7</c:v>
                </c:pt>
                <c:pt idx="293">
                  <c:v>9.2200335464999997E-7</c:v>
                </c:pt>
                <c:pt idx="294">
                  <c:v>9.2238809650000002E-7</c:v>
                </c:pt>
                <c:pt idx="295">
                  <c:v>9.2104123999999983E-7</c:v>
                </c:pt>
                <c:pt idx="296">
                  <c:v>9.2096484530000002E-7</c:v>
                </c:pt>
                <c:pt idx="297">
                  <c:v>9.2050429995000001E-7</c:v>
                </c:pt>
                <c:pt idx="298">
                  <c:v>9.1929819630000007E-7</c:v>
                </c:pt>
                <c:pt idx="299">
                  <c:v>9.1811794504999996E-7</c:v>
                </c:pt>
                <c:pt idx="300">
                  <c:v>9.1794069589999988E-7</c:v>
                </c:pt>
                <c:pt idx="301">
                  <c:v>9.1920318539999991E-7</c:v>
                </c:pt>
                <c:pt idx="302">
                  <c:v>9.221778952999998E-7</c:v>
                </c:pt>
                <c:pt idx="303">
                  <c:v>9.2376728559999988E-7</c:v>
                </c:pt>
                <c:pt idx="304">
                  <c:v>9.2386139555000009E-7</c:v>
                </c:pt>
                <c:pt idx="305">
                  <c:v>9.2323627425000006E-7</c:v>
                </c:pt>
                <c:pt idx="306">
                  <c:v>9.2196385420000013E-7</c:v>
                </c:pt>
                <c:pt idx="307">
                  <c:v>9.2148775644999995E-7</c:v>
                </c:pt>
                <c:pt idx="308">
                  <c:v>9.2116595734999998E-7</c:v>
                </c:pt>
                <c:pt idx="309">
                  <c:v>9.2134932285000005E-7</c:v>
                </c:pt>
                <c:pt idx="310">
                  <c:v>9.2025732954999999E-7</c:v>
                </c:pt>
                <c:pt idx="311">
                  <c:v>9.2006744694999992E-7</c:v>
                </c:pt>
                <c:pt idx="312">
                  <c:v>9.2082809144999989E-7</c:v>
                </c:pt>
                <c:pt idx="313">
                  <c:v>9.2080401829999991E-7</c:v>
                </c:pt>
                <c:pt idx="314">
                  <c:v>9.2290790125000014E-7</c:v>
                </c:pt>
                <c:pt idx="315">
                  <c:v>9.2459347060000006E-7</c:v>
                </c:pt>
                <c:pt idx="316">
                  <c:v>9.2379588635E-7</c:v>
                </c:pt>
                <c:pt idx="317">
                  <c:v>9.2302668685000002E-7</c:v>
                </c:pt>
                <c:pt idx="318">
                  <c:v>9.2286864225000003E-7</c:v>
                </c:pt>
                <c:pt idx="319">
                  <c:v>9.2292473815000005E-7</c:v>
                </c:pt>
                <c:pt idx="320">
                  <c:v>9.2240745739999987E-7</c:v>
                </c:pt>
                <c:pt idx="321">
                  <c:v>9.2073796334999983E-7</c:v>
                </c:pt>
                <c:pt idx="322">
                  <c:v>9.1993564409999996E-7</c:v>
                </c:pt>
                <c:pt idx="323">
                  <c:v>9.1837798944999986E-7</c:v>
                </c:pt>
                <c:pt idx="324">
                  <c:v>9.1756897119999994E-7</c:v>
                </c:pt>
                <c:pt idx="325">
                  <c:v>9.1685584210000005E-7</c:v>
                </c:pt>
                <c:pt idx="326">
                  <c:v>9.1659426290000001E-7</c:v>
                </c:pt>
                <c:pt idx="327">
                  <c:v>9.1796795234999988E-7</c:v>
                </c:pt>
                <c:pt idx="328">
                  <c:v>9.1931154605000002E-7</c:v>
                </c:pt>
                <c:pt idx="329">
                  <c:v>9.2141766009999995E-7</c:v>
                </c:pt>
                <c:pt idx="330">
                  <c:v>9.2402909504999998E-7</c:v>
                </c:pt>
                <c:pt idx="331">
                  <c:v>9.2574632339999997E-7</c:v>
                </c:pt>
                <c:pt idx="332">
                  <c:v>9.2647204335000001E-7</c:v>
                </c:pt>
                <c:pt idx="333">
                  <c:v>9.2673661820000016E-7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7B-4E9C-88F1-0C9F0CB07CCC}"/>
            </c:ext>
          </c:extLst>
        </c:ser>
        <c:ser>
          <c:idx val="4"/>
          <c:order val="4"/>
          <c:tx>
            <c:strRef>
              <c:f>GRAPH!$T$32</c:f>
              <c:strCache>
                <c:ptCount val="1"/>
                <c:pt idx="0">
                  <c:v>IGS__R141-2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Wafer1!$Q$2:$Q$349</c:f>
              <c:numCache>
                <c:formatCode>0.00E+00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710.48797990302614</c:v>
                </c:pt>
                <c:pt idx="3">
                  <c:v>33660.655163811483</c:v>
                </c:pt>
                <c:pt idx="4">
                  <c:v>58785.157641541678</c:v>
                </c:pt>
                <c:pt idx="5">
                  <c:v>92476.703587088079</c:v>
                </c:pt>
                <c:pt idx="6">
                  <c:v>126672.79896763807</c:v>
                </c:pt>
                <c:pt idx="7">
                  <c:v>157182.59439448832</c:v>
                </c:pt>
                <c:pt idx="8">
                  <c:v>192799.66573484437</c:v>
                </c:pt>
                <c:pt idx="9">
                  <c:v>214484.99451275411</c:v>
                </c:pt>
                <c:pt idx="10">
                  <c:v>242286.69807417688</c:v>
                </c:pt>
                <c:pt idx="11">
                  <c:v>270912.15581519733</c:v>
                </c:pt>
                <c:pt idx="12">
                  <c:v>300351.07080857054</c:v>
                </c:pt>
                <c:pt idx="13">
                  <c:v>326845.06460988196</c:v>
                </c:pt>
                <c:pt idx="14">
                  <c:v>361864.91417002963</c:v>
                </c:pt>
                <c:pt idx="15">
                  <c:v>376115.86147707008</c:v>
                </c:pt>
                <c:pt idx="16">
                  <c:v>383179.55356712046</c:v>
                </c:pt>
                <c:pt idx="17">
                  <c:v>409725.03200465668</c:v>
                </c:pt>
                <c:pt idx="18">
                  <c:v>442047.08662662189</c:v>
                </c:pt>
                <c:pt idx="19">
                  <c:v>477499.4071310584</c:v>
                </c:pt>
                <c:pt idx="20">
                  <c:v>514187.35890489147</c:v>
                </c:pt>
                <c:pt idx="21">
                  <c:v>550844.4198969896</c:v>
                </c:pt>
                <c:pt idx="22">
                  <c:v>583846.07171712292</c:v>
                </c:pt>
                <c:pt idx="23">
                  <c:v>619648.48774788843</c:v>
                </c:pt>
                <c:pt idx="24">
                  <c:v>650178.87702922861</c:v>
                </c:pt>
                <c:pt idx="25">
                  <c:v>677022.96635686909</c:v>
                </c:pt>
                <c:pt idx="26">
                  <c:v>711641.23575446289</c:v>
                </c:pt>
                <c:pt idx="27">
                  <c:v>742078.95269059832</c:v>
                </c:pt>
                <c:pt idx="28">
                  <c:v>771157.47523039754</c:v>
                </c:pt>
                <c:pt idx="29">
                  <c:v>807649.7853865762</c:v>
                </c:pt>
                <c:pt idx="30">
                  <c:v>843194.77823621745</c:v>
                </c:pt>
                <c:pt idx="31">
                  <c:v>856549.89287294529</c:v>
                </c:pt>
                <c:pt idx="32">
                  <c:v>869081.25333007553</c:v>
                </c:pt>
                <c:pt idx="33">
                  <c:v>883115.96516497154</c:v>
                </c:pt>
                <c:pt idx="34">
                  <c:v>910011.53912883683</c:v>
                </c:pt>
                <c:pt idx="35">
                  <c:v>941437.76108048949</c:v>
                </c:pt>
                <c:pt idx="36">
                  <c:v>972040.22885254445</c:v>
                </c:pt>
                <c:pt idx="37">
                  <c:v>1001674.7854635721</c:v>
                </c:pt>
                <c:pt idx="38">
                  <c:v>1035901.771625857</c:v>
                </c:pt>
                <c:pt idx="39">
                  <c:v>1068357.6863020069</c:v>
                </c:pt>
                <c:pt idx="40">
                  <c:v>1101400.5258311201</c:v>
                </c:pt>
                <c:pt idx="41">
                  <c:v>1130911.5193152081</c:v>
                </c:pt>
                <c:pt idx="42">
                  <c:v>1140333.2077443569</c:v>
                </c:pt>
                <c:pt idx="43">
                  <c:v>1152205.5648578089</c:v>
                </c:pt>
                <c:pt idx="44">
                  <c:v>1167455.3141076115</c:v>
                </c:pt>
                <c:pt idx="45">
                  <c:v>1195473.2531411787</c:v>
                </c:pt>
                <c:pt idx="46">
                  <c:v>1231244.7783902092</c:v>
                </c:pt>
                <c:pt idx="47">
                  <c:v>1262691.5941963519</c:v>
                </c:pt>
                <c:pt idx="48">
                  <c:v>1289422.4173242976</c:v>
                </c:pt>
                <c:pt idx="49">
                  <c:v>1310737.0567213884</c:v>
                </c:pt>
                <c:pt idx="50">
                  <c:v>1338754.9957549556</c:v>
                </c:pt>
                <c:pt idx="51">
                  <c:v>1369408.9481632356</c:v>
                </c:pt>
                <c:pt idx="52">
                  <c:v>1403388.808071641</c:v>
                </c:pt>
                <c:pt idx="53">
                  <c:v>1440622.4969894576</c:v>
                </c:pt>
                <c:pt idx="54">
                  <c:v>1475549.6742044005</c:v>
                </c:pt>
                <c:pt idx="55">
                  <c:v>1501302.2892440739</c:v>
                </c:pt>
                <c:pt idx="56">
                  <c:v>1509982.5989115848</c:v>
                </c:pt>
                <c:pt idx="57">
                  <c:v>1542768.0152595739</c:v>
                </c:pt>
                <c:pt idx="58">
                  <c:v>1576974.4075673688</c:v>
                </c:pt>
                <c:pt idx="59">
                  <c:v>1591740.2012366578</c:v>
                </c:pt>
                <c:pt idx="60">
                  <c:v>1616792.6252236732</c:v>
                </c:pt>
                <c:pt idx="61">
                  <c:v>1637056.9780417769</c:v>
                </c:pt>
                <c:pt idx="62">
                  <c:v>1672179.7968743744</c:v>
                </c:pt>
                <c:pt idx="63">
                  <c:v>1690971.6890964471</c:v>
                </c:pt>
                <c:pt idx="64">
                  <c:v>1720472.3856532902</c:v>
                </c:pt>
                <c:pt idx="65">
                  <c:v>1751970.6860956575</c:v>
                </c:pt>
                <c:pt idx="66">
                  <c:v>1784910.5563523211</c:v>
                </c:pt>
                <c:pt idx="67">
                  <c:v>1820568.815401657</c:v>
                </c:pt>
                <c:pt idx="68">
                  <c:v>1854991.4431815965</c:v>
                </c:pt>
                <c:pt idx="69">
                  <c:v>1884399.4673932346</c:v>
                </c:pt>
                <c:pt idx="70">
                  <c:v>1915980.143253562</c:v>
                </c:pt>
                <c:pt idx="71">
                  <c:v>1935019.1617295141</c:v>
                </c:pt>
                <c:pt idx="72">
                  <c:v>1949826.1431077828</c:v>
                </c:pt>
                <c:pt idx="73">
                  <c:v>1981952.5561120936</c:v>
                </c:pt>
                <c:pt idx="74">
                  <c:v>2017250.4227078557</c:v>
                </c:pt>
                <c:pt idx="75">
                  <c:v>2034806.6836605319</c:v>
                </c:pt>
                <c:pt idx="76">
                  <c:v>2066716.8611926981</c:v>
                </c:pt>
                <c:pt idx="77">
                  <c:v>2095424.6943516785</c:v>
                </c:pt>
                <c:pt idx="78">
                  <c:v>2124029.5582382088</c:v>
                </c:pt>
                <c:pt idx="79">
                  <c:v>2142069.7747713989</c:v>
                </c:pt>
                <c:pt idx="80">
                  <c:v>2175823.1022804151</c:v>
                </c:pt>
                <c:pt idx="81">
                  <c:v>2200412.1645414066</c:v>
                </c:pt>
                <c:pt idx="82">
                  <c:v>2213715.7945419098</c:v>
                </c:pt>
                <c:pt idx="83">
                  <c:v>2227266.5507962923</c:v>
                </c:pt>
                <c:pt idx="84">
                  <c:v>2245069.9380028476</c:v>
                </c:pt>
                <c:pt idx="85">
                  <c:v>2273592.4264714182</c:v>
                </c:pt>
                <c:pt idx="86">
                  <c:v>2309291.8732297341</c:v>
                </c:pt>
                <c:pt idx="87">
                  <c:v>2316376.1591742747</c:v>
                </c:pt>
                <c:pt idx="88">
                  <c:v>2333747.0754365413</c:v>
                </c:pt>
                <c:pt idx="89">
                  <c:v>2355700.1243228205</c:v>
                </c:pt>
                <c:pt idx="90">
                  <c:v>2390750.8646647031</c:v>
                </c:pt>
                <c:pt idx="91">
                  <c:v>2412178.7702614884</c:v>
                </c:pt>
                <c:pt idx="92">
                  <c:v>2431609.0719727492</c:v>
                </c:pt>
                <c:pt idx="93">
                  <c:v>2452923.71136984</c:v>
                </c:pt>
                <c:pt idx="94">
                  <c:v>2475546.0605270425</c:v>
                </c:pt>
                <c:pt idx="95">
                  <c:v>2493699.5432599271</c:v>
                </c:pt>
                <c:pt idx="96">
                  <c:v>2499702.6518437453</c:v>
                </c:pt>
                <c:pt idx="97">
                  <c:v>2526330.5056992411</c:v>
                </c:pt>
                <c:pt idx="98">
                  <c:v>2550991.6464509475</c:v>
                </c:pt>
                <c:pt idx="99">
                  <c:v>2565479.4230846227</c:v>
                </c:pt>
                <c:pt idx="100">
                  <c:v>2571214.8115600715</c:v>
                </c:pt>
                <c:pt idx="101">
                  <c:v>2584642.0046875142</c:v>
                </c:pt>
                <c:pt idx="102">
                  <c:v>2617880.4858342819</c:v>
                </c:pt>
                <c:pt idx="103">
                  <c:v>2651613.219488808</c:v>
                </c:pt>
                <c:pt idx="104">
                  <c:v>2682205.390333618</c:v>
                </c:pt>
                <c:pt idx="105">
                  <c:v>2715176.1513720164</c:v>
                </c:pt>
                <c:pt idx="106">
                  <c:v>2746890.6872865283</c:v>
                </c:pt>
                <c:pt idx="107">
                  <c:v>2765178.0300735976</c:v>
                </c:pt>
                <c:pt idx="108">
                  <c:v>2791177.7713671504</c:v>
                </c:pt>
                <c:pt idx="109">
                  <c:v>2806427.5206169533</c:v>
                </c:pt>
                <c:pt idx="110">
                  <c:v>2842137.264302514</c:v>
                </c:pt>
                <c:pt idx="111">
                  <c:v>2868497.3980496405</c:v>
                </c:pt>
                <c:pt idx="112">
                  <c:v>2881893.7003953485</c:v>
                </c:pt>
                <c:pt idx="113">
                  <c:v>2916409.0005204924</c:v>
                </c:pt>
                <c:pt idx="114">
                  <c:v>2921928.1535237972</c:v>
                </c:pt>
                <c:pt idx="115">
                  <c:v>2950430.0481378781</c:v>
                </c:pt>
                <c:pt idx="116">
                  <c:v>2978283.2363355258</c:v>
                </c:pt>
                <c:pt idx="117">
                  <c:v>3006249.6907328679</c:v>
                </c:pt>
                <c:pt idx="118">
                  <c:v>3035050.1962370528</c:v>
                </c:pt>
                <c:pt idx="119">
                  <c:v>3062553.2889083717</c:v>
                </c:pt>
                <c:pt idx="120">
                  <c:v>3088810.4533830485</c:v>
                </c:pt>
                <c:pt idx="121">
                  <c:v>3121132.5080050137</c:v>
                </c:pt>
                <c:pt idx="122">
                  <c:v>3139934.6971543315</c:v>
                </c:pt>
                <c:pt idx="123">
                  <c:v>3158222.0399414008</c:v>
                </c:pt>
                <c:pt idx="124">
                  <c:v>3186064.9312118036</c:v>
                </c:pt>
                <c:pt idx="125">
                  <c:v>3199214.107303632</c:v>
                </c:pt>
                <c:pt idx="126">
                  <c:v>3210571.6180548351</c:v>
                </c:pt>
                <c:pt idx="127">
                  <c:v>3221661.4086976694</c:v>
                </c:pt>
                <c:pt idx="128">
                  <c:v>3231258.1448899829</c:v>
                </c:pt>
                <c:pt idx="129">
                  <c:v>3237199.4719103314</c:v>
                </c:pt>
                <c:pt idx="130">
                  <c:v>3268337.3798991246</c:v>
                </c:pt>
                <c:pt idx="131">
                  <c:v>3291793.7801631698</c:v>
                </c:pt>
                <c:pt idx="132">
                  <c:v>3323673.066913601</c:v>
                </c:pt>
                <c:pt idx="133">
                  <c:v>3356633.5310247545</c:v>
                </c:pt>
                <c:pt idx="134">
                  <c:v>3366219.9702898227</c:v>
                </c:pt>
                <c:pt idx="135">
                  <c:v>3389336.5719547835</c:v>
                </c:pt>
                <c:pt idx="136">
                  <c:v>3413853.5557250604</c:v>
                </c:pt>
                <c:pt idx="137">
                  <c:v>3445609.2793485522</c:v>
                </c:pt>
                <c:pt idx="138">
                  <c:v>3480103.9856192064</c:v>
                </c:pt>
                <c:pt idx="139">
                  <c:v>3513280.685202504</c:v>
                </c:pt>
                <c:pt idx="140">
                  <c:v>3541998.8152887295</c:v>
                </c:pt>
                <c:pt idx="141">
                  <c:v>3574804.8254912081</c:v>
                </c:pt>
                <c:pt idx="142">
                  <c:v>3608413.9960187948</c:v>
                </c:pt>
                <c:pt idx="143">
                  <c:v>3638264.788101967</c:v>
                </c:pt>
                <c:pt idx="144">
                  <c:v>3671122.2829406708</c:v>
                </c:pt>
                <c:pt idx="145">
                  <c:v>3703526.7129805959</c:v>
                </c:pt>
                <c:pt idx="146">
                  <c:v>3734994.1226412281</c:v>
                </c:pt>
                <c:pt idx="147">
                  <c:v>3763073.8432382653</c:v>
                </c:pt>
                <c:pt idx="148">
                  <c:v>3796724.2014748319</c:v>
                </c:pt>
                <c:pt idx="149">
                  <c:v>3833648.9825752992</c:v>
                </c:pt>
                <c:pt idx="150">
                  <c:v>3863190.866841122</c:v>
                </c:pt>
                <c:pt idx="151">
                  <c:v>3893906.6008128719</c:v>
                </c:pt>
                <c:pt idx="152">
                  <c:v>3926990.6280509648</c:v>
                </c:pt>
                <c:pt idx="153">
                  <c:v>3954226.0006139143</c:v>
                </c:pt>
                <c:pt idx="154">
                  <c:v>3988864.8638659981</c:v>
                </c:pt>
                <c:pt idx="155">
                  <c:v>4023761.1502992059</c:v>
                </c:pt>
                <c:pt idx="156">
                  <c:v>4066287.4598209378</c:v>
                </c:pt>
                <c:pt idx="157">
                  <c:v>4101317.6063083308</c:v>
                </c:pt>
                <c:pt idx="158">
                  <c:v>4134360.4458374437</c:v>
                </c:pt>
                <c:pt idx="159">
                  <c:v>4169709.7970694304</c:v>
                </c:pt>
                <c:pt idx="160">
                  <c:v>4198582.3810643302</c:v>
                </c:pt>
                <c:pt idx="161">
                  <c:v>4232109.1761739571</c:v>
                </c:pt>
                <c:pt idx="162">
                  <c:v>4256049.5320185153</c:v>
                </c:pt>
                <c:pt idx="163">
                  <c:v>4286106.2626465876</c:v>
                </c:pt>
                <c:pt idx="164">
                  <c:v>4317851.6893428341</c:v>
                </c:pt>
                <c:pt idx="165">
                  <c:v>4351100.4674168462</c:v>
                </c:pt>
                <c:pt idx="166">
                  <c:v>4383000.348021768</c:v>
                </c:pt>
                <c:pt idx="167">
                  <c:v>4416207.9383868007</c:v>
                </c:pt>
                <c:pt idx="168">
                  <c:v>4450259.8767859209</c:v>
                </c:pt>
                <c:pt idx="169">
                  <c:v>4484569.2383661661</c:v>
                </c:pt>
                <c:pt idx="170">
                  <c:v>4517498.8116955841</c:v>
                </c:pt>
                <c:pt idx="171">
                  <c:v>4549007.4090651972</c:v>
                </c:pt>
                <c:pt idx="172">
                  <c:v>4583327.0675726868</c:v>
                </c:pt>
                <c:pt idx="173">
                  <c:v>4616977.425809253</c:v>
                </c:pt>
                <c:pt idx="174">
                  <c:v>4645098.3341152696</c:v>
                </c:pt>
                <c:pt idx="175">
                  <c:v>4678470.675316222</c:v>
                </c:pt>
                <c:pt idx="176">
                  <c:v>4714273.0913469875</c:v>
                </c:pt>
                <c:pt idx="177">
                  <c:v>4740344.9111312553</c:v>
                </c:pt>
                <c:pt idx="178">
                  <c:v>4770144.2185782026</c:v>
                </c:pt>
                <c:pt idx="179">
                  <c:v>4804855.160321001</c:v>
                </c:pt>
                <c:pt idx="180">
                  <c:v>4832976.0686270176</c:v>
                </c:pt>
                <c:pt idx="181">
                  <c:v>4866029.2050833758</c:v>
                </c:pt>
                <c:pt idx="182">
                  <c:v>4900595.989844745</c:v>
                </c:pt>
                <c:pt idx="183">
                  <c:v>4931754.491688028</c:v>
                </c:pt>
                <c:pt idx="184">
                  <c:v>4960307.8709383337</c:v>
                </c:pt>
                <c:pt idx="185">
                  <c:v>4993381.6012491826</c:v>
                </c:pt>
                <c:pt idx="186">
                  <c:v>5022872.0008787801</c:v>
                </c:pt>
                <c:pt idx="187">
                  <c:v>5049901.4348968305</c:v>
                </c:pt>
                <c:pt idx="188">
                  <c:v>5080823.1074134791</c:v>
                </c:pt>
                <c:pt idx="189">
                  <c:v>5112970.1142722797</c:v>
                </c:pt>
                <c:pt idx="190">
                  <c:v>5143459.3158446401</c:v>
                </c:pt>
                <c:pt idx="191">
                  <c:v>5176378.5922468137</c:v>
                </c:pt>
                <c:pt idx="192">
                  <c:v>5210358.4521552194</c:v>
                </c:pt>
                <c:pt idx="193">
                  <c:v>5243854.3564831112</c:v>
                </c:pt>
                <c:pt idx="194">
                  <c:v>5277134.0253388593</c:v>
                </c:pt>
                <c:pt idx="195">
                  <c:v>5309744.3939236831</c:v>
                </c:pt>
                <c:pt idx="196">
                  <c:v>5339965.8753876742</c:v>
                </c:pt>
                <c:pt idx="197">
                  <c:v>5368560.4423469603</c:v>
                </c:pt>
                <c:pt idx="198">
                  <c:v>5400213.1966980016</c:v>
                </c:pt>
                <c:pt idx="199">
                  <c:v>5434409.2920785518</c:v>
                </c:pt>
                <c:pt idx="200">
                  <c:v>5463158.3129465124</c:v>
                </c:pt>
                <c:pt idx="201">
                  <c:v>5493493.0606101975</c:v>
                </c:pt>
                <c:pt idx="202">
                  <c:v>5528914.4903328996</c:v>
                </c:pt>
                <c:pt idx="203">
                  <c:v>5563501.8689487586</c:v>
                </c:pt>
                <c:pt idx="204">
                  <c:v>5598346.6707457416</c:v>
                </c:pt>
                <c:pt idx="205">
                  <c:v>5632995.8309250697</c:v>
                </c:pt>
                <c:pt idx="206">
                  <c:v>5665760.6534185689</c:v>
                </c:pt>
                <c:pt idx="207">
                  <c:v>5698824.0868021725</c:v>
                </c:pt>
                <c:pt idx="208">
                  <c:v>5728633.6911763642</c:v>
                </c:pt>
                <c:pt idx="209">
                  <c:v>5760512.9779267963</c:v>
                </c:pt>
                <c:pt idx="210">
                  <c:v>5792412.8585317172</c:v>
                </c:pt>
                <c:pt idx="211">
                  <c:v>5825404.2134246053</c:v>
                </c:pt>
                <c:pt idx="212">
                  <c:v>5849694.6647954928</c:v>
                </c:pt>
                <c:pt idx="213">
                  <c:v>5884148.1833571671</c:v>
                </c:pt>
                <c:pt idx="214">
                  <c:v>5917366.0706494451</c:v>
                </c:pt>
                <c:pt idx="215">
                  <c:v>5946578.4532434288</c:v>
                </c:pt>
                <c:pt idx="216">
                  <c:v>5980249.4053344857</c:v>
                </c:pt>
                <c:pt idx="217">
                  <c:v>6013178.9786639037</c:v>
                </c:pt>
                <c:pt idx="218">
                  <c:v>6039508.2216292955</c:v>
                </c:pt>
                <c:pt idx="219">
                  <c:v>6071150.6790530933</c:v>
                </c:pt>
                <c:pt idx="220">
                  <c:v>6105357.071360888</c:v>
                </c:pt>
                <c:pt idx="221">
                  <c:v>6139233.961996844</c:v>
                </c:pt>
                <c:pt idx="222">
                  <c:v>6171339.7811466642</c:v>
                </c:pt>
                <c:pt idx="223">
                  <c:v>6203157.2863336261</c:v>
                </c:pt>
                <c:pt idx="224">
                  <c:v>6235942.702681615</c:v>
                </c:pt>
                <c:pt idx="225">
                  <c:v>6271477.3986040112</c:v>
                </c:pt>
                <c:pt idx="226">
                  <c:v>6304870.3336594533</c:v>
                </c:pt>
                <c:pt idx="227">
                  <c:v>6336667.2449919255</c:v>
                </c:pt>
                <c:pt idx="228">
                  <c:v>6364530.7301168181</c:v>
                </c:pt>
                <c:pt idx="229">
                  <c:v>6381314.7215261208</c:v>
                </c:pt>
                <c:pt idx="230">
                  <c:v>6407468.9167283485</c:v>
                </c:pt>
                <c:pt idx="231">
                  <c:v>6430482.5491208592</c:v>
                </c:pt>
                <c:pt idx="232">
                  <c:v>6462959.0576514993</c:v>
                </c:pt>
                <c:pt idx="233">
                  <c:v>6493365.8838058999</c:v>
                </c:pt>
                <c:pt idx="234">
                  <c:v>6526079.2216631742</c:v>
                </c:pt>
                <c:pt idx="235">
                  <c:v>6560810.7572604623</c:v>
                </c:pt>
                <c:pt idx="236">
                  <c:v>6594368.4431518242</c:v>
                </c:pt>
                <c:pt idx="237">
                  <c:v>6627359.7980447123</c:v>
                </c:pt>
                <c:pt idx="238">
                  <c:v>6662544.3984407801</c:v>
                </c:pt>
                <c:pt idx="239">
                  <c:v>6695525.4564064229</c:v>
                </c:pt>
                <c:pt idx="240">
                  <c:v>6725129.1222357163</c:v>
                </c:pt>
                <c:pt idx="241">
                  <c:v>6756133.1701703249</c:v>
                </c:pt>
                <c:pt idx="242">
                  <c:v>6783080.2287704153</c:v>
                </c:pt>
                <c:pt idx="243">
                  <c:v>6813672.3996152254</c:v>
                </c:pt>
                <c:pt idx="244">
                  <c:v>6846735.832998828</c:v>
                </c:pt>
                <c:pt idx="245">
                  <c:v>6879943.4233638607</c:v>
                </c:pt>
                <c:pt idx="246">
                  <c:v>6910762.1266080607</c:v>
                </c:pt>
                <c:pt idx="247">
                  <c:v>6944031.4985365625</c:v>
                </c:pt>
                <c:pt idx="248">
                  <c:v>6977558.2936461894</c:v>
                </c:pt>
                <c:pt idx="249">
                  <c:v>7009468.4711783556</c:v>
                </c:pt>
                <c:pt idx="250">
                  <c:v>7043746.9419768658</c:v>
                </c:pt>
                <c:pt idx="251">
                  <c:v>7077139.8770323079</c:v>
                </c:pt>
                <c:pt idx="252">
                  <c:v>7109183.9146186588</c:v>
                </c:pt>
                <c:pt idx="253">
                  <c:v>7135780.87769242</c:v>
                </c:pt>
                <c:pt idx="254">
                  <c:v>7167804.3214242812</c:v>
                </c:pt>
                <c:pt idx="255">
                  <c:v>7199024.6048310343</c:v>
                </c:pt>
                <c:pt idx="256">
                  <c:v>7232551.3999406612</c:v>
                </c:pt>
                <c:pt idx="257">
                  <c:v>7267210.8570472347</c:v>
                </c:pt>
                <c:pt idx="258">
                  <c:v>7299151.925361136</c:v>
                </c:pt>
                <c:pt idx="259">
                  <c:v>7334037.9148670994</c:v>
                </c:pt>
                <c:pt idx="260">
                  <c:v>7367770.6485216254</c:v>
                </c:pt>
                <c:pt idx="261">
                  <c:v>7396612.3417347902</c:v>
                </c:pt>
                <c:pt idx="262">
                  <c:v>7432672.1809466807</c:v>
                </c:pt>
                <c:pt idx="263">
                  <c:v>7459361.8163656462</c:v>
                </c:pt>
                <c:pt idx="264">
                  <c:v>7492394.3589675147</c:v>
                </c:pt>
                <c:pt idx="265">
                  <c:v>7526343.3280941853</c:v>
                </c:pt>
                <c:pt idx="266">
                  <c:v>7561600.0069809668</c:v>
                </c:pt>
                <c:pt idx="267">
                  <c:v>7593613.1537855836</c:v>
                </c:pt>
                <c:pt idx="268">
                  <c:v>7627314.9966583746</c:v>
                </c:pt>
                <c:pt idx="269">
                  <c:v>7659997.4437339138</c:v>
                </c:pt>
                <c:pt idx="270">
                  <c:v>7693102.0648264969</c:v>
                </c:pt>
                <c:pt idx="271">
                  <c:v>7727988.0543324593</c:v>
                </c:pt>
                <c:pt idx="272">
                  <c:v>7759857.0441556461</c:v>
                </c:pt>
                <c:pt idx="273">
                  <c:v>7793054.3375934344</c:v>
                </c:pt>
                <c:pt idx="274">
                  <c:v>7825427.8768516239</c:v>
                </c:pt>
                <c:pt idx="275">
                  <c:v>7859387.1429055398</c:v>
                </c:pt>
                <c:pt idx="276">
                  <c:v>7891503.2589826053</c:v>
                </c:pt>
                <c:pt idx="277">
                  <c:v>7925864.1051990753</c:v>
                </c:pt>
                <c:pt idx="278">
                  <c:v>7959390.9003087021</c:v>
                </c:pt>
                <c:pt idx="279">
                  <c:v>7993463.4325623121</c:v>
                </c:pt>
                <c:pt idx="280">
                  <c:v>8023993.8218436521</c:v>
                </c:pt>
                <c:pt idx="281">
                  <c:v>8052742.8427116126</c:v>
                </c:pt>
                <c:pt idx="282">
                  <c:v>8086372.607093689</c:v>
                </c:pt>
                <c:pt idx="283">
                  <c:v>8116841.2148115598</c:v>
                </c:pt>
                <c:pt idx="284">
                  <c:v>8139957.8164765202</c:v>
                </c:pt>
                <c:pt idx="285">
                  <c:v>8172084.229480831</c:v>
                </c:pt>
                <c:pt idx="286">
                  <c:v>8206486.2634062804</c:v>
                </c:pt>
                <c:pt idx="287">
                  <c:v>8239302.5705360044</c:v>
                </c:pt>
                <c:pt idx="288">
                  <c:v>8268916.5332925422</c:v>
                </c:pt>
                <c:pt idx="289">
                  <c:v>8299694.0488277618</c:v>
                </c:pt>
                <c:pt idx="290">
                  <c:v>8331985.2126679914</c:v>
                </c:pt>
                <c:pt idx="291">
                  <c:v>8359076.4282495119</c:v>
                </c:pt>
                <c:pt idx="292">
                  <c:v>8391758.8753250502</c:v>
                </c:pt>
                <c:pt idx="293">
                  <c:v>8421527.2919902634</c:v>
                </c:pt>
                <c:pt idx="294">
                  <c:v>8450605.8145300616</c:v>
                </c:pt>
                <c:pt idx="295">
                  <c:v>8482886.6814430468</c:v>
                </c:pt>
                <c:pt idx="296">
                  <c:v>8515466.1592461374</c:v>
                </c:pt>
                <c:pt idx="297">
                  <c:v>8551556.889239762</c:v>
                </c:pt>
                <c:pt idx="298">
                  <c:v>8586319.3156187851</c:v>
                </c:pt>
                <c:pt idx="299">
                  <c:v>8615943.5753025673</c:v>
                </c:pt>
                <c:pt idx="300">
                  <c:v>8648584.8346691281</c:v>
                </c:pt>
                <c:pt idx="301">
                  <c:v>8678229.6882073991</c:v>
                </c:pt>
                <c:pt idx="302">
                  <c:v>8706278.5180227011</c:v>
                </c:pt>
                <c:pt idx="303">
                  <c:v>8737282.5659573115</c:v>
                </c:pt>
                <c:pt idx="304">
                  <c:v>8772734.8864617478</c:v>
                </c:pt>
                <c:pt idx="305">
                  <c:v>8802400.3338545095</c:v>
                </c:pt>
                <c:pt idx="306">
                  <c:v>8829676.8941264395</c:v>
                </c:pt>
                <c:pt idx="307">
                  <c:v>8861638.5562948305</c:v>
                </c:pt>
                <c:pt idx="308">
                  <c:v>8890768.5634708535</c:v>
                </c:pt>
                <c:pt idx="309">
                  <c:v>8922606.6625123061</c:v>
                </c:pt>
                <c:pt idx="310">
                  <c:v>8956514.4439299963</c:v>
                </c:pt>
                <c:pt idx="311">
                  <c:v>8989886.7851309497</c:v>
                </c:pt>
                <c:pt idx="312">
                  <c:v>9023825.457330374</c:v>
                </c:pt>
                <c:pt idx="313">
                  <c:v>9048126.2056285068</c:v>
                </c:pt>
                <c:pt idx="314">
                  <c:v>9072529.9231990892</c:v>
                </c:pt>
                <c:pt idx="315">
                  <c:v>9101701.1180840936</c:v>
                </c:pt>
                <c:pt idx="316">
                  <c:v>9131047.3607322611</c:v>
                </c:pt>
                <c:pt idx="317">
                  <c:v>9164368.2172969896</c:v>
                </c:pt>
                <c:pt idx="318">
                  <c:v>9198275.9987146799</c:v>
                </c:pt>
                <c:pt idx="319">
                  <c:v>9230567.1625549104</c:v>
                </c:pt>
                <c:pt idx="320">
                  <c:v>9263383.4696846344</c:v>
                </c:pt>
                <c:pt idx="321">
                  <c:v>9291370.5179364663</c:v>
                </c:pt>
                <c:pt idx="322">
                  <c:v>9322446.6443617903</c:v>
                </c:pt>
                <c:pt idx="323">
                  <c:v>9347560.8499122746</c:v>
                </c:pt>
                <c:pt idx="324">
                  <c:v>9380552.2048051637</c:v>
                </c:pt>
                <c:pt idx="325">
                  <c:v>9414017.2183513213</c:v>
                </c:pt>
                <c:pt idx="326">
                  <c:v>9441798.328058254</c:v>
                </c:pt>
                <c:pt idx="327">
                  <c:v>9474408.6966430787</c:v>
                </c:pt>
                <c:pt idx="328">
                  <c:v>9508151.7272248492</c:v>
                </c:pt>
                <c:pt idx="329">
                  <c:v>9535809.2738048416</c:v>
                </c:pt>
                <c:pt idx="330">
                  <c:v>9569964.1814764123</c:v>
                </c:pt>
                <c:pt idx="331">
                  <c:v>9604448.5908198208</c:v>
                </c:pt>
                <c:pt idx="332">
                  <c:v>9638253.4029650632</c:v>
                </c:pt>
                <c:pt idx="333">
                  <c:v>9664356.1135310642</c:v>
                </c:pt>
                <c:pt idx="334">
                  <c:v>9693578.7930522934</c:v>
                </c:pt>
                <c:pt idx="335">
                  <c:v>9727043.806598451</c:v>
                </c:pt>
                <c:pt idx="336">
                  <c:v>9759551.2059108261</c:v>
                </c:pt>
                <c:pt idx="337">
                  <c:v>9793541.3627464753</c:v>
                </c:pt>
                <c:pt idx="338">
                  <c:v>9830116.0483206138</c:v>
                </c:pt>
                <c:pt idx="339">
                  <c:v>9861099.5024007335</c:v>
                </c:pt>
                <c:pt idx="340">
                  <c:v>9892989.0860784091</c:v>
                </c:pt>
                <c:pt idx="341">
                  <c:v>9925898.0655533392</c:v>
                </c:pt>
                <c:pt idx="342">
                  <c:v>9960495.7410964426</c:v>
                </c:pt>
                <c:pt idx="343">
                  <c:v>9995402.3244568948</c:v>
                </c:pt>
                <c:pt idx="344">
                  <c:v>10025953.307592725</c:v>
                </c:pt>
                <c:pt idx="345">
                  <c:v>10030000</c:v>
                </c:pt>
                <c:pt idx="346">
                  <c:v>10030000</c:v>
                </c:pt>
                <c:pt idx="347">
                  <c:v>10030000</c:v>
                </c:pt>
              </c:numCache>
            </c:numRef>
          </c:xVal>
          <c:yVal>
            <c:numRef>
              <c:f>Wafer1!$S$2:$S$349</c:f>
              <c:numCache>
                <c:formatCode>0.00E+00</c:formatCode>
                <c:ptCount val="348"/>
                <c:pt idx="0">
                  <c:v>6.6251618599999996E-7</c:v>
                </c:pt>
                <c:pt idx="1">
                  <c:v>6.6210924400000005E-7</c:v>
                </c:pt>
                <c:pt idx="2">
                  <c:v>6.6240655400000006E-7</c:v>
                </c:pt>
                <c:pt idx="3">
                  <c:v>6.5815721949999998E-7</c:v>
                </c:pt>
                <c:pt idx="4">
                  <c:v>6.5673491479999998E-7</c:v>
                </c:pt>
                <c:pt idx="5">
                  <c:v>6.5622248266666669E-7</c:v>
                </c:pt>
                <c:pt idx="6">
                  <c:v>6.5634191071428569E-7</c:v>
                </c:pt>
                <c:pt idx="7">
                  <c:v>6.5640737299999993E-7</c:v>
                </c:pt>
                <c:pt idx="8">
                  <c:v>6.5689494033333327E-7</c:v>
                </c:pt>
                <c:pt idx="9">
                  <c:v>6.5892184589999993E-7</c:v>
                </c:pt>
                <c:pt idx="10">
                  <c:v>6.6039807099999995E-7</c:v>
                </c:pt>
                <c:pt idx="11">
                  <c:v>6.6088239716666664E-7</c:v>
                </c:pt>
                <c:pt idx="12">
                  <c:v>6.6134367238461537E-7</c:v>
                </c:pt>
                <c:pt idx="13">
                  <c:v>6.625149678571428E-7</c:v>
                </c:pt>
                <c:pt idx="14">
                  <c:v>6.6277276193333322E-7</c:v>
                </c:pt>
                <c:pt idx="15">
                  <c:v>6.622615593749999E-7</c:v>
                </c:pt>
                <c:pt idx="16">
                  <c:v>6.6139953705882342E-7</c:v>
                </c:pt>
                <c:pt idx="17">
                  <c:v>6.6018745311111099E-7</c:v>
                </c:pt>
                <c:pt idx="18">
                  <c:v>6.5914430310526306E-7</c:v>
                </c:pt>
                <c:pt idx="19">
                  <c:v>6.5823274724999997E-7</c:v>
                </c:pt>
                <c:pt idx="20">
                  <c:v>6.5763250349999997E-7</c:v>
                </c:pt>
                <c:pt idx="21">
                  <c:v>6.5717328254999998E-7</c:v>
                </c:pt>
                <c:pt idx="22">
                  <c:v>6.5677802749999997E-7</c:v>
                </c:pt>
                <c:pt idx="23">
                  <c:v>6.5724561574999994E-7</c:v>
                </c:pt>
                <c:pt idx="24">
                  <c:v>6.5846625709999999E-7</c:v>
                </c:pt>
                <c:pt idx="25">
                  <c:v>6.593737167999999E-7</c:v>
                </c:pt>
                <c:pt idx="26">
                  <c:v>6.5958475365000002E-7</c:v>
                </c:pt>
                <c:pt idx="27">
                  <c:v>6.5946158815E-7</c:v>
                </c:pt>
                <c:pt idx="28">
                  <c:v>6.5948175335000003E-7</c:v>
                </c:pt>
                <c:pt idx="29">
                  <c:v>6.5864121255000002E-7</c:v>
                </c:pt>
                <c:pt idx="30">
                  <c:v>6.5770994684999994E-7</c:v>
                </c:pt>
                <c:pt idx="31">
                  <c:v>6.5593444264999989E-7</c:v>
                </c:pt>
                <c:pt idx="32">
                  <c:v>6.5468397269999993E-7</c:v>
                </c:pt>
                <c:pt idx="33">
                  <c:v>6.5323982304999992E-7</c:v>
                </c:pt>
                <c:pt idx="34">
                  <c:v>6.5266573294999998E-7</c:v>
                </c:pt>
                <c:pt idx="35">
                  <c:v>6.5193810305000004E-7</c:v>
                </c:pt>
                <c:pt idx="36">
                  <c:v>6.5172928309999994E-7</c:v>
                </c:pt>
                <c:pt idx="37">
                  <c:v>6.521491627E-7</c:v>
                </c:pt>
                <c:pt idx="38">
                  <c:v>6.5258200824999994E-7</c:v>
                </c:pt>
                <c:pt idx="39">
                  <c:v>6.5335630939999985E-7</c:v>
                </c:pt>
                <c:pt idx="40">
                  <c:v>6.5239415780000004E-7</c:v>
                </c:pt>
                <c:pt idx="41">
                  <c:v>6.5126112919999998E-7</c:v>
                </c:pt>
                <c:pt idx="42">
                  <c:v>6.5015501595000009E-7</c:v>
                </c:pt>
                <c:pt idx="43">
                  <c:v>6.4931041655000015E-7</c:v>
                </c:pt>
                <c:pt idx="44">
                  <c:v>6.4757203965000001E-7</c:v>
                </c:pt>
                <c:pt idx="45">
                  <c:v>6.4706052850000004E-7</c:v>
                </c:pt>
                <c:pt idx="46">
                  <c:v>6.4677341240000009E-7</c:v>
                </c:pt>
                <c:pt idx="47">
                  <c:v>6.4653672210000017E-7</c:v>
                </c:pt>
                <c:pt idx="48">
                  <c:v>6.4524999174999998E-7</c:v>
                </c:pt>
                <c:pt idx="49">
                  <c:v>6.4373059275000001E-7</c:v>
                </c:pt>
                <c:pt idx="50">
                  <c:v>6.4238184335000002E-7</c:v>
                </c:pt>
                <c:pt idx="51">
                  <c:v>6.4258535700000014E-7</c:v>
                </c:pt>
                <c:pt idx="52">
                  <c:v>6.4240202845000016E-7</c:v>
                </c:pt>
                <c:pt idx="53">
                  <c:v>6.4192751380000008E-7</c:v>
                </c:pt>
                <c:pt idx="54">
                  <c:v>6.4121263110000005E-7</c:v>
                </c:pt>
                <c:pt idx="55">
                  <c:v>6.411822938000001E-7</c:v>
                </c:pt>
                <c:pt idx="56">
                  <c:v>6.4110963935000006E-7</c:v>
                </c:pt>
                <c:pt idx="57">
                  <c:v>6.4079565905000003E-7</c:v>
                </c:pt>
                <c:pt idx="58">
                  <c:v>6.4034067865000006E-7</c:v>
                </c:pt>
                <c:pt idx="59">
                  <c:v>6.3936705320000003E-7</c:v>
                </c:pt>
                <c:pt idx="60">
                  <c:v>6.3965142945E-7</c:v>
                </c:pt>
                <c:pt idx="61">
                  <c:v>6.4029822799999996E-7</c:v>
                </c:pt>
                <c:pt idx="62">
                  <c:v>6.4092582769999995E-7</c:v>
                </c:pt>
                <c:pt idx="63">
                  <c:v>6.4143973199999993E-7</c:v>
                </c:pt>
                <c:pt idx="64">
                  <c:v>6.4122438354999992E-7</c:v>
                </c:pt>
                <c:pt idx="65">
                  <c:v>6.4045777329999999E-7</c:v>
                </c:pt>
                <c:pt idx="66">
                  <c:v>6.3908747745000006E-7</c:v>
                </c:pt>
                <c:pt idx="67">
                  <c:v>6.3810871904999988E-7</c:v>
                </c:pt>
                <c:pt idx="68">
                  <c:v>6.3744885504999973E-7</c:v>
                </c:pt>
                <c:pt idx="69">
                  <c:v>6.3760253124999988E-7</c:v>
                </c:pt>
                <c:pt idx="70">
                  <c:v>6.3776354589999978E-7</c:v>
                </c:pt>
                <c:pt idx="71">
                  <c:v>6.3871104609999983E-7</c:v>
                </c:pt>
                <c:pt idx="72">
                  <c:v>6.3952606704999992E-7</c:v>
                </c:pt>
                <c:pt idx="73">
                  <c:v>6.3979523199999985E-7</c:v>
                </c:pt>
                <c:pt idx="74">
                  <c:v>6.3976860085000002E-7</c:v>
                </c:pt>
                <c:pt idx="75">
                  <c:v>6.3937868624999992E-7</c:v>
                </c:pt>
                <c:pt idx="76">
                  <c:v>6.3858979625000003E-7</c:v>
                </c:pt>
                <c:pt idx="77">
                  <c:v>6.3754520179999996E-7</c:v>
                </c:pt>
                <c:pt idx="78">
                  <c:v>6.3654776749999997E-7</c:v>
                </c:pt>
                <c:pt idx="79">
                  <c:v>6.3575215290000002E-7</c:v>
                </c:pt>
                <c:pt idx="80">
                  <c:v>6.3543318170000006E-7</c:v>
                </c:pt>
                <c:pt idx="81">
                  <c:v>6.3472503775000005E-7</c:v>
                </c:pt>
                <c:pt idx="82">
                  <c:v>6.3372561390000005E-7</c:v>
                </c:pt>
                <c:pt idx="83">
                  <c:v>6.3279321130000006E-7</c:v>
                </c:pt>
                <c:pt idx="84">
                  <c:v>6.325810347E-7</c:v>
                </c:pt>
                <c:pt idx="85">
                  <c:v>6.3300093419999995E-7</c:v>
                </c:pt>
                <c:pt idx="86">
                  <c:v>6.3366167924999995E-7</c:v>
                </c:pt>
                <c:pt idx="87">
                  <c:v>6.3402774234999998E-7</c:v>
                </c:pt>
                <c:pt idx="88">
                  <c:v>6.340223365500001E-7</c:v>
                </c:pt>
                <c:pt idx="89">
                  <c:v>6.3350184975000012E-7</c:v>
                </c:pt>
                <c:pt idx="90">
                  <c:v>6.3310464785000004E-7</c:v>
                </c:pt>
                <c:pt idx="91">
                  <c:v>6.3107927989999992E-7</c:v>
                </c:pt>
                <c:pt idx="92">
                  <c:v>6.2900592470000013E-7</c:v>
                </c:pt>
                <c:pt idx="93">
                  <c:v>6.2771335934999995E-7</c:v>
                </c:pt>
                <c:pt idx="94">
                  <c:v>6.2692938909999994E-7</c:v>
                </c:pt>
                <c:pt idx="95">
                  <c:v>6.2676979549999994E-7</c:v>
                </c:pt>
                <c:pt idx="96">
                  <c:v>6.2692042204999998E-7</c:v>
                </c:pt>
                <c:pt idx="97">
                  <c:v>6.2738214980000002E-7</c:v>
                </c:pt>
                <c:pt idx="98">
                  <c:v>6.2779750465000006E-7</c:v>
                </c:pt>
                <c:pt idx="99">
                  <c:v>6.2789279410000004E-7</c:v>
                </c:pt>
                <c:pt idx="100">
                  <c:v>6.2793401980000007E-7</c:v>
                </c:pt>
                <c:pt idx="101">
                  <c:v>6.2840290980000013E-7</c:v>
                </c:pt>
                <c:pt idx="102">
                  <c:v>6.2935668270000015E-7</c:v>
                </c:pt>
                <c:pt idx="103">
                  <c:v>6.3046280165000016E-7</c:v>
                </c:pt>
                <c:pt idx="104">
                  <c:v>6.3069573744999996E-7</c:v>
                </c:pt>
                <c:pt idx="105">
                  <c:v>6.3054590385E-7</c:v>
                </c:pt>
                <c:pt idx="106">
                  <c:v>6.3065748464999994E-7</c:v>
                </c:pt>
                <c:pt idx="107">
                  <c:v>6.3056812395E-7</c:v>
                </c:pt>
                <c:pt idx="108">
                  <c:v>6.3134748984999989E-7</c:v>
                </c:pt>
                <c:pt idx="109">
                  <c:v>6.3156631429999981E-7</c:v>
                </c:pt>
                <c:pt idx="110">
                  <c:v>6.3178553950000004E-7</c:v>
                </c:pt>
                <c:pt idx="111">
                  <c:v>6.3267318359999994E-7</c:v>
                </c:pt>
                <c:pt idx="112">
                  <c:v>6.3360396334999998E-7</c:v>
                </c:pt>
                <c:pt idx="113">
                  <c:v>6.3498218889999996E-7</c:v>
                </c:pt>
                <c:pt idx="114">
                  <c:v>6.3637352824999993E-7</c:v>
                </c:pt>
                <c:pt idx="115">
                  <c:v>6.3721946635000006E-7</c:v>
                </c:pt>
                <c:pt idx="116">
                  <c:v>6.3788891125000005E-7</c:v>
                </c:pt>
                <c:pt idx="117">
                  <c:v>6.3850507114999998E-7</c:v>
                </c:pt>
                <c:pt idx="118">
                  <c:v>6.3947493640000009E-7</c:v>
                </c:pt>
                <c:pt idx="119">
                  <c:v>6.4027846645000008E-7</c:v>
                </c:pt>
                <c:pt idx="120">
                  <c:v>6.4063474679999996E-7</c:v>
                </c:pt>
                <c:pt idx="121">
                  <c:v>6.4082358629999999E-7</c:v>
                </c:pt>
                <c:pt idx="122">
                  <c:v>6.4040251580000002E-7</c:v>
                </c:pt>
                <c:pt idx="123">
                  <c:v>6.3912767420000011E-7</c:v>
                </c:pt>
                <c:pt idx="124">
                  <c:v>6.3840440990000004E-7</c:v>
                </c:pt>
                <c:pt idx="125">
                  <c:v>6.3707325359999989E-7</c:v>
                </c:pt>
                <c:pt idx="126">
                  <c:v>6.3642049500000008E-7</c:v>
                </c:pt>
                <c:pt idx="127">
                  <c:v>6.3633012535000011E-7</c:v>
                </c:pt>
                <c:pt idx="128">
                  <c:v>6.3656213460000007E-7</c:v>
                </c:pt>
                <c:pt idx="129">
                  <c:v>6.3700203445000009E-7</c:v>
                </c:pt>
                <c:pt idx="130">
                  <c:v>6.3714060165000018E-7</c:v>
                </c:pt>
                <c:pt idx="131">
                  <c:v>6.3724616555000007E-7</c:v>
                </c:pt>
                <c:pt idx="132">
                  <c:v>6.3724613425000005E-7</c:v>
                </c:pt>
                <c:pt idx="133">
                  <c:v>6.3609235210000011E-7</c:v>
                </c:pt>
                <c:pt idx="134">
                  <c:v>6.3400418920000008E-7</c:v>
                </c:pt>
                <c:pt idx="135">
                  <c:v>6.3261984159999988E-7</c:v>
                </c:pt>
                <c:pt idx="136">
                  <c:v>6.3182174579999999E-7</c:v>
                </c:pt>
                <c:pt idx="137">
                  <c:v>6.3093812620000003E-7</c:v>
                </c:pt>
                <c:pt idx="138">
                  <c:v>6.2997567615000008E-7</c:v>
                </c:pt>
                <c:pt idx="139">
                  <c:v>6.2933774520000001E-7</c:v>
                </c:pt>
                <c:pt idx="140">
                  <c:v>6.2875884615000003E-7</c:v>
                </c:pt>
                <c:pt idx="141">
                  <c:v>6.2816714024999997E-7</c:v>
                </c:pt>
                <c:pt idx="142">
                  <c:v>6.2780519549999989E-7</c:v>
                </c:pt>
                <c:pt idx="143">
                  <c:v>6.2813671199999994E-7</c:v>
                </c:pt>
                <c:pt idx="144">
                  <c:v>6.2899193260000001E-7</c:v>
                </c:pt>
                <c:pt idx="145">
                  <c:v>6.3049588440000002E-7</c:v>
                </c:pt>
                <c:pt idx="146">
                  <c:v>6.3100236209999993E-7</c:v>
                </c:pt>
                <c:pt idx="147">
                  <c:v>6.3094670385000008E-7</c:v>
                </c:pt>
                <c:pt idx="148">
                  <c:v>6.300720087E-7</c:v>
                </c:pt>
                <c:pt idx="149">
                  <c:v>6.2940264615000003E-7</c:v>
                </c:pt>
                <c:pt idx="150">
                  <c:v>6.291506336999999E-7</c:v>
                </c:pt>
                <c:pt idx="151">
                  <c:v>6.2886132060000003E-7</c:v>
                </c:pt>
                <c:pt idx="152">
                  <c:v>6.2902948049999998E-7</c:v>
                </c:pt>
                <c:pt idx="153">
                  <c:v>6.2963631524999986E-7</c:v>
                </c:pt>
                <c:pt idx="154">
                  <c:v>6.3096729535000007E-7</c:v>
                </c:pt>
                <c:pt idx="155">
                  <c:v>6.3181041970000002E-7</c:v>
                </c:pt>
                <c:pt idx="156">
                  <c:v>6.3275294045000009E-7</c:v>
                </c:pt>
                <c:pt idx="157">
                  <c:v>6.3448256065000003E-7</c:v>
                </c:pt>
                <c:pt idx="158">
                  <c:v>6.3587826555000015E-7</c:v>
                </c:pt>
                <c:pt idx="159">
                  <c:v>6.3748840655000011E-7</c:v>
                </c:pt>
                <c:pt idx="160">
                  <c:v>6.3921113160000001E-7</c:v>
                </c:pt>
                <c:pt idx="161">
                  <c:v>6.4080073225000006E-7</c:v>
                </c:pt>
                <c:pt idx="162">
                  <c:v>6.4177200720000008E-7</c:v>
                </c:pt>
                <c:pt idx="163">
                  <c:v>6.4229443235000005E-7</c:v>
                </c:pt>
                <c:pt idx="164">
                  <c:v>6.4222287219999986E-7</c:v>
                </c:pt>
                <c:pt idx="165">
                  <c:v>6.4125320020000001E-7</c:v>
                </c:pt>
                <c:pt idx="166">
                  <c:v>6.4083568529999994E-7</c:v>
                </c:pt>
                <c:pt idx="167">
                  <c:v>6.4106542079999998E-7</c:v>
                </c:pt>
                <c:pt idx="168">
                  <c:v>6.4115262144999988E-7</c:v>
                </c:pt>
                <c:pt idx="169">
                  <c:v>6.4188942019999994E-7</c:v>
                </c:pt>
                <c:pt idx="170">
                  <c:v>6.4264361579999988E-7</c:v>
                </c:pt>
                <c:pt idx="171">
                  <c:v>6.4362587574999994E-7</c:v>
                </c:pt>
                <c:pt idx="172">
                  <c:v>6.4492259065000001E-7</c:v>
                </c:pt>
                <c:pt idx="173">
                  <c:v>6.4574113589999998E-7</c:v>
                </c:pt>
                <c:pt idx="174">
                  <c:v>6.4575647509999997E-7</c:v>
                </c:pt>
                <c:pt idx="175">
                  <c:v>6.4578129859999986E-7</c:v>
                </c:pt>
                <c:pt idx="176">
                  <c:v>6.450091177E-7</c:v>
                </c:pt>
                <c:pt idx="177">
                  <c:v>6.4382480215000006E-7</c:v>
                </c:pt>
                <c:pt idx="178">
                  <c:v>6.4307701560000001E-7</c:v>
                </c:pt>
                <c:pt idx="179">
                  <c:v>6.4221852649999989E-7</c:v>
                </c:pt>
                <c:pt idx="180">
                  <c:v>6.4147980934999999E-7</c:v>
                </c:pt>
                <c:pt idx="181">
                  <c:v>6.406651863E-7</c:v>
                </c:pt>
                <c:pt idx="182">
                  <c:v>6.4045415794999995E-7</c:v>
                </c:pt>
                <c:pt idx="183">
                  <c:v>6.4056006860000007E-7</c:v>
                </c:pt>
                <c:pt idx="184">
                  <c:v>6.4142709840000003E-7</c:v>
                </c:pt>
                <c:pt idx="185">
                  <c:v>6.4312247325000011E-7</c:v>
                </c:pt>
                <c:pt idx="186">
                  <c:v>6.4469252830000006E-7</c:v>
                </c:pt>
                <c:pt idx="187">
                  <c:v>6.4582061155000013E-7</c:v>
                </c:pt>
                <c:pt idx="188">
                  <c:v>6.4735442605000014E-7</c:v>
                </c:pt>
                <c:pt idx="189">
                  <c:v>6.4754711100000005E-7</c:v>
                </c:pt>
                <c:pt idx="190">
                  <c:v>6.4718460065000002E-7</c:v>
                </c:pt>
                <c:pt idx="191">
                  <c:v>6.4653883955000003E-7</c:v>
                </c:pt>
                <c:pt idx="192">
                  <c:v>6.453284556E-7</c:v>
                </c:pt>
                <c:pt idx="193">
                  <c:v>6.4484582655000005E-7</c:v>
                </c:pt>
                <c:pt idx="194">
                  <c:v>6.4548443679999994E-7</c:v>
                </c:pt>
                <c:pt idx="195">
                  <c:v>6.4694016265000006E-7</c:v>
                </c:pt>
                <c:pt idx="196">
                  <c:v>6.4893825714999992E-7</c:v>
                </c:pt>
                <c:pt idx="197">
                  <c:v>6.5069048960000001E-7</c:v>
                </c:pt>
                <c:pt idx="198">
                  <c:v>6.5160571415000002E-7</c:v>
                </c:pt>
                <c:pt idx="199">
                  <c:v>6.523712585499999E-7</c:v>
                </c:pt>
                <c:pt idx="200">
                  <c:v>6.5309350534999993E-7</c:v>
                </c:pt>
                <c:pt idx="201">
                  <c:v>6.5434089440000002E-7</c:v>
                </c:pt>
                <c:pt idx="202">
                  <c:v>6.5600552265000003E-7</c:v>
                </c:pt>
                <c:pt idx="203">
                  <c:v>6.5747906039999999E-7</c:v>
                </c:pt>
                <c:pt idx="204">
                  <c:v>6.5786744875000009E-7</c:v>
                </c:pt>
                <c:pt idx="205">
                  <c:v>6.5764770915000002E-7</c:v>
                </c:pt>
                <c:pt idx="206">
                  <c:v>6.5762536400000006E-7</c:v>
                </c:pt>
                <c:pt idx="207">
                  <c:v>6.5702814430000006E-7</c:v>
                </c:pt>
                <c:pt idx="208">
                  <c:v>6.5678617034999997E-7</c:v>
                </c:pt>
                <c:pt idx="209">
                  <c:v>6.5759346909999995E-7</c:v>
                </c:pt>
                <c:pt idx="210">
                  <c:v>6.5871404614999986E-7</c:v>
                </c:pt>
                <c:pt idx="211">
                  <c:v>6.5980970019999999E-7</c:v>
                </c:pt>
                <c:pt idx="212">
                  <c:v>6.6090157985E-7</c:v>
                </c:pt>
                <c:pt idx="213">
                  <c:v>6.6181619615000006E-7</c:v>
                </c:pt>
                <c:pt idx="214">
                  <c:v>6.6285942634999997E-7</c:v>
                </c:pt>
                <c:pt idx="215">
                  <c:v>6.6370597549999991E-7</c:v>
                </c:pt>
                <c:pt idx="216">
                  <c:v>6.6361677965000003E-7</c:v>
                </c:pt>
                <c:pt idx="217">
                  <c:v>6.6348119390000008E-7</c:v>
                </c:pt>
                <c:pt idx="218">
                  <c:v>6.6384974104999995E-7</c:v>
                </c:pt>
                <c:pt idx="219">
                  <c:v>6.6401896959999992E-7</c:v>
                </c:pt>
                <c:pt idx="220">
                  <c:v>6.6332023320000003E-7</c:v>
                </c:pt>
                <c:pt idx="221">
                  <c:v>6.6273660194999999E-7</c:v>
                </c:pt>
                <c:pt idx="222">
                  <c:v>6.6175493884999997E-7</c:v>
                </c:pt>
                <c:pt idx="223">
                  <c:v>6.6100818970000005E-7</c:v>
                </c:pt>
                <c:pt idx="224">
                  <c:v>6.6095493594999997E-7</c:v>
                </c:pt>
                <c:pt idx="225">
                  <c:v>6.6116011230000007E-7</c:v>
                </c:pt>
                <c:pt idx="226">
                  <c:v>6.6138181299999992E-7</c:v>
                </c:pt>
                <c:pt idx="227">
                  <c:v>6.6245393390000001E-7</c:v>
                </c:pt>
                <c:pt idx="228">
                  <c:v>6.6335861964999995E-7</c:v>
                </c:pt>
                <c:pt idx="229">
                  <c:v>6.6475920739999999E-7</c:v>
                </c:pt>
                <c:pt idx="230">
                  <c:v>6.6627302720000001E-7</c:v>
                </c:pt>
                <c:pt idx="231">
                  <c:v>6.6778989380000002E-7</c:v>
                </c:pt>
                <c:pt idx="232">
                  <c:v>6.6911210015000004E-7</c:v>
                </c:pt>
                <c:pt idx="233">
                  <c:v>6.7043796435000009E-7</c:v>
                </c:pt>
                <c:pt idx="234">
                  <c:v>6.708363088500001E-7</c:v>
                </c:pt>
                <c:pt idx="235">
                  <c:v>6.7034280565000018E-7</c:v>
                </c:pt>
                <c:pt idx="236">
                  <c:v>6.7057793275000011E-7</c:v>
                </c:pt>
                <c:pt idx="237">
                  <c:v>6.7092975090000007E-7</c:v>
                </c:pt>
                <c:pt idx="238">
                  <c:v>6.7115794025E-7</c:v>
                </c:pt>
                <c:pt idx="239">
                  <c:v>6.7173013750000017E-7</c:v>
                </c:pt>
                <c:pt idx="240">
                  <c:v>6.7298251455000014E-7</c:v>
                </c:pt>
                <c:pt idx="241">
                  <c:v>6.7356273520000017E-7</c:v>
                </c:pt>
                <c:pt idx="242">
                  <c:v>6.7449728365000012E-7</c:v>
                </c:pt>
                <c:pt idx="243">
                  <c:v>6.7535301300000015E-7</c:v>
                </c:pt>
                <c:pt idx="244">
                  <c:v>6.7612202205000006E-7</c:v>
                </c:pt>
                <c:pt idx="245">
                  <c:v>6.7573299135000023E-7</c:v>
                </c:pt>
                <c:pt idx="246">
                  <c:v>6.7551523270000022E-7</c:v>
                </c:pt>
                <c:pt idx="247">
                  <c:v>6.7560384590000026E-7</c:v>
                </c:pt>
                <c:pt idx="248">
                  <c:v>6.7572204045000018E-7</c:v>
                </c:pt>
                <c:pt idx="249">
                  <c:v>6.7542917465000014E-7</c:v>
                </c:pt>
                <c:pt idx="250">
                  <c:v>6.7506013300000012E-7</c:v>
                </c:pt>
                <c:pt idx="251">
                  <c:v>6.7552574315000004E-7</c:v>
                </c:pt>
                <c:pt idx="252">
                  <c:v>6.7567643790000005E-7</c:v>
                </c:pt>
                <c:pt idx="253">
                  <c:v>6.7534639365000002E-7</c:v>
                </c:pt>
                <c:pt idx="254">
                  <c:v>6.7547505299999996E-7</c:v>
                </c:pt>
                <c:pt idx="255">
                  <c:v>6.7605944314999992E-7</c:v>
                </c:pt>
                <c:pt idx="256">
                  <c:v>6.7614596170000003E-7</c:v>
                </c:pt>
                <c:pt idx="257">
                  <c:v>6.7571711220000001E-7</c:v>
                </c:pt>
                <c:pt idx="258">
                  <c:v>6.7591721240000001E-7</c:v>
                </c:pt>
                <c:pt idx="259">
                  <c:v>6.7608455090000008E-7</c:v>
                </c:pt>
                <c:pt idx="260">
                  <c:v>6.7625354355000012E-7</c:v>
                </c:pt>
                <c:pt idx="261">
                  <c:v>6.7659161980000017E-7</c:v>
                </c:pt>
                <c:pt idx="262">
                  <c:v>6.7685069505000005E-7</c:v>
                </c:pt>
                <c:pt idx="263">
                  <c:v>6.7703290665000014E-7</c:v>
                </c:pt>
                <c:pt idx="264">
                  <c:v>6.7710597600000013E-7</c:v>
                </c:pt>
                <c:pt idx="265">
                  <c:v>6.783980667E-7</c:v>
                </c:pt>
                <c:pt idx="266">
                  <c:v>6.7996133180000003E-7</c:v>
                </c:pt>
                <c:pt idx="267">
                  <c:v>6.8145597830000005E-7</c:v>
                </c:pt>
                <c:pt idx="268">
                  <c:v>6.8220434180000004E-7</c:v>
                </c:pt>
                <c:pt idx="269">
                  <c:v>6.8277802545000008E-7</c:v>
                </c:pt>
                <c:pt idx="270">
                  <c:v>6.8340655730000007E-7</c:v>
                </c:pt>
                <c:pt idx="271">
                  <c:v>6.8331264060000001E-7</c:v>
                </c:pt>
                <c:pt idx="272">
                  <c:v>6.8362778334999994E-7</c:v>
                </c:pt>
                <c:pt idx="273">
                  <c:v>6.8422900764999999E-7</c:v>
                </c:pt>
                <c:pt idx="274">
                  <c:v>6.8455489670000004E-7</c:v>
                </c:pt>
                <c:pt idx="275">
                  <c:v>6.8416348994999992E-7</c:v>
                </c:pt>
                <c:pt idx="276">
                  <c:v>6.8406611144999995E-7</c:v>
                </c:pt>
                <c:pt idx="277">
                  <c:v>6.8479105829999986E-7</c:v>
                </c:pt>
                <c:pt idx="278">
                  <c:v>6.8537069634999988E-7</c:v>
                </c:pt>
                <c:pt idx="279">
                  <c:v>6.8592034094999992E-7</c:v>
                </c:pt>
                <c:pt idx="280">
                  <c:v>6.8651459059999992E-7</c:v>
                </c:pt>
                <c:pt idx="281">
                  <c:v>6.8710488959999992E-7</c:v>
                </c:pt>
                <c:pt idx="282">
                  <c:v>6.8730510914999987E-7</c:v>
                </c:pt>
                <c:pt idx="283">
                  <c:v>6.8762201969999981E-7</c:v>
                </c:pt>
                <c:pt idx="284">
                  <c:v>6.8802219454999994E-7</c:v>
                </c:pt>
                <c:pt idx="285">
                  <c:v>6.8784941899999991E-7</c:v>
                </c:pt>
                <c:pt idx="286">
                  <c:v>6.8706190174999995E-7</c:v>
                </c:pt>
                <c:pt idx="287">
                  <c:v>6.863907117499998E-7</c:v>
                </c:pt>
                <c:pt idx="288">
                  <c:v>6.8746842884999991E-7</c:v>
                </c:pt>
                <c:pt idx="289">
                  <c:v>6.8838234029999995E-7</c:v>
                </c:pt>
                <c:pt idx="290">
                  <c:v>6.8918097899999993E-7</c:v>
                </c:pt>
                <c:pt idx="291">
                  <c:v>6.894638090999999E-7</c:v>
                </c:pt>
                <c:pt idx="292">
                  <c:v>6.8981995019999993E-7</c:v>
                </c:pt>
                <c:pt idx="293">
                  <c:v>6.9010903024999998E-7</c:v>
                </c:pt>
                <c:pt idx="294">
                  <c:v>6.9061860589999998E-7</c:v>
                </c:pt>
                <c:pt idx="295">
                  <c:v>6.9188305085000002E-7</c:v>
                </c:pt>
                <c:pt idx="296">
                  <c:v>6.9320078365000003E-7</c:v>
                </c:pt>
                <c:pt idx="297">
                  <c:v>6.9412592165000002E-7</c:v>
                </c:pt>
                <c:pt idx="298">
                  <c:v>6.9407035434999992E-7</c:v>
                </c:pt>
                <c:pt idx="299">
                  <c:v>6.9417116614999998E-7</c:v>
                </c:pt>
                <c:pt idx="300">
                  <c:v>6.940593323999999E-7</c:v>
                </c:pt>
                <c:pt idx="301">
                  <c:v>6.9377457814999993E-7</c:v>
                </c:pt>
                <c:pt idx="302">
                  <c:v>6.9404553370000004E-7</c:v>
                </c:pt>
                <c:pt idx="303">
                  <c:v>6.9430794284999997E-7</c:v>
                </c:pt>
                <c:pt idx="304">
                  <c:v>6.9458725999999994E-7</c:v>
                </c:pt>
                <c:pt idx="305">
                  <c:v>6.9523950980000006E-7</c:v>
                </c:pt>
                <c:pt idx="306">
                  <c:v>6.9692031570000005E-7</c:v>
                </c:pt>
                <c:pt idx="307">
                  <c:v>6.9844681159999995E-7</c:v>
                </c:pt>
                <c:pt idx="308">
                  <c:v>6.9853982450000006E-7</c:v>
                </c:pt>
                <c:pt idx="309">
                  <c:v>6.9844285814999989E-7</c:v>
                </c:pt>
                <c:pt idx="310">
                  <c:v>6.983992621E-7</c:v>
                </c:pt>
                <c:pt idx="311">
                  <c:v>6.9892241199999998E-7</c:v>
                </c:pt>
                <c:pt idx="312">
                  <c:v>6.9857577795000005E-7</c:v>
                </c:pt>
                <c:pt idx="313">
                  <c:v>6.9795081864999998E-7</c:v>
                </c:pt>
                <c:pt idx="314">
                  <c:v>6.9800834984999993E-7</c:v>
                </c:pt>
                <c:pt idx="315">
                  <c:v>6.9811522680000007E-7</c:v>
                </c:pt>
                <c:pt idx="316">
                  <c:v>6.9813780784999996E-7</c:v>
                </c:pt>
                <c:pt idx="317">
                  <c:v>6.9821345794999991E-7</c:v>
                </c:pt>
                <c:pt idx="318">
                  <c:v>6.9999303215E-7</c:v>
                </c:pt>
                <c:pt idx="319">
                  <c:v>7.0155398084999991E-7</c:v>
                </c:pt>
                <c:pt idx="320">
                  <c:v>7.0338604139999997E-7</c:v>
                </c:pt>
                <c:pt idx="321">
                  <c:v>7.0517746454999991E-7</c:v>
                </c:pt>
                <c:pt idx="322">
                  <c:v>7.062123387499998E-7</c:v>
                </c:pt>
                <c:pt idx="323">
                  <c:v>7.0730077364999989E-7</c:v>
                </c:pt>
                <c:pt idx="324">
                  <c:v>7.0808737859999981E-7</c:v>
                </c:pt>
                <c:pt idx="325">
                  <c:v>7.0856775379999985E-7</c:v>
                </c:pt>
                <c:pt idx="326">
                  <c:v>7.0751488859999982E-7</c:v>
                </c:pt>
                <c:pt idx="327">
                  <c:v>7.0623430869999994E-7</c:v>
                </c:pt>
                <c:pt idx="328">
                  <c:v>7.0584678435000001E-7</c:v>
                </c:pt>
                <c:pt idx="329">
                  <c:v>7.058682143E-7</c:v>
                </c:pt>
                <c:pt idx="330">
                  <c:v>7.0577416969999997E-7</c:v>
                </c:pt>
                <c:pt idx="331">
                  <c:v>7.0582067044999991E-7</c:v>
                </c:pt>
                <c:pt idx="332">
                  <c:v>7.0670508869999986E-7</c:v>
                </c:pt>
                <c:pt idx="333">
                  <c:v>7.0797567269999998E-7</c:v>
                </c:pt>
                <c:pt idx="334">
                  <c:v>7.0937567780000007E-7</c:v>
                </c:pt>
                <c:pt idx="335">
                  <c:v>7.1027269254999992E-7</c:v>
                </c:pt>
                <c:pt idx="336">
                  <c:v>7.1121656894999989E-7</c:v>
                </c:pt>
                <c:pt idx="337">
                  <c:v>7.1165939904999993E-7</c:v>
                </c:pt>
                <c:pt idx="338">
                  <c:v>7.1098713749999993E-7</c:v>
                </c:pt>
                <c:pt idx="339">
                  <c:v>7.1037118219999991E-7</c:v>
                </c:pt>
                <c:pt idx="340">
                  <c:v>7.0994484804999996E-7</c:v>
                </c:pt>
                <c:pt idx="341">
                  <c:v>7.0989158859999997E-7</c:v>
                </c:pt>
                <c:pt idx="342">
                  <c:v>7.1061596989999996E-7</c:v>
                </c:pt>
                <c:pt idx="343">
                  <c:v>7.1138050539999997E-7</c:v>
                </c:pt>
                <c:pt idx="344">
                  <c:v>7.120223556999999E-7</c:v>
                </c:pt>
                <c:pt idx="345">
                  <c:v>7.1240413600000013E-7</c:v>
                </c:pt>
                <c:pt idx="346">
                  <c:v>7.1347120635000013E-7</c:v>
                </c:pt>
                <c:pt idx="347">
                  <c:v>7.1398357020000001E-7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7B-4E9C-88F1-0C9F0CB07CCC}"/>
            </c:ext>
          </c:extLst>
        </c:ser>
        <c:ser>
          <c:idx val="5"/>
          <c:order val="5"/>
          <c:tx>
            <c:strRef>
              <c:f>GRAPH!$T$33</c:f>
              <c:strCache>
                <c:ptCount val="1"/>
                <c:pt idx="0">
                  <c:v>IGS__R141-3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Wafer1!$U$2:$U$328</c:f>
              <c:numCache>
                <c:formatCode>0.00E+00</c:formatCode>
                <c:ptCount val="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18278.603529231736</c:v>
                </c:pt>
                <c:pt idx="4">
                  <c:v>51267.275677939477</c:v>
                </c:pt>
                <c:pt idx="5">
                  <c:v>82197.957523577876</c:v>
                </c:pt>
                <c:pt idx="6">
                  <c:v>116565.38179650942</c:v>
                </c:pt>
                <c:pt idx="7">
                  <c:v>150709.77263758122</c:v>
                </c:pt>
                <c:pt idx="8">
                  <c:v>179957.56586100528</c:v>
                </c:pt>
                <c:pt idx="9">
                  <c:v>204481.10548230953</c:v>
                </c:pt>
                <c:pt idx="10">
                  <c:v>234783.23856543412</c:v>
                </c:pt>
                <c:pt idx="11">
                  <c:v>263311.24207694724</c:v>
                </c:pt>
                <c:pt idx="12">
                  <c:v>296137.70809339336</c:v>
                </c:pt>
                <c:pt idx="13">
                  <c:v>326247.22139445727</c:v>
                </c:pt>
                <c:pt idx="14">
                  <c:v>357289.41995602549</c:v>
                </c:pt>
                <c:pt idx="15">
                  <c:v>390217.26480513514</c:v>
                </c:pt>
                <c:pt idx="16">
                  <c:v>416748.10531317699</c:v>
                </c:pt>
                <c:pt idx="17">
                  <c:v>451855.59506455221</c:v>
                </c:pt>
                <c:pt idx="18">
                  <c:v>479319.12083309836</c:v>
                </c:pt>
                <c:pt idx="19">
                  <c:v>511446.07290416624</c:v>
                </c:pt>
                <c:pt idx="20">
                  <c:v>543319.5778935753</c:v>
                </c:pt>
                <c:pt idx="21">
                  <c:v>577494.38238444622</c:v>
                </c:pt>
                <c:pt idx="22">
                  <c:v>611486.70497652271</c:v>
                </c:pt>
                <c:pt idx="23">
                  <c:v>644414.54982563236</c:v>
                </c:pt>
                <c:pt idx="24">
                  <c:v>676024.46985011629</c:v>
                </c:pt>
                <c:pt idx="25">
                  <c:v>709773.48324380047</c:v>
                </c:pt>
                <c:pt idx="26">
                  <c:v>742437.74312798493</c:v>
                </c:pt>
                <c:pt idx="27">
                  <c:v>775902.89579021116</c:v>
                </c:pt>
                <c:pt idx="28">
                  <c:v>801217.19030629087</c:v>
                </c:pt>
                <c:pt idx="29">
                  <c:v>833090.69529569999</c:v>
                </c:pt>
                <c:pt idx="30">
                  <c:v>860098.01631726034</c:v>
                </c:pt>
                <c:pt idx="31">
                  <c:v>891839.72882420686</c:v>
                </c:pt>
                <c:pt idx="32">
                  <c:v>912662.94105329283</c:v>
                </c:pt>
                <c:pt idx="33">
                  <c:v>942904.24683681922</c:v>
                </c:pt>
                <c:pt idx="34">
                  <c:v>975071.7504409526</c:v>
                </c:pt>
                <c:pt idx="35">
                  <c:v>1008009.7331733286</c:v>
                </c:pt>
                <c:pt idx="36">
                  <c:v>1041789.1602168117</c:v>
                </c:pt>
                <c:pt idx="37">
                  <c:v>1075305.0022953697</c:v>
                </c:pt>
                <c:pt idx="38">
                  <c:v>1103579.5587252241</c:v>
                </c:pt>
                <c:pt idx="39">
                  <c:v>1137044.7113874503</c:v>
                </c:pt>
                <c:pt idx="40">
                  <c:v>1169668.4197385693</c:v>
                </c:pt>
                <c:pt idx="41">
                  <c:v>1204684.6685405474</c:v>
                </c:pt>
                <c:pt idx="42">
                  <c:v>1238717.5426656893</c:v>
                </c:pt>
                <c:pt idx="43">
                  <c:v>1272304.3499271118</c:v>
                </c:pt>
                <c:pt idx="44">
                  <c:v>1304532.6808308433</c:v>
                </c:pt>
                <c:pt idx="45">
                  <c:v>1337267.9058978921</c:v>
                </c:pt>
                <c:pt idx="46">
                  <c:v>1371118.2981242398</c:v>
                </c:pt>
                <c:pt idx="47">
                  <c:v>1404482.0719538026</c:v>
                </c:pt>
                <c:pt idx="48">
                  <c:v>1442813.4085838776</c:v>
                </c:pt>
                <c:pt idx="49">
                  <c:v>1477241.6601564072</c:v>
                </c:pt>
                <c:pt idx="50">
                  <c:v>1512359.2877910486</c:v>
                </c:pt>
                <c:pt idx="51">
                  <c:v>1542610.7314578416</c:v>
                </c:pt>
                <c:pt idx="52">
                  <c:v>1573369.069287952</c:v>
                </c:pt>
                <c:pt idx="53">
                  <c:v>1604441.6814993194</c:v>
                </c:pt>
                <c:pt idx="54">
                  <c:v>1637460.7672978262</c:v>
                </c:pt>
                <c:pt idx="55">
                  <c:v>1673500.9423097058</c:v>
                </c:pt>
                <c:pt idx="56">
                  <c:v>1704340.383205947</c:v>
                </c:pt>
                <c:pt idx="57">
                  <c:v>1736021.2684132953</c:v>
                </c:pt>
                <c:pt idx="58">
                  <c:v>1765512.3708351117</c:v>
                </c:pt>
                <c:pt idx="59">
                  <c:v>1791739.0748451632</c:v>
                </c:pt>
                <c:pt idx="60">
                  <c:v>1823328.7191031142</c:v>
                </c:pt>
                <c:pt idx="61">
                  <c:v>1854269.5388320191</c:v>
                </c:pt>
                <c:pt idx="62">
                  <c:v>1888292.2750738948</c:v>
                </c:pt>
                <c:pt idx="63">
                  <c:v>1921483.7048879294</c:v>
                </c:pt>
                <c:pt idx="64">
                  <c:v>1955121.2015656836</c:v>
                </c:pt>
                <c:pt idx="65">
                  <c:v>1989255.4545234891</c:v>
                </c:pt>
                <c:pt idx="66">
                  <c:v>2018381.593147717</c:v>
                </c:pt>
                <c:pt idx="67">
                  <c:v>2048126.1426511921</c:v>
                </c:pt>
                <c:pt idx="68">
                  <c:v>2076623.7325129062</c:v>
                </c:pt>
                <c:pt idx="69">
                  <c:v>2111163.5008013658</c:v>
                </c:pt>
                <c:pt idx="70">
                  <c:v>2145946.5782882175</c:v>
                </c:pt>
                <c:pt idx="71">
                  <c:v>2180597.863292607</c:v>
                </c:pt>
                <c:pt idx="72">
                  <c:v>2215968.9380089077</c:v>
                </c:pt>
                <c:pt idx="73">
                  <c:v>2251451.5294411378</c:v>
                </c:pt>
                <c:pt idx="74">
                  <c:v>2281520.4912091363</c:v>
                </c:pt>
                <c:pt idx="75">
                  <c:v>2313809.6494124657</c:v>
                </c:pt>
                <c:pt idx="76">
                  <c:v>2347964.1781368037</c:v>
                </c:pt>
                <c:pt idx="77">
                  <c:v>2382645.8767909924</c:v>
                </c:pt>
                <c:pt idx="78">
                  <c:v>2415573.7216401021</c:v>
                </c:pt>
                <c:pt idx="79">
                  <c:v>2449170.6667847908</c:v>
                </c:pt>
                <c:pt idx="80">
                  <c:v>2475944.8164912253</c:v>
                </c:pt>
                <c:pt idx="81">
                  <c:v>2506733.5679711346</c:v>
                </c:pt>
                <c:pt idx="82">
                  <c:v>2536893.7706885301</c:v>
                </c:pt>
                <c:pt idx="83">
                  <c:v>2564093.7114921515</c:v>
                </c:pt>
                <c:pt idx="84">
                  <c:v>2592003.3041244168</c:v>
                </c:pt>
                <c:pt idx="85">
                  <c:v>2622062.1280091489</c:v>
                </c:pt>
                <c:pt idx="86">
                  <c:v>2652952.258321722</c:v>
                </c:pt>
                <c:pt idx="87">
                  <c:v>2685839.5516377664</c:v>
                </c:pt>
                <c:pt idx="88">
                  <c:v>2718219.9507904928</c:v>
                </c:pt>
                <c:pt idx="89">
                  <c:v>2746099.1297729597</c:v>
                </c:pt>
                <c:pt idx="90">
                  <c:v>2775417.8881792482</c:v>
                </c:pt>
                <c:pt idx="91">
                  <c:v>2802698.9320489997</c:v>
                </c:pt>
                <c:pt idx="92">
                  <c:v>2836214.7741275579</c:v>
                </c:pt>
                <c:pt idx="93">
                  <c:v>2869669.7889065179</c:v>
                </c:pt>
                <c:pt idx="94">
                  <c:v>2902293.4972576369</c:v>
                </c:pt>
                <c:pt idx="95">
                  <c:v>2935606.5816708677</c:v>
                </c:pt>
                <c:pt idx="96">
                  <c:v>2970156.4878425938</c:v>
                </c:pt>
                <c:pt idx="97">
                  <c:v>3004696.2561310534</c:v>
                </c:pt>
                <c:pt idx="98">
                  <c:v>3039651.6776334331</c:v>
                </c:pt>
                <c:pt idx="99">
                  <c:v>3073704.8275251081</c:v>
                </c:pt>
                <c:pt idx="100">
                  <c:v>3107950.597198843</c:v>
                </c:pt>
                <c:pt idx="101">
                  <c:v>3141871.9546080553</c:v>
                </c:pt>
                <c:pt idx="102">
                  <c:v>3176300.2061805851</c:v>
                </c:pt>
                <c:pt idx="103">
                  <c:v>3211478.6611148245</c:v>
                </c:pt>
                <c:pt idx="104">
                  <c:v>3243189.9599719723</c:v>
                </c:pt>
                <c:pt idx="105">
                  <c:v>3271444.2406352935</c:v>
                </c:pt>
                <c:pt idx="106">
                  <c:v>3305466.9768771692</c:v>
                </c:pt>
                <c:pt idx="107">
                  <c:v>3339428.8858194468</c:v>
                </c:pt>
                <c:pt idx="108">
                  <c:v>3367226.9617357827</c:v>
                </c:pt>
                <c:pt idx="109">
                  <c:v>3401036.8024290646</c:v>
                </c:pt>
                <c:pt idx="110">
                  <c:v>3430223.7683528909</c:v>
                </c:pt>
                <c:pt idx="111">
                  <c:v>3460485.3499029498</c:v>
                </c:pt>
                <c:pt idx="112">
                  <c:v>3494518.2240280919</c:v>
                </c:pt>
                <c:pt idx="113">
                  <c:v>3529311.43939821</c:v>
                </c:pt>
                <c:pt idx="114">
                  <c:v>3560444.8789091757</c:v>
                </c:pt>
                <c:pt idx="115">
                  <c:v>3592957.0705443649</c:v>
                </c:pt>
                <c:pt idx="116">
                  <c:v>3625428.7106464887</c:v>
                </c:pt>
                <c:pt idx="117">
                  <c:v>3652638.7893333761</c:v>
                </c:pt>
                <c:pt idx="118">
                  <c:v>3680741.0017477022</c:v>
                </c:pt>
                <c:pt idx="119">
                  <c:v>3713820.9148458075</c:v>
                </c:pt>
                <c:pt idx="120">
                  <c:v>3746008.694216473</c:v>
                </c:pt>
                <c:pt idx="121">
                  <c:v>3779453.5711121666</c:v>
                </c:pt>
                <c:pt idx="122">
                  <c:v>3806805.5801647832</c:v>
                </c:pt>
                <c:pt idx="123">
                  <c:v>3839185.9793175096</c:v>
                </c:pt>
                <c:pt idx="124">
                  <c:v>3873228.9913259181</c:v>
                </c:pt>
                <c:pt idx="125">
                  <c:v>3907799.1732641766</c:v>
                </c:pt>
                <c:pt idx="126">
                  <c:v>3936894.8982386054</c:v>
                </c:pt>
                <c:pt idx="127">
                  <c:v>3963081.0507155913</c:v>
                </c:pt>
                <c:pt idx="128">
                  <c:v>3990463.4734180067</c:v>
                </c:pt>
                <c:pt idx="129">
                  <c:v>4019853.1970071597</c:v>
                </c:pt>
                <c:pt idx="130">
                  <c:v>4043869.8424651464</c:v>
                </c:pt>
                <c:pt idx="131">
                  <c:v>4075834.5884039528</c:v>
                </c:pt>
                <c:pt idx="132">
                  <c:v>4117825.7008931804</c:v>
                </c:pt>
                <c:pt idx="133">
                  <c:v>4161966.0446348749</c:v>
                </c:pt>
                <c:pt idx="134">
                  <c:v>4190149.3601153321</c:v>
                </c:pt>
                <c:pt idx="135">
                  <c:v>4227994.0783486217</c:v>
                </c:pt>
                <c:pt idx="136">
                  <c:v>4259573.5847233068</c:v>
                </c:pt>
                <c:pt idx="137">
                  <c:v>4285415.0491692368</c:v>
                </c:pt>
                <c:pt idx="138">
                  <c:v>4315676.6307192957</c:v>
                </c:pt>
                <c:pt idx="139">
                  <c:v>4347458.8947593076</c:v>
                </c:pt>
                <c:pt idx="140">
                  <c:v>4379190.4693829883</c:v>
                </c:pt>
                <c:pt idx="141">
                  <c:v>4407880.679026763</c:v>
                </c:pt>
                <c:pt idx="142">
                  <c:v>4435759.8580092294</c:v>
                </c:pt>
                <c:pt idx="143">
                  <c:v>4468089.5677456241</c:v>
                </c:pt>
                <c:pt idx="144">
                  <c:v>4497327.2230857825</c:v>
                </c:pt>
                <c:pt idx="145">
                  <c:v>4525743.7098813653</c:v>
                </c:pt>
                <c:pt idx="146">
                  <c:v>4558651.2789639421</c:v>
                </c:pt>
                <c:pt idx="147">
                  <c:v>4589044.6529964637</c:v>
                </c:pt>
                <c:pt idx="148">
                  <c:v>4616893.4183291318</c:v>
                </c:pt>
                <c:pt idx="149">
                  <c:v>4643393.8451873744</c:v>
                </c:pt>
                <c:pt idx="150">
                  <c:v>4672327.3640295416</c:v>
                </c:pt>
                <c:pt idx="151">
                  <c:v>4701919.8452840215</c:v>
                </c:pt>
                <c:pt idx="152">
                  <c:v>4734949.0689657945</c:v>
                </c:pt>
                <c:pt idx="153">
                  <c:v>4766396.7828580169</c:v>
                </c:pt>
                <c:pt idx="154">
                  <c:v>4795685.1276145065</c:v>
                </c:pt>
                <c:pt idx="155">
                  <c:v>4828460.9042146206</c:v>
                </c:pt>
                <c:pt idx="156">
                  <c:v>4859715.9983247826</c:v>
                </c:pt>
                <c:pt idx="157">
                  <c:v>4891690.8821468549</c:v>
                </c:pt>
                <c:pt idx="158">
                  <c:v>4926473.9596337071</c:v>
                </c:pt>
                <c:pt idx="159">
                  <c:v>4958935.4618525645</c:v>
                </c:pt>
                <c:pt idx="160">
                  <c:v>4989967.5225308668</c:v>
                </c:pt>
                <c:pt idx="161">
                  <c:v>5023686.1222747518</c:v>
                </c:pt>
                <c:pt idx="162">
                  <c:v>5055752.247046221</c:v>
                </c:pt>
                <c:pt idx="163">
                  <c:v>5086713.3425416583</c:v>
                </c:pt>
                <c:pt idx="164">
                  <c:v>5107952.2079846654</c:v>
                </c:pt>
                <c:pt idx="165">
                  <c:v>5129839.8979567178</c:v>
                </c:pt>
                <c:pt idx="166">
                  <c:v>5154819.6423250083</c:v>
                </c:pt>
                <c:pt idx="167">
                  <c:v>5182181.7892608903</c:v>
                </c:pt>
                <c:pt idx="168">
                  <c:v>5214481.0853474867</c:v>
                </c:pt>
                <c:pt idx="169">
                  <c:v>5249000.5778694134</c:v>
                </c:pt>
                <c:pt idx="170">
                  <c:v>5282830.6943292283</c:v>
                </c:pt>
                <c:pt idx="171">
                  <c:v>5314795.4402680341</c:v>
                </c:pt>
                <c:pt idx="172">
                  <c:v>5347419.1486191535</c:v>
                </c:pt>
                <c:pt idx="173">
                  <c:v>5379617.0658730855</c:v>
                </c:pt>
                <c:pt idx="174">
                  <c:v>5412027.8786756117</c:v>
                </c:pt>
                <c:pt idx="175">
                  <c:v>5447723.3656564355</c:v>
                </c:pt>
                <c:pt idx="176">
                  <c:v>5481198.6562019279</c:v>
                </c:pt>
                <c:pt idx="177">
                  <c:v>5513751.3993701823</c:v>
                </c:pt>
                <c:pt idx="178">
                  <c:v>5546547.4517368292</c:v>
                </c:pt>
                <c:pt idx="179">
                  <c:v>5580266.0514807142</c:v>
                </c:pt>
                <c:pt idx="180">
                  <c:v>5614674.0272867111</c:v>
                </c:pt>
                <c:pt idx="181">
                  <c:v>5645533.743949485</c:v>
                </c:pt>
                <c:pt idx="182">
                  <c:v>5676859.8032425111</c:v>
                </c:pt>
                <c:pt idx="183">
                  <c:v>5710598.678752929</c:v>
                </c:pt>
                <c:pt idx="184">
                  <c:v>5743820.5222167633</c:v>
                </c:pt>
                <c:pt idx="185">
                  <c:v>5778897.5983183393</c:v>
                </c:pt>
                <c:pt idx="186">
                  <c:v>5813285.2983578034</c:v>
                </c:pt>
                <c:pt idx="187">
                  <c:v>5842573.643114293</c:v>
                </c:pt>
                <c:pt idx="188">
                  <c:v>5874791.8361347578</c:v>
                </c:pt>
                <c:pt idx="189">
                  <c:v>5898473.9314449551</c:v>
                </c:pt>
                <c:pt idx="190">
                  <c:v>5923818.6396108335</c:v>
                </c:pt>
                <c:pt idx="191">
                  <c:v>5957750.1349033117</c:v>
                </c:pt>
                <c:pt idx="192">
                  <c:v>5990556.325153226</c:v>
                </c:pt>
                <c:pt idx="193">
                  <c:v>6024163.4081811812</c:v>
                </c:pt>
                <c:pt idx="194">
                  <c:v>6059189.794866425</c:v>
                </c:pt>
                <c:pt idx="195">
                  <c:v>6093384.8751238286</c:v>
                </c:pt>
                <c:pt idx="196">
                  <c:v>6125937.618292083</c:v>
                </c:pt>
                <c:pt idx="197">
                  <c:v>6157496.8489002353</c:v>
                </c:pt>
                <c:pt idx="198">
                  <c:v>6188062.5669482853</c:v>
                </c:pt>
                <c:pt idx="199">
                  <c:v>6213093.0007329071</c:v>
                </c:pt>
                <c:pt idx="200">
                  <c:v>6240698.4568671826</c:v>
                </c:pt>
                <c:pt idx="201">
                  <c:v>6271811.6206116145</c:v>
                </c:pt>
                <c:pt idx="202">
                  <c:v>6299052.1129483012</c:v>
                </c:pt>
                <c:pt idx="203">
                  <c:v>6328796.6624517767</c:v>
                </c:pt>
                <c:pt idx="204">
                  <c:v>6362930.9154095817</c:v>
                </c:pt>
                <c:pt idx="205">
                  <c:v>6395453.2449280377</c:v>
                </c:pt>
                <c:pt idx="206">
                  <c:v>6427154.4059019191</c:v>
                </c:pt>
                <c:pt idx="207">
                  <c:v>6459615.9081207765</c:v>
                </c:pt>
                <c:pt idx="208">
                  <c:v>6493902.2293275772</c:v>
                </c:pt>
                <c:pt idx="209">
                  <c:v>6522217.3372904966</c:v>
                </c:pt>
                <c:pt idx="210">
                  <c:v>6554263.1862954339</c:v>
                </c:pt>
                <c:pt idx="211">
                  <c:v>6581300.9209667929</c:v>
                </c:pt>
                <c:pt idx="212">
                  <c:v>6612880.4273414779</c:v>
                </c:pt>
                <c:pt idx="213">
                  <c:v>6647369.5062136054</c:v>
                </c:pt>
                <c:pt idx="214">
                  <c:v>6680824.5209925659</c:v>
                </c:pt>
                <c:pt idx="215">
                  <c:v>6714573.5343862502</c:v>
                </c:pt>
                <c:pt idx="216">
                  <c:v>6743324.5713296225</c:v>
                </c:pt>
                <c:pt idx="217">
                  <c:v>6778878.1279447172</c:v>
                </c:pt>
                <c:pt idx="218">
                  <c:v>6813022.5187857896</c:v>
                </c:pt>
                <c:pt idx="219">
                  <c:v>6847308.8399925902</c:v>
                </c:pt>
                <c:pt idx="220">
                  <c:v>6880256.9606082318</c:v>
                </c:pt>
                <c:pt idx="221">
                  <c:v>6909626.4084308529</c:v>
                </c:pt>
                <c:pt idx="222">
                  <c:v>6943568.0416065976</c:v>
                </c:pt>
                <c:pt idx="223">
                  <c:v>6978077.3962452579</c:v>
                </c:pt>
                <c:pt idx="224">
                  <c:v>7000188.11964917</c:v>
                </c:pt>
                <c:pt idx="225">
                  <c:v>7026698.6843906799</c:v>
                </c:pt>
                <c:pt idx="226">
                  <c:v>7060021.9066871768</c:v>
                </c:pt>
                <c:pt idx="227">
                  <c:v>7089006.1149456762</c:v>
                </c:pt>
                <c:pt idx="228">
                  <c:v>7119034.525180609</c:v>
                </c:pt>
                <c:pt idx="229">
                  <c:v>7150583.6179054948</c:v>
                </c:pt>
                <c:pt idx="230">
                  <c:v>7180987.1298212828</c:v>
                </c:pt>
                <c:pt idx="231">
                  <c:v>7214573.9370827051</c:v>
                </c:pt>
                <c:pt idx="232">
                  <c:v>7244146.142570653</c:v>
                </c:pt>
                <c:pt idx="233">
                  <c:v>7270048.4343161806</c:v>
                </c:pt>
                <c:pt idx="234">
                  <c:v>7303523.7248616731</c:v>
                </c:pt>
                <c:pt idx="235">
                  <c:v>7334788.9568551015</c:v>
                </c:pt>
                <c:pt idx="236">
                  <c:v>7363489.3043821426</c:v>
                </c:pt>
                <c:pt idx="237">
                  <c:v>7392980.406803959</c:v>
                </c:pt>
                <c:pt idx="238">
                  <c:v>7422359.9925098456</c:v>
                </c:pt>
                <c:pt idx="239">
                  <c:v>7454841.7704952359</c:v>
                </c:pt>
                <c:pt idx="240">
                  <c:v>7483967.9091194635</c:v>
                </c:pt>
                <c:pt idx="241">
                  <c:v>7517615.5436804844</c:v>
                </c:pt>
                <c:pt idx="242">
                  <c:v>7549560.0138527574</c:v>
                </c:pt>
                <c:pt idx="243">
                  <c:v>7584302.5398065438</c:v>
                </c:pt>
                <c:pt idx="244">
                  <c:v>7618031.2774336953</c:v>
                </c:pt>
                <c:pt idx="245">
                  <c:v>7648323.2726335535</c:v>
                </c:pt>
                <c:pt idx="246">
                  <c:v>7680784.7748524109</c:v>
                </c:pt>
                <c:pt idx="247">
                  <c:v>7713276.6907210676</c:v>
                </c:pt>
                <c:pt idx="248">
                  <c:v>7746539.0857179668</c:v>
                </c:pt>
                <c:pt idx="249">
                  <c:v>7771640.4846854536</c:v>
                </c:pt>
                <c:pt idx="250">
                  <c:v>7804233.7793867737</c:v>
                </c:pt>
                <c:pt idx="251">
                  <c:v>7839260.1660720175</c:v>
                </c:pt>
                <c:pt idx="252">
                  <c:v>7868994.5776922265</c:v>
                </c:pt>
                <c:pt idx="253">
                  <c:v>7899418.3653745474</c:v>
                </c:pt>
                <c:pt idx="254">
                  <c:v>7931464.2143794848</c:v>
                </c:pt>
                <c:pt idx="255">
                  <c:v>7962222.5522095952</c:v>
                </c:pt>
                <c:pt idx="256">
                  <c:v>7993761.5070512146</c:v>
                </c:pt>
                <c:pt idx="257">
                  <c:v>8024753.0161964511</c:v>
                </c:pt>
                <c:pt idx="258">
                  <c:v>8051679.2341518803</c:v>
                </c:pt>
                <c:pt idx="259">
                  <c:v>8078524.3490411788</c:v>
                </c:pt>
                <c:pt idx="260">
                  <c:v>8107711.314965005</c:v>
                </c:pt>
                <c:pt idx="261">
                  <c:v>8137557.2433011439</c:v>
                </c:pt>
                <c:pt idx="262">
                  <c:v>8173323.6954648318</c:v>
                </c:pt>
                <c:pt idx="263">
                  <c:v>8203534.5875985594</c:v>
                </c:pt>
                <c:pt idx="264">
                  <c:v>8231332.6635148954</c:v>
                </c:pt>
                <c:pt idx="265">
                  <c:v>8264797.8161771214</c:v>
                </c:pt>
                <c:pt idx="266">
                  <c:v>8297664.8337266333</c:v>
                </c:pt>
                <c:pt idx="267">
                  <c:v>8326000.2174560856</c:v>
                </c:pt>
                <c:pt idx="268">
                  <c:v>8360874.5358923348</c:v>
                </c:pt>
                <c:pt idx="269">
                  <c:v>8395221.6843987331</c:v>
                </c:pt>
                <c:pt idx="270">
                  <c:v>8427774.4275669884</c:v>
                </c:pt>
                <c:pt idx="271">
                  <c:v>8457072.9102067444</c:v>
                </c:pt>
                <c:pt idx="272">
                  <c:v>8488642.2786981631</c:v>
                </c:pt>
                <c:pt idx="273">
                  <c:v>8516288.2863655034</c:v>
                </c:pt>
                <c:pt idx="274">
                  <c:v>8548820.753767224</c:v>
                </c:pt>
                <c:pt idx="275">
                  <c:v>8579183.7141499482</c:v>
                </c:pt>
                <c:pt idx="276">
                  <c:v>8611209.2873883527</c:v>
                </c:pt>
                <c:pt idx="277">
                  <c:v>8645333.4024628904</c:v>
                </c:pt>
                <c:pt idx="278">
                  <c:v>8673891.8196242023</c:v>
                </c:pt>
                <c:pt idx="279">
                  <c:v>8706140.4262944665</c:v>
                </c:pt>
                <c:pt idx="280">
                  <c:v>8733806.7097283397</c:v>
                </c:pt>
                <c:pt idx="281">
                  <c:v>8765903.2481496092</c:v>
                </c:pt>
                <c:pt idx="282">
                  <c:v>8795880.9689682107</c:v>
                </c:pt>
                <c:pt idx="283">
                  <c:v>8827440.199576363</c:v>
                </c:pt>
                <c:pt idx="284">
                  <c:v>8855005.1041775718</c:v>
                </c:pt>
                <c:pt idx="285">
                  <c:v>8881464.9795027506</c:v>
                </c:pt>
                <c:pt idx="286">
                  <c:v>8911209.5290062241</c:v>
                </c:pt>
                <c:pt idx="287">
                  <c:v>8939392.8444866817</c:v>
                </c:pt>
                <c:pt idx="288">
                  <c:v>8971053.4539274983</c:v>
                </c:pt>
                <c:pt idx="289">
                  <c:v>8999104.9769254923</c:v>
                </c:pt>
                <c:pt idx="290">
                  <c:v>9027896.5654019304</c:v>
                </c:pt>
                <c:pt idx="291">
                  <c:v>9059080.6943292283</c:v>
                </c:pt>
                <c:pt idx="292">
                  <c:v>9088034.4889379274</c:v>
                </c:pt>
                <c:pt idx="293">
                  <c:v>9114453.8127300404</c:v>
                </c:pt>
                <c:pt idx="294">
                  <c:v>9140092.5195106417</c:v>
                </c:pt>
                <c:pt idx="295">
                  <c:v>9172645.262678897</c:v>
                </c:pt>
                <c:pt idx="296">
                  <c:v>9199845.203482518</c:v>
                </c:pt>
                <c:pt idx="297">
                  <c:v>9229539.0635696612</c:v>
                </c:pt>
                <c:pt idx="298">
                  <c:v>9262172.909804048</c:v>
                </c:pt>
                <c:pt idx="299">
                  <c:v>9288308.3728647009</c:v>
                </c:pt>
                <c:pt idx="300">
                  <c:v>9316167.2760806344</c:v>
                </c:pt>
                <c:pt idx="301">
                  <c:v>9346651.891062554</c:v>
                </c:pt>
                <c:pt idx="302">
                  <c:v>9378403.7414527666</c:v>
                </c:pt>
                <c:pt idx="303">
                  <c:v>9412355.5125117786</c:v>
                </c:pt>
                <c:pt idx="304">
                  <c:v>9445405.0119600836</c:v>
                </c:pt>
                <c:pt idx="305">
                  <c:v>9478829.6130892448</c:v>
                </c:pt>
                <c:pt idx="306">
                  <c:v>9511767.5958216209</c:v>
                </c:pt>
                <c:pt idx="307">
                  <c:v>9544614.3376045991</c:v>
                </c:pt>
                <c:pt idx="308">
                  <c:v>9577430.6657377798</c:v>
                </c:pt>
                <c:pt idx="309">
                  <c:v>9608716.1734977402</c:v>
                </c:pt>
                <c:pt idx="310">
                  <c:v>9641725.1214129813</c:v>
                </c:pt>
                <c:pt idx="311">
                  <c:v>9673872.3492505811</c:v>
                </c:pt>
                <c:pt idx="312">
                  <c:v>9707976.1885585878</c:v>
                </c:pt>
                <c:pt idx="313">
                  <c:v>9743083.6783099622</c:v>
                </c:pt>
                <c:pt idx="314">
                  <c:v>9776285.2460072637</c:v>
                </c:pt>
                <c:pt idx="315">
                  <c:v>9809527.3652376309</c:v>
                </c:pt>
                <c:pt idx="316">
                  <c:v>9840011.9802195486</c:v>
                </c:pt>
                <c:pt idx="317">
                  <c:v>9868489.2943147309</c:v>
                </c:pt>
                <c:pt idx="318">
                  <c:v>9902907.4080039933</c:v>
                </c:pt>
                <c:pt idx="319">
                  <c:v>9936818.6275299396</c:v>
                </c:pt>
                <c:pt idx="320">
                  <c:v>9970070.8846435733</c:v>
                </c:pt>
                <c:pt idx="321">
                  <c:v>10001508.460652528</c:v>
                </c:pt>
                <c:pt idx="322">
                  <c:v>10032925.760894952</c:v>
                </c:pt>
                <c:pt idx="323">
                  <c:v>10066157.742242051</c:v>
                </c:pt>
                <c:pt idx="324">
                  <c:v>10070000</c:v>
                </c:pt>
                <c:pt idx="325">
                  <c:v>10070000</c:v>
                </c:pt>
                <c:pt idx="326">
                  <c:v>10070000</c:v>
                </c:pt>
              </c:numCache>
            </c:numRef>
          </c:xVal>
          <c:yVal>
            <c:numRef>
              <c:f>Wafer1!$W$2:$W$328</c:f>
              <c:numCache>
                <c:formatCode>0.00E+00</c:formatCode>
                <c:ptCount val="327"/>
                <c:pt idx="0">
                  <c:v>1.155155E-6</c:v>
                </c:pt>
                <c:pt idx="1">
                  <c:v>1.1470560000000001E-6</c:v>
                </c:pt>
                <c:pt idx="2">
                  <c:v>1.1433126666666667E-6</c:v>
                </c:pt>
                <c:pt idx="3">
                  <c:v>1.14114175E-6</c:v>
                </c:pt>
                <c:pt idx="4">
                  <c:v>1.1369558E-6</c:v>
                </c:pt>
                <c:pt idx="5">
                  <c:v>1.1386788333333335E-6</c:v>
                </c:pt>
                <c:pt idx="6">
                  <c:v>1.136784E-6</c:v>
                </c:pt>
                <c:pt idx="7">
                  <c:v>1.1333550000000001E-6</c:v>
                </c:pt>
                <c:pt idx="8">
                  <c:v>1.130148888888889E-6</c:v>
                </c:pt>
                <c:pt idx="9">
                  <c:v>1.1237689E-6</c:v>
                </c:pt>
                <c:pt idx="10">
                  <c:v>1.1203889090909091E-6</c:v>
                </c:pt>
                <c:pt idx="11">
                  <c:v>1.1190108333333333E-6</c:v>
                </c:pt>
                <c:pt idx="12">
                  <c:v>1.1172322307692307E-6</c:v>
                </c:pt>
                <c:pt idx="13">
                  <c:v>1.1147575000000001E-6</c:v>
                </c:pt>
                <c:pt idx="14">
                  <c:v>1.1101576666666667E-6</c:v>
                </c:pt>
                <c:pt idx="15">
                  <c:v>1.1073215E-6</c:v>
                </c:pt>
                <c:pt idx="16">
                  <c:v>1.1053749411764705E-6</c:v>
                </c:pt>
                <c:pt idx="17">
                  <c:v>1.103440611111111E-6</c:v>
                </c:pt>
                <c:pt idx="18">
                  <c:v>1.102019947368421E-6</c:v>
                </c:pt>
                <c:pt idx="19">
                  <c:v>1.1006463499999999E-6</c:v>
                </c:pt>
                <c:pt idx="20">
                  <c:v>1.0962158499999999E-6</c:v>
                </c:pt>
                <c:pt idx="21">
                  <c:v>1.09231585E-6</c:v>
                </c:pt>
                <c:pt idx="22">
                  <c:v>1.0878109000000001E-6</c:v>
                </c:pt>
                <c:pt idx="23">
                  <c:v>1.0832606000000001E-6</c:v>
                </c:pt>
                <c:pt idx="24">
                  <c:v>1.0801115000000003E-6</c:v>
                </c:pt>
                <c:pt idx="25">
                  <c:v>1.0757522E-6</c:v>
                </c:pt>
                <c:pt idx="26">
                  <c:v>1.0720707499999999E-6</c:v>
                </c:pt>
                <c:pt idx="27">
                  <c:v>1.0671025000000001E-6</c:v>
                </c:pt>
                <c:pt idx="28">
                  <c:v>1.0634299499999999E-6</c:v>
                </c:pt>
                <c:pt idx="29">
                  <c:v>1.06208455E-6</c:v>
                </c:pt>
                <c:pt idx="30">
                  <c:v>1.0608507499999999E-6</c:v>
                </c:pt>
                <c:pt idx="31">
                  <c:v>1.0571124500000001E-6</c:v>
                </c:pt>
                <c:pt idx="32">
                  <c:v>1.0534123500000001E-6</c:v>
                </c:pt>
                <c:pt idx="33">
                  <c:v>1.0502242499999998E-6</c:v>
                </c:pt>
                <c:pt idx="34">
                  <c:v>1.0492343E-6</c:v>
                </c:pt>
                <c:pt idx="35">
                  <c:v>1.0474352499999999E-6</c:v>
                </c:pt>
                <c:pt idx="36">
                  <c:v>1.04633045E-6</c:v>
                </c:pt>
                <c:pt idx="37">
                  <c:v>1.04425935E-6</c:v>
                </c:pt>
                <c:pt idx="38">
                  <c:v>1.04163605E-6</c:v>
                </c:pt>
                <c:pt idx="39">
                  <c:v>1.03831375E-6</c:v>
                </c:pt>
                <c:pt idx="40">
                  <c:v>1.0351010000000001E-6</c:v>
                </c:pt>
                <c:pt idx="41">
                  <c:v>1.0321764500000002E-6</c:v>
                </c:pt>
                <c:pt idx="42">
                  <c:v>1.0306433000000003E-6</c:v>
                </c:pt>
                <c:pt idx="43">
                  <c:v>1.0292487500000001E-6</c:v>
                </c:pt>
                <c:pt idx="44">
                  <c:v>1.0273124500000002E-6</c:v>
                </c:pt>
                <c:pt idx="45">
                  <c:v>1.0246875500000001E-6</c:v>
                </c:pt>
                <c:pt idx="46">
                  <c:v>1.02393765E-6</c:v>
                </c:pt>
                <c:pt idx="47">
                  <c:v>1.0230075006499998E-6</c:v>
                </c:pt>
                <c:pt idx="48">
                  <c:v>1.0214200463499999E-6</c:v>
                </c:pt>
                <c:pt idx="49">
                  <c:v>1.01917091865E-6</c:v>
                </c:pt>
                <c:pt idx="50">
                  <c:v>1.0158866279500001E-6</c:v>
                </c:pt>
                <c:pt idx="51">
                  <c:v>1.01481212795E-6</c:v>
                </c:pt>
                <c:pt idx="52">
                  <c:v>1.0137103995499997E-6</c:v>
                </c:pt>
                <c:pt idx="53">
                  <c:v>1.0136250495499999E-6</c:v>
                </c:pt>
                <c:pt idx="54">
                  <c:v>1.0122515795999998E-6</c:v>
                </c:pt>
                <c:pt idx="55">
                  <c:v>1.0102569388499998E-6</c:v>
                </c:pt>
                <c:pt idx="56">
                  <c:v>1.0075263200499998E-6</c:v>
                </c:pt>
                <c:pt idx="57">
                  <c:v>1.0070271200499999E-6</c:v>
                </c:pt>
                <c:pt idx="58">
                  <c:v>1.00640177005E-6</c:v>
                </c:pt>
                <c:pt idx="59">
                  <c:v>1.0058716485000002E-6</c:v>
                </c:pt>
                <c:pt idx="60">
                  <c:v>1.0054779903500001E-6</c:v>
                </c:pt>
                <c:pt idx="61">
                  <c:v>1.0039445016500002E-6</c:v>
                </c:pt>
                <c:pt idx="62">
                  <c:v>1.0021295119499999E-6</c:v>
                </c:pt>
                <c:pt idx="63">
                  <c:v>1.0002296846000003E-6</c:v>
                </c:pt>
                <c:pt idx="64">
                  <c:v>9.9762554020000024E-7</c:v>
                </c:pt>
                <c:pt idx="65">
                  <c:v>9.9504456310000005E-7</c:v>
                </c:pt>
                <c:pt idx="66">
                  <c:v>9.9124351365000007E-7</c:v>
                </c:pt>
                <c:pt idx="67">
                  <c:v>9.9050763580000011E-7</c:v>
                </c:pt>
                <c:pt idx="68">
                  <c:v>9.8940863650000015E-7</c:v>
                </c:pt>
                <c:pt idx="69">
                  <c:v>9.8866705159999999E-7</c:v>
                </c:pt>
                <c:pt idx="70">
                  <c:v>9.8848281070000015E-7</c:v>
                </c:pt>
                <c:pt idx="71">
                  <c:v>9.8853616070000013E-7</c:v>
                </c:pt>
                <c:pt idx="72">
                  <c:v>9.8830095970000001E-7</c:v>
                </c:pt>
                <c:pt idx="73">
                  <c:v>9.8680672385000006E-7</c:v>
                </c:pt>
                <c:pt idx="74">
                  <c:v>9.8643608200000001E-7</c:v>
                </c:pt>
                <c:pt idx="75">
                  <c:v>9.8586038890000008E-7</c:v>
                </c:pt>
                <c:pt idx="76">
                  <c:v>9.8397234045000008E-7</c:v>
                </c:pt>
                <c:pt idx="77">
                  <c:v>9.8055080434999976E-7</c:v>
                </c:pt>
                <c:pt idx="78">
                  <c:v>9.7841190479999997E-7</c:v>
                </c:pt>
                <c:pt idx="79">
                  <c:v>9.7677325114999997E-7</c:v>
                </c:pt>
                <c:pt idx="80">
                  <c:v>9.7646562024999976E-7</c:v>
                </c:pt>
                <c:pt idx="81">
                  <c:v>9.7614994029999997E-7</c:v>
                </c:pt>
                <c:pt idx="82">
                  <c:v>9.752659284999996E-7</c:v>
                </c:pt>
                <c:pt idx="83">
                  <c:v>9.7456936924999999E-7</c:v>
                </c:pt>
                <c:pt idx="84">
                  <c:v>9.7601292495000011E-7</c:v>
                </c:pt>
                <c:pt idx="85">
                  <c:v>9.7795558860000006E-7</c:v>
                </c:pt>
                <c:pt idx="86">
                  <c:v>9.7959815875000003E-7</c:v>
                </c:pt>
                <c:pt idx="87">
                  <c:v>9.8007494429999991E-7</c:v>
                </c:pt>
                <c:pt idx="88">
                  <c:v>9.7978569089999993E-7</c:v>
                </c:pt>
                <c:pt idx="89">
                  <c:v>9.7770501429999996E-7</c:v>
                </c:pt>
                <c:pt idx="90">
                  <c:v>9.7522875584999991E-7</c:v>
                </c:pt>
                <c:pt idx="91">
                  <c:v>9.7153134965E-7</c:v>
                </c:pt>
                <c:pt idx="92">
                  <c:v>9.6858399845000034E-7</c:v>
                </c:pt>
                <c:pt idx="93">
                  <c:v>9.669998804000003E-7</c:v>
                </c:pt>
                <c:pt idx="94">
                  <c:v>9.6550285210000037E-7</c:v>
                </c:pt>
                <c:pt idx="95">
                  <c:v>9.6475597505000049E-7</c:v>
                </c:pt>
                <c:pt idx="96">
                  <c:v>9.6492259450000003E-7</c:v>
                </c:pt>
                <c:pt idx="97">
                  <c:v>9.6693981394999987E-7</c:v>
                </c:pt>
                <c:pt idx="98">
                  <c:v>9.6783205100000019E-7</c:v>
                </c:pt>
                <c:pt idx="99">
                  <c:v>9.6849620949999998E-7</c:v>
                </c:pt>
                <c:pt idx="100">
                  <c:v>9.6850079675000008E-7</c:v>
                </c:pt>
                <c:pt idx="101">
                  <c:v>9.686855435500002E-7</c:v>
                </c:pt>
                <c:pt idx="102">
                  <c:v>9.690201920999998E-7</c:v>
                </c:pt>
                <c:pt idx="103">
                  <c:v>9.6915671865000004E-7</c:v>
                </c:pt>
                <c:pt idx="104">
                  <c:v>9.6766135014999984E-7</c:v>
                </c:pt>
                <c:pt idx="105">
                  <c:v>9.6621478745000014E-7</c:v>
                </c:pt>
                <c:pt idx="106">
                  <c:v>9.6488448660000014E-7</c:v>
                </c:pt>
                <c:pt idx="107">
                  <c:v>9.6388240535000017E-7</c:v>
                </c:pt>
                <c:pt idx="108">
                  <c:v>9.6376701320000001E-7</c:v>
                </c:pt>
                <c:pt idx="109">
                  <c:v>9.6525389205000006E-7</c:v>
                </c:pt>
                <c:pt idx="110">
                  <c:v>9.6625243194999985E-7</c:v>
                </c:pt>
                <c:pt idx="111">
                  <c:v>9.6777901315000008E-7</c:v>
                </c:pt>
                <c:pt idx="112">
                  <c:v>9.6919408175000002E-7</c:v>
                </c:pt>
                <c:pt idx="113">
                  <c:v>9.6901748629999987E-7</c:v>
                </c:pt>
                <c:pt idx="114">
                  <c:v>9.6846405024999982E-7</c:v>
                </c:pt>
                <c:pt idx="115">
                  <c:v>9.6704704614999979E-7</c:v>
                </c:pt>
                <c:pt idx="116">
                  <c:v>9.6581119915E-7</c:v>
                </c:pt>
                <c:pt idx="117">
                  <c:v>9.6338481504999976E-7</c:v>
                </c:pt>
                <c:pt idx="118">
                  <c:v>9.6115925875000005E-7</c:v>
                </c:pt>
                <c:pt idx="119">
                  <c:v>9.5982670975000015E-7</c:v>
                </c:pt>
                <c:pt idx="120">
                  <c:v>9.5923271875000019E-7</c:v>
                </c:pt>
                <c:pt idx="121">
                  <c:v>9.5944867825000013E-7</c:v>
                </c:pt>
                <c:pt idx="122">
                  <c:v>9.5902960015000007E-7</c:v>
                </c:pt>
                <c:pt idx="123">
                  <c:v>9.5866056700000003E-7</c:v>
                </c:pt>
                <c:pt idx="124">
                  <c:v>9.5814584984999986E-7</c:v>
                </c:pt>
                <c:pt idx="125">
                  <c:v>9.5763988659999981E-7</c:v>
                </c:pt>
                <c:pt idx="126">
                  <c:v>9.569303215999999E-7</c:v>
                </c:pt>
                <c:pt idx="127">
                  <c:v>9.5610573389999981E-7</c:v>
                </c:pt>
                <c:pt idx="128">
                  <c:v>9.5363239714999986E-7</c:v>
                </c:pt>
                <c:pt idx="129">
                  <c:v>9.5157165840000011E-7</c:v>
                </c:pt>
                <c:pt idx="130">
                  <c:v>9.5018959875000001E-7</c:v>
                </c:pt>
                <c:pt idx="131">
                  <c:v>9.4884543375000001E-7</c:v>
                </c:pt>
                <c:pt idx="132">
                  <c:v>9.4840143550000017E-7</c:v>
                </c:pt>
                <c:pt idx="133">
                  <c:v>9.4841687984999992E-7</c:v>
                </c:pt>
                <c:pt idx="134">
                  <c:v>9.4744906095000008E-7</c:v>
                </c:pt>
                <c:pt idx="135">
                  <c:v>9.4675418995000021E-7</c:v>
                </c:pt>
                <c:pt idx="136">
                  <c:v>9.4635881839999994E-7</c:v>
                </c:pt>
                <c:pt idx="137">
                  <c:v>9.4595161774999999E-7</c:v>
                </c:pt>
                <c:pt idx="138">
                  <c:v>9.4565825169999996E-7</c:v>
                </c:pt>
                <c:pt idx="139">
                  <c:v>9.4518113360000016E-7</c:v>
                </c:pt>
                <c:pt idx="140">
                  <c:v>9.4429232425000019E-7</c:v>
                </c:pt>
                <c:pt idx="141">
                  <c:v>9.4348419275000002E-7</c:v>
                </c:pt>
                <c:pt idx="142">
                  <c:v>9.4400604945000003E-7</c:v>
                </c:pt>
                <c:pt idx="143">
                  <c:v>9.4437424129999976E-7</c:v>
                </c:pt>
                <c:pt idx="144">
                  <c:v>9.4460128529999983E-7</c:v>
                </c:pt>
                <c:pt idx="145">
                  <c:v>9.4435943074999962E-7</c:v>
                </c:pt>
                <c:pt idx="146">
                  <c:v>9.4318717164999993E-7</c:v>
                </c:pt>
                <c:pt idx="147">
                  <c:v>9.4155890329999992E-7</c:v>
                </c:pt>
                <c:pt idx="148">
                  <c:v>9.4193799489999993E-7</c:v>
                </c:pt>
                <c:pt idx="149">
                  <c:v>9.4215451999999993E-7</c:v>
                </c:pt>
                <c:pt idx="150">
                  <c:v>9.4196521440000015E-7</c:v>
                </c:pt>
                <c:pt idx="151">
                  <c:v>9.418100602999999E-7</c:v>
                </c:pt>
                <c:pt idx="152">
                  <c:v>9.4075642489999978E-7</c:v>
                </c:pt>
                <c:pt idx="153">
                  <c:v>9.4045954594999979E-7</c:v>
                </c:pt>
                <c:pt idx="154">
                  <c:v>9.4269761915000015E-7</c:v>
                </c:pt>
                <c:pt idx="155">
                  <c:v>9.4561567040000017E-7</c:v>
                </c:pt>
                <c:pt idx="156">
                  <c:v>9.4777495860000019E-7</c:v>
                </c:pt>
                <c:pt idx="157">
                  <c:v>9.4989883050000015E-7</c:v>
                </c:pt>
                <c:pt idx="158">
                  <c:v>9.5091462524999974E-7</c:v>
                </c:pt>
                <c:pt idx="159">
                  <c:v>9.5139767779999991E-7</c:v>
                </c:pt>
                <c:pt idx="160">
                  <c:v>9.504924861499999E-7</c:v>
                </c:pt>
                <c:pt idx="161">
                  <c:v>9.5019007065000017E-7</c:v>
                </c:pt>
                <c:pt idx="162">
                  <c:v>9.476153963E-7</c:v>
                </c:pt>
                <c:pt idx="163">
                  <c:v>9.4554026194999989E-7</c:v>
                </c:pt>
                <c:pt idx="164">
                  <c:v>9.4454830164999996E-7</c:v>
                </c:pt>
                <c:pt idx="165">
                  <c:v>9.4383900664999996E-7</c:v>
                </c:pt>
                <c:pt idx="166">
                  <c:v>9.4319419479999989E-7</c:v>
                </c:pt>
                <c:pt idx="167">
                  <c:v>9.435089481499999E-7</c:v>
                </c:pt>
                <c:pt idx="168">
                  <c:v>9.4365833834999997E-7</c:v>
                </c:pt>
                <c:pt idx="169">
                  <c:v>9.4413830145000003E-7</c:v>
                </c:pt>
                <c:pt idx="170">
                  <c:v>9.4501328649999992E-7</c:v>
                </c:pt>
                <c:pt idx="171">
                  <c:v>9.4711207630000009E-7</c:v>
                </c:pt>
                <c:pt idx="172">
                  <c:v>9.488222588999998E-7</c:v>
                </c:pt>
                <c:pt idx="173">
                  <c:v>9.4949427600000017E-7</c:v>
                </c:pt>
                <c:pt idx="174">
                  <c:v>9.4848774389999983E-7</c:v>
                </c:pt>
                <c:pt idx="175">
                  <c:v>9.4735556509999996E-7</c:v>
                </c:pt>
                <c:pt idx="176">
                  <c:v>9.4505015805000004E-7</c:v>
                </c:pt>
                <c:pt idx="177">
                  <c:v>9.4237302630000007E-7</c:v>
                </c:pt>
                <c:pt idx="178">
                  <c:v>9.4075685705000009E-7</c:v>
                </c:pt>
                <c:pt idx="179">
                  <c:v>9.4030768320000009E-7</c:v>
                </c:pt>
                <c:pt idx="180">
                  <c:v>9.4050113840000002E-7</c:v>
                </c:pt>
                <c:pt idx="181">
                  <c:v>9.4018980414999999E-7</c:v>
                </c:pt>
                <c:pt idx="182">
                  <c:v>9.4118628920000005E-7</c:v>
                </c:pt>
                <c:pt idx="183">
                  <c:v>9.4181896494999975E-7</c:v>
                </c:pt>
                <c:pt idx="184">
                  <c:v>9.4199237999999983E-7</c:v>
                </c:pt>
                <c:pt idx="185">
                  <c:v>9.4269267954999989E-7</c:v>
                </c:pt>
                <c:pt idx="186">
                  <c:v>9.4487252519999974E-7</c:v>
                </c:pt>
                <c:pt idx="187">
                  <c:v>9.474419387E-7</c:v>
                </c:pt>
                <c:pt idx="188">
                  <c:v>9.4878693074999997E-7</c:v>
                </c:pt>
                <c:pt idx="189">
                  <c:v>9.4902505064999991E-7</c:v>
                </c:pt>
                <c:pt idx="190">
                  <c:v>9.4913156669999998E-7</c:v>
                </c:pt>
                <c:pt idx="191">
                  <c:v>9.4627111205000001E-7</c:v>
                </c:pt>
                <c:pt idx="192">
                  <c:v>9.4450356024999999E-7</c:v>
                </c:pt>
                <c:pt idx="193">
                  <c:v>9.4289571569999991E-7</c:v>
                </c:pt>
                <c:pt idx="194">
                  <c:v>9.4164633999999987E-7</c:v>
                </c:pt>
                <c:pt idx="195">
                  <c:v>9.3993311914999986E-7</c:v>
                </c:pt>
                <c:pt idx="196">
                  <c:v>9.4062670549999988E-7</c:v>
                </c:pt>
                <c:pt idx="197">
                  <c:v>9.4069874315000005E-7</c:v>
                </c:pt>
                <c:pt idx="198">
                  <c:v>9.4148120705000006E-7</c:v>
                </c:pt>
                <c:pt idx="199">
                  <c:v>9.4141393285000003E-7</c:v>
                </c:pt>
                <c:pt idx="200">
                  <c:v>9.4222461094999994E-7</c:v>
                </c:pt>
                <c:pt idx="201">
                  <c:v>9.4363076935000002E-7</c:v>
                </c:pt>
                <c:pt idx="202">
                  <c:v>9.4482061580000003E-7</c:v>
                </c:pt>
                <c:pt idx="203">
                  <c:v>9.457306050500001E-7</c:v>
                </c:pt>
                <c:pt idx="204">
                  <c:v>9.4640699060000013E-7</c:v>
                </c:pt>
                <c:pt idx="205">
                  <c:v>9.4660659625000026E-7</c:v>
                </c:pt>
                <c:pt idx="206">
                  <c:v>9.4478834580000029E-7</c:v>
                </c:pt>
                <c:pt idx="207">
                  <c:v>9.4291034725000014E-7</c:v>
                </c:pt>
                <c:pt idx="208">
                  <c:v>9.4198713335E-7</c:v>
                </c:pt>
                <c:pt idx="209">
                  <c:v>9.4169961365000005E-7</c:v>
                </c:pt>
                <c:pt idx="210">
                  <c:v>9.4193666774999999E-7</c:v>
                </c:pt>
                <c:pt idx="211">
                  <c:v>9.4427452104999994E-7</c:v>
                </c:pt>
                <c:pt idx="212">
                  <c:v>9.4647808459999989E-7</c:v>
                </c:pt>
                <c:pt idx="213">
                  <c:v>9.4834041145000006E-7</c:v>
                </c:pt>
                <c:pt idx="214">
                  <c:v>9.5036355115000007E-7</c:v>
                </c:pt>
                <c:pt idx="215">
                  <c:v>9.5279168600000013E-7</c:v>
                </c:pt>
                <c:pt idx="216">
                  <c:v>9.5370389494999998E-7</c:v>
                </c:pt>
                <c:pt idx="217">
                  <c:v>9.5529299255000007E-7</c:v>
                </c:pt>
                <c:pt idx="218">
                  <c:v>9.5556948744999998E-7</c:v>
                </c:pt>
                <c:pt idx="219">
                  <c:v>9.5493339255000005E-7</c:v>
                </c:pt>
                <c:pt idx="220">
                  <c:v>9.5393400849999974E-7</c:v>
                </c:pt>
                <c:pt idx="221">
                  <c:v>9.5287970799999999E-7</c:v>
                </c:pt>
                <c:pt idx="222">
                  <c:v>9.5196164414999994E-7</c:v>
                </c:pt>
                <c:pt idx="223">
                  <c:v>9.53095875E-7</c:v>
                </c:pt>
                <c:pt idx="224">
                  <c:v>9.5410730700000004E-7</c:v>
                </c:pt>
                <c:pt idx="225">
                  <c:v>9.5487448285000003E-7</c:v>
                </c:pt>
                <c:pt idx="226">
                  <c:v>9.5657798914999997E-7</c:v>
                </c:pt>
                <c:pt idx="227">
                  <c:v>9.5755492855000002E-7</c:v>
                </c:pt>
                <c:pt idx="228">
                  <c:v>9.5838445309999991E-7</c:v>
                </c:pt>
                <c:pt idx="229">
                  <c:v>9.5751001374999997E-7</c:v>
                </c:pt>
                <c:pt idx="230">
                  <c:v>9.563375130499998E-7</c:v>
                </c:pt>
                <c:pt idx="231">
                  <c:v>9.5411311919999988E-7</c:v>
                </c:pt>
                <c:pt idx="232">
                  <c:v>9.5234233014999979E-7</c:v>
                </c:pt>
                <c:pt idx="233">
                  <c:v>9.5135619914999984E-7</c:v>
                </c:pt>
                <c:pt idx="234">
                  <c:v>9.5013089944999978E-7</c:v>
                </c:pt>
                <c:pt idx="235">
                  <c:v>9.4930094854999999E-7</c:v>
                </c:pt>
                <c:pt idx="236">
                  <c:v>9.4931595519999996E-7</c:v>
                </c:pt>
                <c:pt idx="237">
                  <c:v>9.4971654215000007E-7</c:v>
                </c:pt>
                <c:pt idx="238">
                  <c:v>9.5042335309999991E-7</c:v>
                </c:pt>
                <c:pt idx="239">
                  <c:v>9.510584674499999E-7</c:v>
                </c:pt>
                <c:pt idx="240">
                  <c:v>9.5027754689999993E-7</c:v>
                </c:pt>
                <c:pt idx="241">
                  <c:v>9.4973438245E-7</c:v>
                </c:pt>
                <c:pt idx="242">
                  <c:v>9.5000537489999985E-7</c:v>
                </c:pt>
                <c:pt idx="243">
                  <c:v>9.4851384904999988E-7</c:v>
                </c:pt>
                <c:pt idx="244">
                  <c:v>9.4745687979999985E-7</c:v>
                </c:pt>
                <c:pt idx="245">
                  <c:v>9.4801134184999992E-7</c:v>
                </c:pt>
                <c:pt idx="246">
                  <c:v>9.492050706999998E-7</c:v>
                </c:pt>
                <c:pt idx="247">
                  <c:v>9.4999475084999992E-7</c:v>
                </c:pt>
                <c:pt idx="248">
                  <c:v>9.507125524999998E-7</c:v>
                </c:pt>
                <c:pt idx="249">
                  <c:v>9.5259380250000001E-7</c:v>
                </c:pt>
                <c:pt idx="250">
                  <c:v>9.5407265509999998E-7</c:v>
                </c:pt>
                <c:pt idx="251">
                  <c:v>9.5595136705000005E-7</c:v>
                </c:pt>
                <c:pt idx="252">
                  <c:v>9.5696945825000015E-7</c:v>
                </c:pt>
                <c:pt idx="253">
                  <c:v>9.5804945479999997E-7</c:v>
                </c:pt>
                <c:pt idx="254">
                  <c:v>9.5892832794999996E-7</c:v>
                </c:pt>
                <c:pt idx="255">
                  <c:v>9.5945949845000015E-7</c:v>
                </c:pt>
                <c:pt idx="256">
                  <c:v>9.5940242200000018E-7</c:v>
                </c:pt>
                <c:pt idx="257">
                  <c:v>9.5775082505000013E-7</c:v>
                </c:pt>
                <c:pt idx="258">
                  <c:v>9.5678013559999995E-7</c:v>
                </c:pt>
                <c:pt idx="259">
                  <c:v>9.5621253419999993E-7</c:v>
                </c:pt>
                <c:pt idx="260">
                  <c:v>9.5693012549999996E-7</c:v>
                </c:pt>
                <c:pt idx="261">
                  <c:v>9.573493343500001E-7</c:v>
                </c:pt>
                <c:pt idx="262">
                  <c:v>9.5726572334999993E-7</c:v>
                </c:pt>
                <c:pt idx="263">
                  <c:v>9.5725989404999985E-7</c:v>
                </c:pt>
                <c:pt idx="264">
                  <c:v>9.5691861184999985E-7</c:v>
                </c:pt>
                <c:pt idx="265">
                  <c:v>9.5542964679999992E-7</c:v>
                </c:pt>
                <c:pt idx="266">
                  <c:v>9.5476377164999988E-7</c:v>
                </c:pt>
                <c:pt idx="267">
                  <c:v>9.5383188635000007E-7</c:v>
                </c:pt>
                <c:pt idx="268">
                  <c:v>9.5341736709999992E-7</c:v>
                </c:pt>
                <c:pt idx="269">
                  <c:v>9.5472722135000005E-7</c:v>
                </c:pt>
                <c:pt idx="270">
                  <c:v>9.5558781369999984E-7</c:v>
                </c:pt>
                <c:pt idx="271">
                  <c:v>9.5585576220000001E-7</c:v>
                </c:pt>
                <c:pt idx="272">
                  <c:v>9.560574312999999E-7</c:v>
                </c:pt>
                <c:pt idx="273">
                  <c:v>9.5599439760000017E-7</c:v>
                </c:pt>
                <c:pt idx="274">
                  <c:v>9.5606956735000002E-7</c:v>
                </c:pt>
                <c:pt idx="275">
                  <c:v>9.558626516000002E-7</c:v>
                </c:pt>
                <c:pt idx="276">
                  <c:v>9.5522939035000002E-7</c:v>
                </c:pt>
                <c:pt idx="277">
                  <c:v>9.5544883725000009E-7</c:v>
                </c:pt>
                <c:pt idx="278">
                  <c:v>9.5607052514999996E-7</c:v>
                </c:pt>
                <c:pt idx="279">
                  <c:v>9.5714484585000016E-7</c:v>
                </c:pt>
                <c:pt idx="280">
                  <c:v>9.5782363014999992E-7</c:v>
                </c:pt>
                <c:pt idx="281">
                  <c:v>9.5807541240000024E-7</c:v>
                </c:pt>
                <c:pt idx="282">
                  <c:v>9.5791627645000016E-7</c:v>
                </c:pt>
                <c:pt idx="283">
                  <c:v>9.5747458035E-7</c:v>
                </c:pt>
                <c:pt idx="284">
                  <c:v>9.5751560420000015E-7</c:v>
                </c:pt>
                <c:pt idx="285">
                  <c:v>9.5750529564999994E-7</c:v>
                </c:pt>
                <c:pt idx="286">
                  <c:v>9.5678581709999986E-7</c:v>
                </c:pt>
                <c:pt idx="287">
                  <c:v>9.5724239479999992E-7</c:v>
                </c:pt>
                <c:pt idx="288">
                  <c:v>9.5812930560000011E-7</c:v>
                </c:pt>
                <c:pt idx="289">
                  <c:v>9.5741497710000023E-7</c:v>
                </c:pt>
                <c:pt idx="290">
                  <c:v>9.5698127885000006E-7</c:v>
                </c:pt>
                <c:pt idx="291">
                  <c:v>9.5726185800000005E-7</c:v>
                </c:pt>
                <c:pt idx="292">
                  <c:v>9.568025688500002E-7</c:v>
                </c:pt>
                <c:pt idx="293">
                  <c:v>9.5576138214999991E-7</c:v>
                </c:pt>
                <c:pt idx="294">
                  <c:v>9.5493537340000014E-7</c:v>
                </c:pt>
                <c:pt idx="295">
                  <c:v>9.546777818000003E-7</c:v>
                </c:pt>
                <c:pt idx="296">
                  <c:v>9.5543503560000016E-7</c:v>
                </c:pt>
                <c:pt idx="297">
                  <c:v>9.5677516180000006E-7</c:v>
                </c:pt>
                <c:pt idx="298">
                  <c:v>9.5877795439999998E-7</c:v>
                </c:pt>
                <c:pt idx="299">
                  <c:v>9.603660827999999E-7</c:v>
                </c:pt>
                <c:pt idx="300">
                  <c:v>9.6115998925000011E-7</c:v>
                </c:pt>
                <c:pt idx="301">
                  <c:v>9.6162214900000002E-7</c:v>
                </c:pt>
                <c:pt idx="302">
                  <c:v>9.6218168999999994E-7</c:v>
                </c:pt>
                <c:pt idx="303">
                  <c:v>9.6339422550000003E-7</c:v>
                </c:pt>
                <c:pt idx="304">
                  <c:v>9.6284097990000005E-7</c:v>
                </c:pt>
                <c:pt idx="305">
                  <c:v>9.6313443975000006E-7</c:v>
                </c:pt>
                <c:pt idx="306">
                  <c:v>9.6406930370000003E-7</c:v>
                </c:pt>
                <c:pt idx="307">
                  <c:v>9.6541240565000006E-7</c:v>
                </c:pt>
                <c:pt idx="308">
                  <c:v>9.6625704199999999E-7</c:v>
                </c:pt>
                <c:pt idx="309">
                  <c:v>9.6703225549999997E-7</c:v>
                </c:pt>
                <c:pt idx="310">
                  <c:v>9.6747317284999982E-7</c:v>
                </c:pt>
                <c:pt idx="311">
                  <c:v>9.6773358959999986E-7</c:v>
                </c:pt>
                <c:pt idx="312">
                  <c:v>9.6844309210000002E-7</c:v>
                </c:pt>
                <c:pt idx="313">
                  <c:v>9.6985228879999991E-7</c:v>
                </c:pt>
                <c:pt idx="314">
                  <c:v>9.6967592924999991E-7</c:v>
                </c:pt>
                <c:pt idx="315">
                  <c:v>9.6901032119999996E-7</c:v>
                </c:pt>
                <c:pt idx="316">
                  <c:v>9.6886787724999986E-7</c:v>
                </c:pt>
                <c:pt idx="317">
                  <c:v>9.6884193395000008E-7</c:v>
                </c:pt>
                <c:pt idx="318">
                  <c:v>9.6755674405000021E-7</c:v>
                </c:pt>
                <c:pt idx="319">
                  <c:v>9.6764233320000014E-7</c:v>
                </c:pt>
                <c:pt idx="320">
                  <c:v>9.6820197940000028E-7</c:v>
                </c:pt>
                <c:pt idx="321">
                  <c:v>9.6845760990000002E-7</c:v>
                </c:pt>
                <c:pt idx="322">
                  <c:v>9.6930507140000014E-7</c:v>
                </c:pt>
                <c:pt idx="323">
                  <c:v>9.6814112285000008E-7</c:v>
                </c:pt>
                <c:pt idx="324">
                  <c:v>9.680178977E-7</c:v>
                </c:pt>
                <c:pt idx="325">
                  <c:v>9.6694587629999999E-7</c:v>
                </c:pt>
                <c:pt idx="326">
                  <c:v>9.6575040799999981E-7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7B-4E9C-88F1-0C9F0CB0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018976"/>
        <c:axId val="388023968"/>
      </c:scatterChart>
      <c:valAx>
        <c:axId val="388018976"/>
        <c:scaling>
          <c:orientation val="minMax"/>
          <c:max val="10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 rad="825500">
                <a:schemeClr val="accent6">
                  <a:lumMod val="60000"/>
                  <a:lumOff val="40000"/>
                  <a:alpha val="37000"/>
                </a:schemeClr>
              </a:glow>
            </a:effectLst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FLUENCE (IONS)/CM2</a:t>
                </a:r>
              </a:p>
            </c:rich>
          </c:tx>
          <c:layout>
            <c:manualLayout>
              <c:xMode val="edge"/>
              <c:yMode val="edge"/>
              <c:x val="0.48405259259849165"/>
              <c:y val="0.93806868928113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23968"/>
        <c:crosses val="autoZero"/>
        <c:crossBetween val="midCat"/>
        <c:majorUnit val="1000000"/>
        <c:minorUnit val="500000"/>
      </c:valAx>
      <c:valAx>
        <c:axId val="3880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outerShdw blurRad="50800" dist="50800" dir="5400000" algn="ctr" rotWithShape="0">
                <a:schemeClr val="bg2"/>
              </a:outerShdw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aseline="0"/>
                  <a:t>IGS (A)</a:t>
                </a:r>
              </a:p>
            </c:rich>
          </c:tx>
          <c:layout>
            <c:manualLayout>
              <c:xMode val="edge"/>
              <c:yMode val="edge"/>
              <c:x val="5.9767375526322483E-3"/>
              <c:y val="0.404518913808759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18976"/>
        <c:crosses val="autoZero"/>
        <c:crossBetween val="midCat"/>
      </c:valAx>
      <c:spPr>
        <a:noFill/>
        <a:ln>
          <a:solidFill>
            <a:schemeClr val="tx1"/>
          </a:solidFill>
        </a:ln>
        <a:effectLst>
          <a:glow rad="228600">
            <a:schemeClr val="bg2">
              <a:lumMod val="75000"/>
              <a:alpha val="40000"/>
            </a:schemeClr>
          </a:glow>
          <a:innerShdw blurRad="63500" dist="139700" dir="6600000">
            <a:prstClr val="black">
              <a:alpha val="50000"/>
            </a:prstClr>
          </a:innerShdw>
          <a:softEdge rad="444500"/>
        </a:effectLst>
      </c:spPr>
    </c:plotArea>
    <c:legend>
      <c:legendPos val="r"/>
      <c:layout>
        <c:manualLayout>
          <c:xMode val="edge"/>
          <c:yMode val="edge"/>
          <c:x val="0.88270324346501661"/>
          <c:y val="0.62291312248176323"/>
          <c:w val="0.10981458688113664"/>
          <c:h val="0.22575408843125377"/>
        </c:manualLayout>
      </c:layout>
      <c:overlay val="0"/>
      <c:spPr>
        <a:noFill/>
        <a:ln>
          <a:solidFill>
            <a:srgbClr val="00B05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600074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301E8-571B-63C6-DBDD-CD854FF8D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609601</xdr:colOff>
      <xdr:row>7</xdr:row>
      <xdr:rowOff>19051</xdr:rowOff>
    </xdr:from>
    <xdr:to>
      <xdr:col>17</xdr:col>
      <xdr:colOff>76201</xdr:colOff>
      <xdr:row>37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A63239-35B1-4687-91EF-E1539F491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95250</xdr:rowOff>
    </xdr:from>
    <xdr:to>
      <xdr:col>3</xdr:col>
      <xdr:colOff>314325</xdr:colOff>
      <xdr:row>3</xdr:row>
      <xdr:rowOff>257174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EB562B-04F1-9E5B-A173-D8C6B8239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3425"/>
          <a:ext cx="3457575" cy="40004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200026</xdr:colOff>
      <xdr:row>32</xdr:row>
      <xdr:rowOff>95251</xdr:rowOff>
    </xdr:from>
    <xdr:to>
      <xdr:col>2</xdr:col>
      <xdr:colOff>634098</xdr:colOff>
      <xdr:row>33</xdr:row>
      <xdr:rowOff>76201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0C7F90-C5A4-470C-9930-C2E39A68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6" y="6800851"/>
          <a:ext cx="1481822" cy="17145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32</xdr:row>
      <xdr:rowOff>95250</xdr:rowOff>
    </xdr:from>
    <xdr:to>
      <xdr:col>10</xdr:col>
      <xdr:colOff>1034147</xdr:colOff>
      <xdr:row>33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CA3F7-9CF9-44AA-8640-8D9C5005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6800850"/>
          <a:ext cx="1481822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DDE2-B1AB-4F17-B600-DFBC36F83F05}">
  <sheetPr codeName="Sheet3"/>
  <dimension ref="A1:X79"/>
  <sheetViews>
    <sheetView tabSelected="1" zoomScaleNormal="100" workbookViewId="0">
      <selection activeCell="Y1" sqref="Y1"/>
    </sheetView>
  </sheetViews>
  <sheetFormatPr defaultColWidth="0" defaultRowHeight="15" zeroHeight="1" x14ac:dyDescent="0.25"/>
  <cols>
    <col min="1" max="1" width="15.7109375" style="1" customWidth="1"/>
    <col min="2" max="14" width="15.7109375" customWidth="1"/>
    <col min="15" max="15" width="15.7109375" style="2" customWidth="1"/>
    <col min="16" max="17" width="15.7109375" customWidth="1"/>
    <col min="18" max="18" width="13.28515625" hidden="1" customWidth="1"/>
    <col min="19" max="19" width="15" hidden="1" customWidth="1"/>
    <col min="20" max="20" width="22.5703125" hidden="1" customWidth="1"/>
    <col min="21" max="23" width="9.140625" hidden="1" customWidth="1"/>
    <col min="24" max="24" width="0" hidden="1" customWidth="1"/>
    <col min="25" max="16384" width="9.140625" hidden="1"/>
  </cols>
  <sheetData>
    <row r="1" spans="1:22" ht="31.5" x14ac:dyDescent="0.5">
      <c r="A1" s="71" t="str">
        <f>T1&amp;" "&amp;"Wafer Lot: "&amp;T2&amp;" SEE QUALIFIED EPI ID: " &amp; T3 &amp; "  " &amp; "WAFERS: " &amp; T4</f>
        <v>FBG10N30BSH Wafer Lot: E4197M SEE QUALIFIED EPI ID: G322600089  WAFERS: R140, R141, R142, R143, R145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S1" s="6" t="s">
        <v>14</v>
      </c>
      <c r="T1" s="7" t="s">
        <v>31</v>
      </c>
    </row>
    <row r="2" spans="1:22" ht="18.75" x14ac:dyDescent="0.25">
      <c r="A2" s="73" t="str">
        <f>"WAFERS QUALIFIED: " &amp; T4</f>
        <v>WAFERS QUALIFIED: R140, R141, R142, R143, R145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S2" s="6" t="s">
        <v>15</v>
      </c>
      <c r="T2" s="7" t="s">
        <v>32</v>
      </c>
    </row>
    <row r="3" spans="1:22" ht="18.75" x14ac:dyDescent="0.25">
      <c r="A3" s="75" t="str">
        <f>"15MeV " &amp; T5 &amp; " Beam LET=" &amp; T6 &amp; " Beam Energy: " &amp; T7 &amp;"MeV  Range: " &amp; T8 &amp;"µm VDS=" &amp; T9 &amp; "V, VGS=" &amp; T10 &amp;"V"</f>
        <v>15MeV AU Beam LET=82.3 Beam Energy: 2374MeV  Range: 127.5µm VDS=100V, VGS=-4V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S3" s="6" t="s">
        <v>16</v>
      </c>
      <c r="T3" s="7" t="s">
        <v>33</v>
      </c>
    </row>
    <row r="4" spans="1:22" ht="23.25" x14ac:dyDescent="0.35">
      <c r="A4" s="77" t="str">
        <f>"Fluence = " &amp; TEXT(T13,"0.00E+0") &amp;"    Flux = " &amp; TEXT(T14,"0.00E+0")</f>
        <v>Fluence = 1.00E+7    Flux = 1.29E+5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S4" s="6" t="s">
        <v>17</v>
      </c>
      <c r="T4" s="17" t="s">
        <v>34</v>
      </c>
      <c r="U4" t="s">
        <v>35</v>
      </c>
    </row>
    <row r="5" spans="1:22" ht="18.75" x14ac:dyDescent="0.25">
      <c r="A5" s="79" t="str">
        <f>"IDS &lt;" &amp;T21*1000000 &amp; " µA @VDS=" &amp; U9 &amp;"V             IGSSF&lt;" &amp; T11*1000 &amp;"mA @VGS=" &amp; V11 &amp; "V              IGSSR&lt;" &amp; T12*1000000 &amp; "uA @ VGS=" &amp; V12 &amp; "V"</f>
        <v>IDS &lt;250 µA @VDS=100V             IGSSF&lt;5mA @VGS=6V              IGSSR&lt;-250uA @ VGS=-4V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S5" s="6" t="s">
        <v>18</v>
      </c>
      <c r="T5" s="7" t="s">
        <v>36</v>
      </c>
    </row>
    <row r="6" spans="1:22" ht="18.75" x14ac:dyDescent="0.25">
      <c r="A6" s="75" t="str">
        <f>"Run Ends at Fluence of " &amp; TEXT(T13,"0.00E+0")</f>
        <v>Run Ends at Fluence of 1.00E+7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S6" s="6" t="s">
        <v>19</v>
      </c>
      <c r="T6" s="7">
        <v>82.3</v>
      </c>
    </row>
    <row r="7" spans="1:22" ht="23.25" x14ac:dyDescent="0.35">
      <c r="A7" s="69" t="str">
        <f>"Tested at: "&amp;T15&amp;" on: "&amp; TEXT(T16,"MM/DD/YYYY")</f>
        <v>Tested at: Texas A&amp;M University on: 08/01/2023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S7" s="6" t="s">
        <v>20</v>
      </c>
      <c r="T7" s="7">
        <v>2374</v>
      </c>
    </row>
    <row r="8" spans="1:22" x14ac:dyDescent="0.25">
      <c r="S8" s="8" t="s">
        <v>21</v>
      </c>
      <c r="T8" s="7">
        <v>127.5</v>
      </c>
    </row>
    <row r="9" spans="1:22" x14ac:dyDescent="0.25">
      <c r="S9" s="8" t="s">
        <v>22</v>
      </c>
      <c r="T9" s="7">
        <v>100</v>
      </c>
      <c r="U9" s="7">
        <v>100</v>
      </c>
    </row>
    <row r="10" spans="1:22" x14ac:dyDescent="0.25">
      <c r="S10" s="8" t="s">
        <v>0</v>
      </c>
      <c r="T10" s="7">
        <v>-4</v>
      </c>
    </row>
    <row r="11" spans="1:22" x14ac:dyDescent="0.25">
      <c r="S11" s="8" t="s">
        <v>23</v>
      </c>
      <c r="T11" s="9">
        <v>5.0000000000000001E-3</v>
      </c>
      <c r="U11" s="7" t="s">
        <v>0</v>
      </c>
      <c r="V11" s="7">
        <v>6</v>
      </c>
    </row>
    <row r="12" spans="1:22" x14ac:dyDescent="0.25">
      <c r="S12" s="8" t="s">
        <v>24</v>
      </c>
      <c r="T12" s="9">
        <v>-2.5000000000000001E-4</v>
      </c>
      <c r="U12" s="7" t="s">
        <v>0</v>
      </c>
      <c r="V12" s="7">
        <v>-4</v>
      </c>
    </row>
    <row r="13" spans="1:22" x14ac:dyDescent="0.25">
      <c r="S13" s="8" t="s">
        <v>25</v>
      </c>
      <c r="T13" s="9">
        <v>10000000</v>
      </c>
    </row>
    <row r="14" spans="1:22" x14ac:dyDescent="0.25">
      <c r="S14" s="8" t="s">
        <v>26</v>
      </c>
      <c r="T14" s="9">
        <v>129000</v>
      </c>
    </row>
    <row r="15" spans="1:22" x14ac:dyDescent="0.25">
      <c r="S15" s="8" t="s">
        <v>27</v>
      </c>
      <c r="T15" s="7" t="s">
        <v>37</v>
      </c>
    </row>
    <row r="16" spans="1:22" x14ac:dyDescent="0.25">
      <c r="S16" s="8" t="s">
        <v>28</v>
      </c>
      <c r="T16" s="10">
        <v>45139</v>
      </c>
    </row>
    <row r="17" spans="19:23" x14ac:dyDescent="0.25">
      <c r="T17" s="2"/>
    </row>
    <row r="18" spans="19:23" x14ac:dyDescent="0.25">
      <c r="T18" s="2"/>
    </row>
    <row r="19" spans="19:23" x14ac:dyDescent="0.25">
      <c r="T19" s="2"/>
    </row>
    <row r="20" spans="19:23" x14ac:dyDescent="0.25">
      <c r="S20" s="85" t="s">
        <v>1</v>
      </c>
      <c r="T20" s="85"/>
    </row>
    <row r="21" spans="19:23" x14ac:dyDescent="0.25">
      <c r="S21" s="5">
        <v>0</v>
      </c>
      <c r="T21" s="11">
        <v>2.5000000000000001E-4</v>
      </c>
    </row>
    <row r="22" spans="19:23" x14ac:dyDescent="0.25">
      <c r="S22" s="22">
        <v>10000000</v>
      </c>
      <c r="T22" s="11">
        <v>2.5000000000000001E-4</v>
      </c>
    </row>
    <row r="23" spans="19:23" x14ac:dyDescent="0.25">
      <c r="S23" s="86"/>
      <c r="T23" s="86"/>
    </row>
    <row r="24" spans="19:23" x14ac:dyDescent="0.25">
      <c r="S24" s="87" t="s">
        <v>2</v>
      </c>
      <c r="T24" s="88"/>
    </row>
    <row r="25" spans="19:23" x14ac:dyDescent="0.25">
      <c r="S25" s="4">
        <v>0</v>
      </c>
      <c r="T25" s="12">
        <v>-2.5000000000000001E-4</v>
      </c>
    </row>
    <row r="26" spans="19:23" x14ac:dyDescent="0.25">
      <c r="S26" s="12">
        <v>10000000</v>
      </c>
      <c r="T26" s="12">
        <v>-2.5000000000000001E-4</v>
      </c>
    </row>
    <row r="27" spans="19:23" x14ac:dyDescent="0.25">
      <c r="T27" s="2"/>
    </row>
    <row r="28" spans="19:23" x14ac:dyDescent="0.25">
      <c r="S28" s="13" t="str">
        <f>"IDS_" &amp; V28 &amp;"_" &amp; Wafer1!C1</f>
        <v>IDS__R140-1</v>
      </c>
      <c r="T28" s="13" t="str">
        <f>"IGS_" &amp; V28 &amp;"_" &amp; Wafer1!C1</f>
        <v>IGS__R140-1</v>
      </c>
      <c r="V28" s="16"/>
      <c r="W28" s="14">
        <v>114</v>
      </c>
    </row>
    <row r="29" spans="19:23" x14ac:dyDescent="0.25">
      <c r="S29" s="13" t="str">
        <f>"IDS_"&amp;V29&amp;"_ " &amp; Wafer1!G1</f>
        <v>IDS__ R140-2</v>
      </c>
      <c r="T29" s="13" t="str">
        <f>"IGS_" &amp; V29 &amp;"_" &amp;Wafer1!G1</f>
        <v>IGS__R140-2</v>
      </c>
      <c r="V29" s="14"/>
      <c r="W29" s="14">
        <v>115</v>
      </c>
    </row>
    <row r="30" spans="19:23" x14ac:dyDescent="0.25">
      <c r="S30" s="13" t="str">
        <f>"IDS_" &amp; V30 &amp;"_"&amp; Wafer1!K1</f>
        <v>IDS__R140-3</v>
      </c>
      <c r="T30" s="13" t="str">
        <f>"IGS_" &amp; V30 &amp;"_" &amp;Wafer1!K1</f>
        <v>IGS__R140-3</v>
      </c>
      <c r="V30" s="14"/>
      <c r="W30" s="15">
        <v>116</v>
      </c>
    </row>
    <row r="31" spans="19:23" x14ac:dyDescent="0.25">
      <c r="S31" s="13" t="str">
        <f>"IDS_" &amp; V31 &amp;"_" &amp; Wafer1!O1</f>
        <v>IDS__R141-1</v>
      </c>
      <c r="T31" s="13" t="str">
        <f>"IGS_" &amp; V31 &amp;"_" &amp;Wafer1!O1</f>
        <v>IGS__R141-1</v>
      </c>
      <c r="V31" s="14"/>
      <c r="W31" s="15">
        <v>117</v>
      </c>
    </row>
    <row r="32" spans="19:23" x14ac:dyDescent="0.25">
      <c r="S32" s="13" t="str">
        <f>"IDS_" &amp; V32 &amp;"_" &amp; Wafer1!S1</f>
        <v>IDS__R141-2</v>
      </c>
      <c r="T32" s="13" t="str">
        <f>"IGS_"&amp;V32&amp;"_"&amp;Wafer1!S1</f>
        <v>IGS__R141-2</v>
      </c>
      <c r="V32" s="14"/>
      <c r="W32" s="15">
        <v>118</v>
      </c>
    </row>
    <row r="33" spans="1:23" x14ac:dyDescent="0.25">
      <c r="S33" s="13" t="str">
        <f>"IDS_" &amp; V33&amp;"_" &amp; Wafer1!W1</f>
        <v>IDS__R141-3</v>
      </c>
      <c r="T33" s="13" t="str">
        <f>"IGS_"&amp;V33&amp;"_"&amp;Wafer1!W1</f>
        <v>IGS__R141-3</v>
      </c>
      <c r="V33" s="14"/>
      <c r="W33" s="15">
        <v>119</v>
      </c>
    </row>
    <row r="34" spans="1:23" x14ac:dyDescent="0.25">
      <c r="S34" s="13" t="str">
        <f>"IDS_" &amp; V34 &amp;"_" &amp; Wafer1!AA1</f>
        <v>IDS__</v>
      </c>
      <c r="T34" s="13" t="str">
        <f>"IGS_" &amp; V34 &amp;"_" &amp; Wafer1!AA1</f>
        <v>IGS__</v>
      </c>
      <c r="V34" s="14"/>
      <c r="W34" s="15"/>
    </row>
    <row r="35" spans="1:23" x14ac:dyDescent="0.25">
      <c r="S35" s="13" t="str">
        <f>"IDS_" &amp; V35 &amp;"_" &amp; Wafer1!AE1</f>
        <v>IDS__</v>
      </c>
      <c r="T35" s="13" t="str">
        <f>"IGS_" &amp; V35 &amp;"_" &amp;Wafer1!AE1</f>
        <v>IGS__</v>
      </c>
      <c r="V35" s="14"/>
      <c r="W35" s="15"/>
    </row>
    <row r="36" spans="1:23" x14ac:dyDescent="0.25">
      <c r="S36" s="13" t="str">
        <f>"IDS_" &amp;V36&amp;"_" &amp; Wafer1!AI1</f>
        <v>IDS__</v>
      </c>
      <c r="T36" s="13" t="str">
        <f>"IGS_" &amp; V36 &amp;"_" &amp;Wafer1!AI1</f>
        <v>IGS__</v>
      </c>
      <c r="V36" s="14"/>
      <c r="W36" s="15"/>
    </row>
    <row r="37" spans="1:23" x14ac:dyDescent="0.25">
      <c r="S37" s="13" t="str">
        <f>"IDS_" &amp;V37 &amp;"_" &amp; Wafer1!AM1</f>
        <v>IDS__</v>
      </c>
      <c r="T37" s="13" t="str">
        <f>"IGS_"  &amp;V37 &amp;"_" &amp;Wafer1!AM1</f>
        <v>IGS__</v>
      </c>
      <c r="V37" s="14"/>
      <c r="W37" s="15"/>
    </row>
    <row r="38" spans="1:23" ht="15.75" x14ac:dyDescent="0.25">
      <c r="A38" s="26" t="s">
        <v>3</v>
      </c>
      <c r="B38" s="27" t="s">
        <v>29</v>
      </c>
      <c r="C38" s="28"/>
      <c r="F38" s="2"/>
      <c r="G38" s="29" t="s">
        <v>3</v>
      </c>
      <c r="H38" s="30" t="s">
        <v>29</v>
      </c>
      <c r="I38" s="31"/>
      <c r="M38" s="3"/>
      <c r="S38" s="13" t="str">
        <f>"IDS_" &amp;V38 &amp;"_" &amp; Wafer1!AQ1</f>
        <v>IDS__</v>
      </c>
      <c r="T38" s="13" t="str">
        <f>"IGS_"  &amp;V38 &amp;"_" &amp;Wafer1!AQ1</f>
        <v>IGS__</v>
      </c>
      <c r="V38" s="14"/>
      <c r="W38" s="15"/>
    </row>
    <row r="39" spans="1:23" ht="15.75" x14ac:dyDescent="0.25">
      <c r="A39" s="32" t="s">
        <v>4</v>
      </c>
      <c r="B39" s="81" t="s">
        <v>12</v>
      </c>
      <c r="C39" s="82"/>
      <c r="F39" s="2"/>
      <c r="G39" s="33" t="s">
        <v>4</v>
      </c>
      <c r="H39" s="83" t="s">
        <v>12</v>
      </c>
      <c r="I39" s="84"/>
      <c r="M39" s="3"/>
      <c r="N39" s="2"/>
      <c r="S39" s="13" t="str">
        <f>"IDS_" &amp;V39 &amp;"_" &amp; Wafer1!AU1</f>
        <v>IDS__</v>
      </c>
      <c r="T39" s="13" t="str">
        <f>"IGS_"  &amp;V39 &amp;"_" &amp;Wafer1!AU1</f>
        <v>IGS__</v>
      </c>
      <c r="V39" s="14"/>
      <c r="W39" s="15"/>
    </row>
    <row r="40" spans="1:23" x14ac:dyDescent="0.25">
      <c r="A40" s="32" t="s">
        <v>30</v>
      </c>
      <c r="B40" s="27" t="str">
        <f>T2</f>
        <v>E4197M</v>
      </c>
      <c r="C40" s="28"/>
      <c r="F40" s="2"/>
      <c r="G40" s="33" t="s">
        <v>30</v>
      </c>
      <c r="H40" s="30" t="str">
        <f>T2</f>
        <v>E4197M</v>
      </c>
      <c r="I40" s="31"/>
    </row>
    <row r="41" spans="1:23" x14ac:dyDescent="0.25">
      <c r="A41" s="32" t="s">
        <v>5</v>
      </c>
      <c r="B41" s="27" t="s">
        <v>13</v>
      </c>
      <c r="C41" s="28"/>
      <c r="F41" s="2"/>
      <c r="G41" s="33" t="s">
        <v>5</v>
      </c>
      <c r="H41" s="30" t="s">
        <v>13</v>
      </c>
      <c r="I41" s="31"/>
    </row>
    <row r="42" spans="1:23" x14ac:dyDescent="0.25">
      <c r="A42" s="32" t="s">
        <v>7</v>
      </c>
      <c r="B42" s="34">
        <f>T16</f>
        <v>45139</v>
      </c>
      <c r="C42" s="35"/>
      <c r="F42" s="2"/>
      <c r="G42" s="37" t="s">
        <v>7</v>
      </c>
      <c r="H42" s="38">
        <f>T16</f>
        <v>45139</v>
      </c>
      <c r="I42" s="31"/>
    </row>
    <row r="43" spans="1:23" x14ac:dyDescent="0.25">
      <c r="A43" s="32" t="s">
        <v>8</v>
      </c>
      <c r="B43" s="34">
        <f>T16</f>
        <v>45139</v>
      </c>
      <c r="C43" s="35"/>
      <c r="F43" s="2"/>
      <c r="G43" s="37" t="s">
        <v>8</v>
      </c>
      <c r="H43" s="38">
        <f>T16</f>
        <v>45139</v>
      </c>
      <c r="I43" s="31"/>
    </row>
    <row r="44" spans="1:23" x14ac:dyDescent="0.25">
      <c r="A44" s="32" t="s">
        <v>9</v>
      </c>
      <c r="B44" s="27" t="str">
        <f>T1</f>
        <v>FBG10N30BSH</v>
      </c>
      <c r="C44" s="28"/>
      <c r="F44" s="36"/>
      <c r="G44" s="33" t="s">
        <v>9</v>
      </c>
      <c r="H44" s="30" t="str">
        <f>T1</f>
        <v>FBG10N30BSH</v>
      </c>
      <c r="I44" s="31"/>
    </row>
    <row r="45" spans="1:23" x14ac:dyDescent="0.25">
      <c r="A45" s="32" t="s">
        <v>5</v>
      </c>
      <c r="B45" s="39" t="s">
        <v>11</v>
      </c>
      <c r="C45" s="28"/>
      <c r="F45" s="36"/>
      <c r="G45" s="33" t="s">
        <v>10</v>
      </c>
      <c r="H45" s="40" t="s">
        <v>6</v>
      </c>
      <c r="I45" s="31"/>
    </row>
    <row r="46" spans="1:23" ht="23.25" x14ac:dyDescent="0.35">
      <c r="A46" s="41">
        <f>COUNTA(F50:F61)/2</f>
        <v>6</v>
      </c>
      <c r="B46" s="42" t="str">
        <f>IF(COUNTA(A50:A61)=COUNTIF(B50:B61,"PASS"),"PASS","FAIL")</f>
        <v>PASS</v>
      </c>
      <c r="F46" s="2"/>
    </row>
    <row r="47" spans="1:23" x14ac:dyDescent="0.25">
      <c r="A47" s="57" t="s">
        <v>38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9"/>
      <c r="M47" s="43" t="s">
        <v>39</v>
      </c>
      <c r="N47" s="23" t="s">
        <v>40</v>
      </c>
      <c r="O47" s="23" t="s">
        <v>41</v>
      </c>
      <c r="P47" s="23" t="s">
        <v>42</v>
      </c>
      <c r="Q47" s="23" t="s">
        <v>42</v>
      </c>
    </row>
    <row r="48" spans="1:23" x14ac:dyDescent="0.25">
      <c r="A48" s="60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2"/>
      <c r="M48" s="43" t="s">
        <v>43</v>
      </c>
      <c r="N48" s="23" t="s">
        <v>44</v>
      </c>
      <c r="O48" s="23" t="s">
        <v>45</v>
      </c>
      <c r="P48" s="23" t="s">
        <v>46</v>
      </c>
      <c r="Q48" s="23" t="s">
        <v>47</v>
      </c>
    </row>
    <row r="49" spans="1:19" x14ac:dyDescent="0.25">
      <c r="A49" s="44" t="s">
        <v>48</v>
      </c>
      <c r="B49" s="44" t="s">
        <v>49</v>
      </c>
      <c r="C49" s="44" t="s">
        <v>50</v>
      </c>
      <c r="D49" s="45" t="s">
        <v>51</v>
      </c>
      <c r="E49" s="45" t="s">
        <v>52</v>
      </c>
      <c r="F49" s="44" t="s">
        <v>53</v>
      </c>
      <c r="G49" s="44" t="s">
        <v>15</v>
      </c>
      <c r="H49" s="44" t="s">
        <v>16</v>
      </c>
      <c r="I49" s="44" t="s">
        <v>54</v>
      </c>
      <c r="J49" s="44" t="s">
        <v>18</v>
      </c>
      <c r="K49" s="44" t="s">
        <v>55</v>
      </c>
      <c r="L49" s="44" t="s">
        <v>56</v>
      </c>
      <c r="M49" s="44" t="s">
        <v>57</v>
      </c>
      <c r="N49" s="44" t="s">
        <v>58</v>
      </c>
      <c r="O49" s="44" t="s">
        <v>59</v>
      </c>
      <c r="P49" s="44" t="s">
        <v>60</v>
      </c>
      <c r="Q49" s="44" t="s">
        <v>61</v>
      </c>
    </row>
    <row r="50" spans="1:19" x14ac:dyDescent="0.25">
      <c r="A50" s="46" t="s">
        <v>62</v>
      </c>
      <c r="B50" s="46" t="s">
        <v>63</v>
      </c>
      <c r="C50" s="14" t="s">
        <v>64</v>
      </c>
      <c r="D50" s="47">
        <v>45139</v>
      </c>
      <c r="E50" s="48">
        <v>0.82152777777777775</v>
      </c>
      <c r="F50" s="23" t="s">
        <v>65</v>
      </c>
      <c r="G50" s="23" t="s">
        <v>32</v>
      </c>
      <c r="H50" s="23" t="s">
        <v>33</v>
      </c>
      <c r="I50" s="23" t="s">
        <v>66</v>
      </c>
      <c r="J50" s="46" t="s">
        <v>36</v>
      </c>
      <c r="K50" s="46">
        <v>114</v>
      </c>
      <c r="L50" s="46">
        <v>6</v>
      </c>
      <c r="M50" s="49">
        <v>6.5199999999999999E-5</v>
      </c>
      <c r="N50" s="49">
        <v>-1.11E-7</v>
      </c>
      <c r="O50" s="49">
        <v>8.4099999999999997E-7</v>
      </c>
      <c r="P50" s="49">
        <v>1.37</v>
      </c>
      <c r="Q50" s="49">
        <v>1.37</v>
      </c>
    </row>
    <row r="51" spans="1:19" x14ac:dyDescent="0.25">
      <c r="A51" s="46" t="s">
        <v>62</v>
      </c>
      <c r="B51" s="46" t="s">
        <v>63</v>
      </c>
      <c r="C51" s="50" t="s">
        <v>67</v>
      </c>
      <c r="D51" s="47">
        <v>45139</v>
      </c>
      <c r="E51" s="48">
        <v>0.82291666666666663</v>
      </c>
      <c r="F51" s="23" t="s">
        <v>65</v>
      </c>
      <c r="G51" s="23" t="s">
        <v>32</v>
      </c>
      <c r="H51" s="23" t="s">
        <v>33</v>
      </c>
      <c r="I51" s="23" t="s">
        <v>66</v>
      </c>
      <c r="J51" s="46" t="s">
        <v>36</v>
      </c>
      <c r="K51" s="46">
        <v>114</v>
      </c>
      <c r="L51" s="46">
        <v>6</v>
      </c>
      <c r="M51" s="49">
        <v>2.6200000000000003E-4</v>
      </c>
      <c r="N51" s="49">
        <v>-7.2100000000000004E-8</v>
      </c>
      <c r="O51" s="49">
        <v>1.6900000000000001E-5</v>
      </c>
      <c r="P51" s="49">
        <v>1.26</v>
      </c>
      <c r="Q51" s="49">
        <v>1.26</v>
      </c>
    </row>
    <row r="52" spans="1:19" x14ac:dyDescent="0.25">
      <c r="A52" s="46" t="s">
        <v>68</v>
      </c>
      <c r="B52" s="46" t="s">
        <v>63</v>
      </c>
      <c r="C52" s="14" t="s">
        <v>64</v>
      </c>
      <c r="D52" s="47">
        <v>45139</v>
      </c>
      <c r="E52" s="48">
        <v>0.82361111111111107</v>
      </c>
      <c r="F52" s="23" t="s">
        <v>65</v>
      </c>
      <c r="G52" s="23" t="s">
        <v>32</v>
      </c>
      <c r="H52" s="23" t="s">
        <v>33</v>
      </c>
      <c r="I52" s="23" t="s">
        <v>66</v>
      </c>
      <c r="J52" s="46" t="s">
        <v>36</v>
      </c>
      <c r="K52" s="46">
        <v>115</v>
      </c>
      <c r="L52" s="46">
        <v>7</v>
      </c>
      <c r="M52" s="49">
        <v>6.19E-5</v>
      </c>
      <c r="N52" s="49">
        <v>-1.09E-7</v>
      </c>
      <c r="O52" s="49">
        <v>1.0300000000000001E-6</v>
      </c>
      <c r="P52" s="49">
        <v>1.37</v>
      </c>
      <c r="Q52" s="49">
        <v>1.37</v>
      </c>
    </row>
    <row r="53" spans="1:19" x14ac:dyDescent="0.25">
      <c r="A53" s="46" t="s">
        <v>68</v>
      </c>
      <c r="B53" s="46" t="s">
        <v>63</v>
      </c>
      <c r="C53" s="50" t="s">
        <v>67</v>
      </c>
      <c r="D53" s="47">
        <v>45139</v>
      </c>
      <c r="E53" s="48">
        <v>0.82430555555555562</v>
      </c>
      <c r="F53" s="23" t="s">
        <v>65</v>
      </c>
      <c r="G53" s="23" t="s">
        <v>32</v>
      </c>
      <c r="H53" s="23" t="s">
        <v>33</v>
      </c>
      <c r="I53" s="23" t="s">
        <v>66</v>
      </c>
      <c r="J53" s="46" t="s">
        <v>36</v>
      </c>
      <c r="K53" s="46">
        <v>115</v>
      </c>
      <c r="L53" s="46">
        <v>7</v>
      </c>
      <c r="M53" s="49">
        <v>2.4499999999999999E-4</v>
      </c>
      <c r="N53" s="49">
        <v>-6.6800000000000003E-8</v>
      </c>
      <c r="O53" s="49">
        <v>1.7799999999999999E-5</v>
      </c>
      <c r="P53" s="49">
        <v>1.27</v>
      </c>
      <c r="Q53" s="49">
        <v>1.27</v>
      </c>
    </row>
    <row r="54" spans="1:19" x14ac:dyDescent="0.25">
      <c r="A54" s="46" t="s">
        <v>69</v>
      </c>
      <c r="B54" s="46" t="s">
        <v>63</v>
      </c>
      <c r="C54" s="14" t="s">
        <v>64</v>
      </c>
      <c r="D54" s="47">
        <v>45139</v>
      </c>
      <c r="E54" s="48">
        <v>0.82430555555555562</v>
      </c>
      <c r="F54" s="23" t="s">
        <v>65</v>
      </c>
      <c r="G54" s="23" t="s">
        <v>32</v>
      </c>
      <c r="H54" s="23" t="s">
        <v>33</v>
      </c>
      <c r="I54" s="23" t="s">
        <v>66</v>
      </c>
      <c r="J54" s="46" t="s">
        <v>36</v>
      </c>
      <c r="K54" s="46">
        <v>116</v>
      </c>
      <c r="L54" s="46">
        <v>8</v>
      </c>
      <c r="M54" s="49">
        <v>3.7200000000000003E-5</v>
      </c>
      <c r="N54" s="49">
        <v>-8.5599999999999999E-8</v>
      </c>
      <c r="O54" s="49">
        <v>7.0900000000000001E-7</v>
      </c>
      <c r="P54" s="49">
        <v>1.37</v>
      </c>
      <c r="Q54" s="49">
        <v>1.37</v>
      </c>
    </row>
    <row r="55" spans="1:19" x14ac:dyDescent="0.25">
      <c r="A55" s="46" t="s">
        <v>69</v>
      </c>
      <c r="B55" s="46" t="s">
        <v>63</v>
      </c>
      <c r="C55" s="50" t="s">
        <v>67</v>
      </c>
      <c r="D55" s="47">
        <v>45139</v>
      </c>
      <c r="E55" s="48">
        <v>0.8256944444444444</v>
      </c>
      <c r="F55" s="23" t="s">
        <v>65</v>
      </c>
      <c r="G55" s="23" t="s">
        <v>32</v>
      </c>
      <c r="H55" s="23" t="s">
        <v>33</v>
      </c>
      <c r="I55" s="23" t="s">
        <v>66</v>
      </c>
      <c r="J55" s="46" t="s">
        <v>36</v>
      </c>
      <c r="K55" s="46">
        <v>116</v>
      </c>
      <c r="L55" s="46">
        <v>8</v>
      </c>
      <c r="M55" s="49">
        <v>2.33E-4</v>
      </c>
      <c r="N55" s="49">
        <v>-5.7200000000000003E-8</v>
      </c>
      <c r="O55" s="49">
        <v>1.5800000000000001E-5</v>
      </c>
      <c r="P55" s="49">
        <v>1.26</v>
      </c>
      <c r="Q55" s="49">
        <v>1.26</v>
      </c>
    </row>
    <row r="56" spans="1:19" x14ac:dyDescent="0.25">
      <c r="A56" s="46" t="s">
        <v>70</v>
      </c>
      <c r="B56" s="46" t="s">
        <v>63</v>
      </c>
      <c r="C56" s="14" t="s">
        <v>64</v>
      </c>
      <c r="D56" s="47">
        <v>45139</v>
      </c>
      <c r="E56" s="48">
        <v>0.82638888888888884</v>
      </c>
      <c r="F56" s="23" t="s">
        <v>65</v>
      </c>
      <c r="G56" s="23" t="s">
        <v>32</v>
      </c>
      <c r="H56" s="23" t="s">
        <v>33</v>
      </c>
      <c r="I56" s="23" t="s">
        <v>71</v>
      </c>
      <c r="J56" s="46" t="s">
        <v>36</v>
      </c>
      <c r="K56" s="46">
        <v>117</v>
      </c>
      <c r="L56" s="46">
        <v>10</v>
      </c>
      <c r="M56" s="49">
        <v>8.9699999999999998E-5</v>
      </c>
      <c r="N56" s="49">
        <v>-9.0100000000000006E-8</v>
      </c>
      <c r="O56" s="49">
        <v>1.0499999999999999E-6</v>
      </c>
      <c r="P56" s="49">
        <v>1.32</v>
      </c>
      <c r="Q56" s="49">
        <v>1.32</v>
      </c>
    </row>
    <row r="57" spans="1:19" x14ac:dyDescent="0.25">
      <c r="A57" s="46" t="s">
        <v>70</v>
      </c>
      <c r="B57" s="46" t="s">
        <v>63</v>
      </c>
      <c r="C57" s="50" t="s">
        <v>67</v>
      </c>
      <c r="D57" s="47">
        <v>45139</v>
      </c>
      <c r="E57" s="48">
        <v>0.82777777777777783</v>
      </c>
      <c r="F57" s="23" t="s">
        <v>65</v>
      </c>
      <c r="G57" s="23" t="s">
        <v>32</v>
      </c>
      <c r="H57" s="23" t="s">
        <v>33</v>
      </c>
      <c r="I57" s="23" t="s">
        <v>71</v>
      </c>
      <c r="J57" s="46" t="s">
        <v>36</v>
      </c>
      <c r="K57" s="46">
        <v>117</v>
      </c>
      <c r="L57" s="46">
        <v>10</v>
      </c>
      <c r="M57" s="49">
        <v>3.2299999999999999E-4</v>
      </c>
      <c r="N57" s="49">
        <v>-5.47E-8</v>
      </c>
      <c r="O57" s="49">
        <v>3.5099999999999999E-5</v>
      </c>
      <c r="P57" s="49">
        <v>1.19</v>
      </c>
      <c r="Q57" s="49">
        <v>1.19</v>
      </c>
    </row>
    <row r="58" spans="1:19" x14ac:dyDescent="0.25">
      <c r="A58" s="46" t="s">
        <v>72</v>
      </c>
      <c r="B58" s="46" t="s">
        <v>63</v>
      </c>
      <c r="C58" s="14" t="s">
        <v>64</v>
      </c>
      <c r="D58" s="47">
        <v>45139</v>
      </c>
      <c r="E58" s="48">
        <v>0.82777777777777783</v>
      </c>
      <c r="F58" s="23" t="s">
        <v>65</v>
      </c>
      <c r="G58" s="23" t="s">
        <v>32</v>
      </c>
      <c r="H58" s="23" t="s">
        <v>33</v>
      </c>
      <c r="I58" s="23" t="s">
        <v>71</v>
      </c>
      <c r="J58" s="46" t="s">
        <v>36</v>
      </c>
      <c r="K58" s="46">
        <v>118</v>
      </c>
      <c r="L58" s="46">
        <v>11</v>
      </c>
      <c r="M58" s="49">
        <v>9.4400000000000004E-5</v>
      </c>
      <c r="N58" s="49">
        <v>-9.8700000000000004E-8</v>
      </c>
      <c r="O58" s="49">
        <v>4.3700000000000001E-7</v>
      </c>
      <c r="P58" s="49">
        <v>1.64</v>
      </c>
      <c r="Q58" s="49">
        <v>1.64</v>
      </c>
    </row>
    <row r="59" spans="1:19" x14ac:dyDescent="0.25">
      <c r="A59" s="46" t="s">
        <v>72</v>
      </c>
      <c r="B59" s="46" t="s">
        <v>63</v>
      </c>
      <c r="C59" s="50" t="s">
        <v>67</v>
      </c>
      <c r="D59" s="47">
        <v>45139</v>
      </c>
      <c r="E59" s="48">
        <v>0.82916666666666661</v>
      </c>
      <c r="F59" s="23" t="s">
        <v>65</v>
      </c>
      <c r="G59" s="23" t="s">
        <v>32</v>
      </c>
      <c r="H59" s="23" t="s">
        <v>33</v>
      </c>
      <c r="I59" s="23" t="s">
        <v>71</v>
      </c>
      <c r="J59" s="46" t="s">
        <v>36</v>
      </c>
      <c r="K59" s="46">
        <v>118</v>
      </c>
      <c r="L59" s="46">
        <v>11</v>
      </c>
      <c r="M59" s="49">
        <v>3.0200000000000002E-4</v>
      </c>
      <c r="N59" s="49">
        <v>-2.8699999999999999E-8</v>
      </c>
      <c r="O59" s="49">
        <v>3.04E-5</v>
      </c>
      <c r="P59" s="49">
        <v>1.21</v>
      </c>
      <c r="Q59" s="49">
        <v>1.21</v>
      </c>
    </row>
    <row r="60" spans="1:19" x14ac:dyDescent="0.25">
      <c r="A60" s="46" t="s">
        <v>73</v>
      </c>
      <c r="B60" s="46" t="s">
        <v>63</v>
      </c>
      <c r="C60" s="14" t="s">
        <v>64</v>
      </c>
      <c r="D60" s="47">
        <v>45139</v>
      </c>
      <c r="E60" s="48">
        <v>0.82916666666666661</v>
      </c>
      <c r="F60" s="23" t="s">
        <v>65</v>
      </c>
      <c r="G60" s="23" t="s">
        <v>32</v>
      </c>
      <c r="H60" s="23" t="s">
        <v>33</v>
      </c>
      <c r="I60" s="23" t="s">
        <v>71</v>
      </c>
      <c r="J60" s="46" t="s">
        <v>36</v>
      </c>
      <c r="K60" s="46">
        <v>119</v>
      </c>
      <c r="L60" s="46">
        <v>12</v>
      </c>
      <c r="M60" s="49">
        <v>9.2499999999999999E-5</v>
      </c>
      <c r="N60" s="49">
        <v>-8.8100000000000001E-8</v>
      </c>
      <c r="O60" s="49">
        <v>7.7300000000000005E-7</v>
      </c>
      <c r="P60" s="49">
        <v>1.32</v>
      </c>
      <c r="Q60" s="49">
        <v>1.32</v>
      </c>
    </row>
    <row r="61" spans="1:19" x14ac:dyDescent="0.25">
      <c r="A61" s="46" t="s">
        <v>73</v>
      </c>
      <c r="B61" s="46" t="s">
        <v>63</v>
      </c>
      <c r="C61" s="50" t="s">
        <v>67</v>
      </c>
      <c r="D61" s="47">
        <v>45139</v>
      </c>
      <c r="E61" s="48">
        <v>0.82986111111111116</v>
      </c>
      <c r="F61" s="23" t="s">
        <v>65</v>
      </c>
      <c r="G61" s="23" t="s">
        <v>32</v>
      </c>
      <c r="H61" s="23" t="s">
        <v>33</v>
      </c>
      <c r="I61" s="23" t="s">
        <v>71</v>
      </c>
      <c r="J61" s="46" t="s">
        <v>36</v>
      </c>
      <c r="K61" s="46">
        <v>119</v>
      </c>
      <c r="L61" s="46">
        <v>12</v>
      </c>
      <c r="M61" s="49">
        <v>3.8499999999999998E-4</v>
      </c>
      <c r="N61" s="49">
        <v>-6.0199999999999996E-8</v>
      </c>
      <c r="O61" s="49">
        <v>2.76E-5</v>
      </c>
      <c r="P61" s="49">
        <v>1.21</v>
      </c>
      <c r="Q61" s="49">
        <v>1.21</v>
      </c>
    </row>
    <row r="62" spans="1:19" x14ac:dyDescent="0.25"/>
    <row r="63" spans="1:19" ht="18.75" x14ac:dyDescent="0.3">
      <c r="A63" s="63" t="s">
        <v>74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</row>
    <row r="64" spans="1:19" ht="30" x14ac:dyDescent="0.25">
      <c r="A64" s="51" t="s">
        <v>75</v>
      </c>
      <c r="B64" s="52" t="s">
        <v>76</v>
      </c>
      <c r="C64" s="52" t="s">
        <v>77</v>
      </c>
      <c r="D64" s="52" t="s">
        <v>78</v>
      </c>
      <c r="E64" s="52" t="s">
        <v>79</v>
      </c>
      <c r="F64" s="52" t="s">
        <v>80</v>
      </c>
      <c r="G64" s="52" t="s">
        <v>81</v>
      </c>
      <c r="H64" s="52" t="s">
        <v>82</v>
      </c>
      <c r="I64" s="52" t="s">
        <v>83</v>
      </c>
      <c r="J64" s="52" t="s">
        <v>84</v>
      </c>
      <c r="K64" s="52" t="s">
        <v>85</v>
      </c>
      <c r="L64" s="52" t="s">
        <v>86</v>
      </c>
      <c r="M64" s="52" t="s">
        <v>87</v>
      </c>
      <c r="N64" s="52" t="s">
        <v>88</v>
      </c>
      <c r="O64" s="52" t="s">
        <v>89</v>
      </c>
      <c r="P64" s="52" t="s">
        <v>90</v>
      </c>
      <c r="Q64" s="52" t="s">
        <v>91</v>
      </c>
      <c r="R64" s="52" t="s">
        <v>92</v>
      </c>
      <c r="S64" s="53" t="s">
        <v>93</v>
      </c>
    </row>
    <row r="65" spans="1:19" x14ac:dyDescent="0.25">
      <c r="A65" s="54">
        <v>114</v>
      </c>
      <c r="B65" s="54" t="s">
        <v>94</v>
      </c>
      <c r="C65" s="54" t="s">
        <v>95</v>
      </c>
      <c r="D65" s="54" t="s">
        <v>96</v>
      </c>
      <c r="E65" s="54" t="s">
        <v>97</v>
      </c>
      <c r="F65" s="54">
        <v>0</v>
      </c>
      <c r="G65" s="54" t="s">
        <v>98</v>
      </c>
      <c r="H65" s="54">
        <v>0</v>
      </c>
      <c r="I65" s="54" t="s">
        <v>99</v>
      </c>
      <c r="J65" s="54">
        <v>12.05</v>
      </c>
      <c r="K65" s="54">
        <v>2374</v>
      </c>
      <c r="L65" s="54" t="s">
        <v>100</v>
      </c>
      <c r="M65" s="54">
        <v>82.3</v>
      </c>
      <c r="N65" s="54">
        <v>127.5</v>
      </c>
      <c r="O65" s="54">
        <v>82.3</v>
      </c>
      <c r="P65" s="54">
        <v>127.5</v>
      </c>
      <c r="Q65" s="54" t="s">
        <v>101</v>
      </c>
      <c r="R65" s="54" t="s">
        <v>102</v>
      </c>
      <c r="S65" s="55">
        <v>9951000</v>
      </c>
    </row>
    <row r="66" spans="1:19" x14ac:dyDescent="0.25">
      <c r="A66" s="54">
        <v>115</v>
      </c>
      <c r="B66" s="54" t="s">
        <v>103</v>
      </c>
      <c r="C66" s="54" t="s">
        <v>104</v>
      </c>
      <c r="D66" s="54" t="s">
        <v>105</v>
      </c>
      <c r="E66" s="54" t="s">
        <v>106</v>
      </c>
      <c r="F66" s="54">
        <v>0</v>
      </c>
      <c r="G66" s="54" t="s">
        <v>98</v>
      </c>
      <c r="H66" s="54">
        <v>0</v>
      </c>
      <c r="I66" s="54" t="s">
        <v>99</v>
      </c>
      <c r="J66" s="54">
        <v>12.05</v>
      </c>
      <c r="K66" s="54">
        <v>2374</v>
      </c>
      <c r="L66" s="54" t="s">
        <v>100</v>
      </c>
      <c r="M66" s="54">
        <v>82.3</v>
      </c>
      <c r="N66" s="54">
        <v>127.5</v>
      </c>
      <c r="O66" s="54">
        <v>82.3</v>
      </c>
      <c r="P66" s="54">
        <v>127.5</v>
      </c>
      <c r="Q66" s="54" t="s">
        <v>101</v>
      </c>
      <c r="R66" s="54" t="s">
        <v>102</v>
      </c>
      <c r="S66" s="55">
        <v>10050000</v>
      </c>
    </row>
    <row r="67" spans="1:19" x14ac:dyDescent="0.25">
      <c r="A67" s="54">
        <v>116</v>
      </c>
      <c r="B67" s="54" t="s">
        <v>107</v>
      </c>
      <c r="C67" s="54" t="s">
        <v>108</v>
      </c>
      <c r="D67" s="54" t="s">
        <v>109</v>
      </c>
      <c r="E67" s="54" t="s">
        <v>110</v>
      </c>
      <c r="F67" s="54">
        <v>0</v>
      </c>
      <c r="G67" s="54" t="s">
        <v>98</v>
      </c>
      <c r="H67" s="54">
        <v>0</v>
      </c>
      <c r="I67" s="54" t="s">
        <v>99</v>
      </c>
      <c r="J67" s="54">
        <v>12.05</v>
      </c>
      <c r="K67" s="54">
        <v>2374</v>
      </c>
      <c r="L67" s="54" t="s">
        <v>100</v>
      </c>
      <c r="M67" s="54">
        <v>82.3</v>
      </c>
      <c r="N67" s="54">
        <v>127.5</v>
      </c>
      <c r="O67" s="54">
        <v>82.3</v>
      </c>
      <c r="P67" s="54">
        <v>127.5</v>
      </c>
      <c r="Q67" s="54" t="s">
        <v>101</v>
      </c>
      <c r="R67" s="54" t="s">
        <v>102</v>
      </c>
      <c r="S67" s="55">
        <v>10070000</v>
      </c>
    </row>
    <row r="68" spans="1:19" x14ac:dyDescent="0.25">
      <c r="A68" s="54">
        <v>117</v>
      </c>
      <c r="B68" s="54" t="s">
        <v>111</v>
      </c>
      <c r="C68" s="54" t="s">
        <v>112</v>
      </c>
      <c r="D68" s="54" t="s">
        <v>113</v>
      </c>
      <c r="E68" s="54" t="s">
        <v>114</v>
      </c>
      <c r="F68" s="54">
        <v>0</v>
      </c>
      <c r="G68" s="54" t="s">
        <v>98</v>
      </c>
      <c r="H68" s="54">
        <v>0</v>
      </c>
      <c r="I68" s="54" t="s">
        <v>99</v>
      </c>
      <c r="J68" s="54">
        <v>12.05</v>
      </c>
      <c r="K68" s="54">
        <v>2374</v>
      </c>
      <c r="L68" s="54" t="s">
        <v>100</v>
      </c>
      <c r="M68" s="54">
        <v>82.3</v>
      </c>
      <c r="N68" s="54">
        <v>127.5</v>
      </c>
      <c r="O68" s="54">
        <v>82.3</v>
      </c>
      <c r="P68" s="54">
        <v>127.5</v>
      </c>
      <c r="Q68" s="54" t="s">
        <v>101</v>
      </c>
      <c r="R68" s="54" t="s">
        <v>102</v>
      </c>
      <c r="S68" s="55">
        <v>9996000</v>
      </c>
    </row>
    <row r="69" spans="1:19" x14ac:dyDescent="0.25">
      <c r="A69" s="54">
        <v>118</v>
      </c>
      <c r="B69" s="54" t="s">
        <v>115</v>
      </c>
      <c r="C69" s="54" t="s">
        <v>116</v>
      </c>
      <c r="D69" s="54" t="s">
        <v>117</v>
      </c>
      <c r="E69" s="54" t="s">
        <v>106</v>
      </c>
      <c r="F69" s="54">
        <v>0</v>
      </c>
      <c r="G69" s="54" t="s">
        <v>98</v>
      </c>
      <c r="H69" s="54">
        <v>0</v>
      </c>
      <c r="I69" s="54" t="s">
        <v>99</v>
      </c>
      <c r="J69" s="54">
        <v>12.05</v>
      </c>
      <c r="K69" s="54">
        <v>2374</v>
      </c>
      <c r="L69" s="54" t="s">
        <v>100</v>
      </c>
      <c r="M69" s="54">
        <v>82.3</v>
      </c>
      <c r="N69" s="54">
        <v>127.5</v>
      </c>
      <c r="O69" s="54">
        <v>82.3</v>
      </c>
      <c r="P69" s="54">
        <v>127.5</v>
      </c>
      <c r="Q69" s="54" t="s">
        <v>101</v>
      </c>
      <c r="R69" s="54" t="s">
        <v>102</v>
      </c>
      <c r="S69" s="55">
        <v>10030000</v>
      </c>
    </row>
    <row r="70" spans="1:19" x14ac:dyDescent="0.25">
      <c r="A70" s="54">
        <v>119</v>
      </c>
      <c r="B70" s="54" t="s">
        <v>118</v>
      </c>
      <c r="C70" s="54" t="s">
        <v>119</v>
      </c>
      <c r="D70" s="54" t="s">
        <v>120</v>
      </c>
      <c r="E70" s="54" t="s">
        <v>121</v>
      </c>
      <c r="F70" s="54">
        <v>0</v>
      </c>
      <c r="G70" s="54" t="s">
        <v>98</v>
      </c>
      <c r="H70" s="54">
        <v>0</v>
      </c>
      <c r="I70" s="54" t="s">
        <v>99</v>
      </c>
      <c r="J70" s="54">
        <v>12.05</v>
      </c>
      <c r="K70" s="54">
        <v>2374</v>
      </c>
      <c r="L70" s="54" t="s">
        <v>100</v>
      </c>
      <c r="M70" s="54">
        <v>82.3</v>
      </c>
      <c r="N70" s="54">
        <v>127.5</v>
      </c>
      <c r="O70" s="54">
        <v>82.3</v>
      </c>
      <c r="P70" s="54">
        <v>127.5</v>
      </c>
      <c r="Q70" s="54" t="s">
        <v>101</v>
      </c>
      <c r="R70" s="54" t="s">
        <v>102</v>
      </c>
      <c r="S70" s="55">
        <v>10070000</v>
      </c>
    </row>
    <row r="71" spans="1:19" x14ac:dyDescent="0.25">
      <c r="A71"/>
      <c r="D71" s="2"/>
      <c r="E71" s="2"/>
      <c r="F71" s="2"/>
      <c r="G71" s="2"/>
      <c r="H71" s="25"/>
      <c r="I71" s="2"/>
      <c r="N71" s="2"/>
      <c r="O71"/>
    </row>
    <row r="72" spans="1:19" ht="18.75" x14ac:dyDescent="0.3">
      <c r="A72" s="65" t="s">
        <v>122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</row>
    <row r="73" spans="1:19" ht="30" x14ac:dyDescent="0.25">
      <c r="A73" s="51" t="s">
        <v>75</v>
      </c>
      <c r="B73" s="56" t="s">
        <v>123</v>
      </c>
      <c r="C73" s="56" t="s">
        <v>124</v>
      </c>
      <c r="D73" s="56" t="s">
        <v>125</v>
      </c>
      <c r="E73" s="56" t="s">
        <v>126</v>
      </c>
      <c r="F73" s="56" t="s">
        <v>127</v>
      </c>
      <c r="G73" s="56" t="s">
        <v>128</v>
      </c>
      <c r="H73" s="56" t="s">
        <v>129</v>
      </c>
      <c r="I73" s="56" t="s">
        <v>130</v>
      </c>
      <c r="J73" s="56" t="s">
        <v>131</v>
      </c>
      <c r="K73" s="56" t="s">
        <v>132</v>
      </c>
      <c r="L73" s="56" t="s">
        <v>133</v>
      </c>
      <c r="M73" s="56" t="s">
        <v>134</v>
      </c>
      <c r="N73" s="56" t="s">
        <v>135</v>
      </c>
      <c r="O73" s="56" t="s">
        <v>136</v>
      </c>
      <c r="P73" s="56" t="s">
        <v>137</v>
      </c>
      <c r="Q73" s="56" t="s">
        <v>138</v>
      </c>
      <c r="R73" s="67" t="s">
        <v>139</v>
      </c>
      <c r="S73" s="68"/>
    </row>
    <row r="74" spans="1:19" x14ac:dyDescent="0.25">
      <c r="A74" s="54">
        <v>114</v>
      </c>
      <c r="B74" s="55">
        <v>13110</v>
      </c>
      <c r="C74" s="54">
        <v>87.2667</v>
      </c>
      <c r="D74" s="54">
        <v>0</v>
      </c>
      <c r="E74" s="55">
        <v>114000</v>
      </c>
      <c r="F74" s="54">
        <v>0.05</v>
      </c>
      <c r="G74" s="54">
        <v>95</v>
      </c>
      <c r="H74" s="54">
        <v>4</v>
      </c>
      <c r="I74" s="54">
        <v>1.0651600000000001</v>
      </c>
      <c r="J74" s="54" t="s">
        <v>140</v>
      </c>
      <c r="K74" s="54" t="s">
        <v>141</v>
      </c>
      <c r="L74" s="54" t="s">
        <v>142</v>
      </c>
      <c r="M74" s="54" t="s">
        <v>143</v>
      </c>
      <c r="N74" s="54" t="s">
        <v>144</v>
      </c>
      <c r="O74" s="54" t="s">
        <v>145</v>
      </c>
      <c r="P74" s="54" t="s">
        <v>146</v>
      </c>
      <c r="Q74" s="54" t="s">
        <v>147</v>
      </c>
      <c r="R74" s="54" t="s">
        <v>148</v>
      </c>
    </row>
    <row r="75" spans="1:19" x14ac:dyDescent="0.25">
      <c r="A75" s="54">
        <v>115</v>
      </c>
      <c r="B75" s="55">
        <v>13240</v>
      </c>
      <c r="C75" s="54">
        <v>78.55</v>
      </c>
      <c r="D75" s="54">
        <v>0</v>
      </c>
      <c r="E75" s="55">
        <v>127900</v>
      </c>
      <c r="F75" s="54">
        <v>0.05</v>
      </c>
      <c r="G75" s="54">
        <v>95</v>
      </c>
      <c r="H75" s="54">
        <v>4</v>
      </c>
      <c r="I75" s="54">
        <v>1.05392</v>
      </c>
      <c r="J75" s="54" t="s">
        <v>149</v>
      </c>
      <c r="K75" s="54" t="s">
        <v>141</v>
      </c>
      <c r="L75" s="54" t="s">
        <v>142</v>
      </c>
      <c r="M75" s="54" t="s">
        <v>143</v>
      </c>
      <c r="N75" s="54" t="s">
        <v>144</v>
      </c>
      <c r="O75" s="54" t="s">
        <v>145</v>
      </c>
      <c r="P75" s="54" t="s">
        <v>146</v>
      </c>
      <c r="Q75" s="54" t="s">
        <v>147</v>
      </c>
      <c r="R75" s="54" t="s">
        <v>148</v>
      </c>
    </row>
    <row r="76" spans="1:19" x14ac:dyDescent="0.25">
      <c r="A76" s="54">
        <v>116</v>
      </c>
      <c r="B76" s="55">
        <v>13260</v>
      </c>
      <c r="C76" s="54">
        <v>71.866699999999994</v>
      </c>
      <c r="D76" s="54">
        <v>0</v>
      </c>
      <c r="E76" s="55">
        <v>140100</v>
      </c>
      <c r="F76" s="54">
        <v>0.05</v>
      </c>
      <c r="G76" s="54">
        <v>95</v>
      </c>
      <c r="H76" s="54">
        <v>4</v>
      </c>
      <c r="I76" s="54">
        <v>1.0704100000000001</v>
      </c>
      <c r="J76" s="54" t="s">
        <v>150</v>
      </c>
      <c r="K76" s="54" t="s">
        <v>151</v>
      </c>
      <c r="L76" s="54" t="s">
        <v>142</v>
      </c>
      <c r="M76" s="54" t="s">
        <v>143</v>
      </c>
      <c r="N76" s="54" t="s">
        <v>144</v>
      </c>
      <c r="O76" s="54" t="s">
        <v>145</v>
      </c>
      <c r="P76" s="54" t="s">
        <v>146</v>
      </c>
      <c r="Q76" s="54" t="s">
        <v>147</v>
      </c>
      <c r="R76" s="54" t="s">
        <v>148</v>
      </c>
    </row>
    <row r="77" spans="1:19" x14ac:dyDescent="0.25">
      <c r="A77" s="54">
        <v>117</v>
      </c>
      <c r="B77" s="55">
        <v>13170</v>
      </c>
      <c r="C77" s="54">
        <v>76.166700000000006</v>
      </c>
      <c r="D77" s="54">
        <v>0</v>
      </c>
      <c r="E77" s="55">
        <v>131200</v>
      </c>
      <c r="F77" s="54">
        <v>0.05</v>
      </c>
      <c r="G77" s="54">
        <v>95</v>
      </c>
      <c r="H77" s="54">
        <v>4</v>
      </c>
      <c r="I77" s="54">
        <v>1.06196</v>
      </c>
      <c r="J77" s="54" t="s">
        <v>152</v>
      </c>
      <c r="K77" s="54" t="s">
        <v>151</v>
      </c>
      <c r="L77" s="54" t="s">
        <v>142</v>
      </c>
      <c r="M77" s="54" t="s">
        <v>143</v>
      </c>
      <c r="N77" s="54" t="s">
        <v>144</v>
      </c>
      <c r="O77" s="54" t="s">
        <v>145</v>
      </c>
      <c r="P77" s="54" t="s">
        <v>146</v>
      </c>
      <c r="Q77" s="54" t="s">
        <v>147</v>
      </c>
      <c r="R77" s="54" t="s">
        <v>148</v>
      </c>
    </row>
    <row r="78" spans="1:19" x14ac:dyDescent="0.25">
      <c r="A78" s="54">
        <v>118</v>
      </c>
      <c r="B78" s="55">
        <v>13220</v>
      </c>
      <c r="C78" s="54">
        <v>79.5</v>
      </c>
      <c r="D78" s="54">
        <v>0</v>
      </c>
      <c r="E78" s="55">
        <v>126200</v>
      </c>
      <c r="F78" s="54">
        <v>0.05</v>
      </c>
      <c r="G78" s="54">
        <v>95</v>
      </c>
      <c r="H78" s="54">
        <v>4</v>
      </c>
      <c r="I78" s="54">
        <v>1.0610599999999999</v>
      </c>
      <c r="J78" s="54" t="s">
        <v>153</v>
      </c>
      <c r="K78" s="54" t="s">
        <v>151</v>
      </c>
      <c r="L78" s="54" t="s">
        <v>142</v>
      </c>
      <c r="M78" s="54" t="s">
        <v>143</v>
      </c>
      <c r="N78" s="54" t="s">
        <v>144</v>
      </c>
      <c r="O78" s="54" t="s">
        <v>145</v>
      </c>
      <c r="P78" s="54" t="s">
        <v>146</v>
      </c>
      <c r="Q78" s="54" t="s">
        <v>147</v>
      </c>
      <c r="R78" s="54" t="s">
        <v>148</v>
      </c>
    </row>
    <row r="79" spans="1:19" x14ac:dyDescent="0.25">
      <c r="A79" s="54">
        <v>119</v>
      </c>
      <c r="B79" s="55">
        <v>13270</v>
      </c>
      <c r="C79" s="54">
        <v>74.616699999999994</v>
      </c>
      <c r="D79" s="54">
        <v>0</v>
      </c>
      <c r="E79" s="55">
        <v>135000</v>
      </c>
      <c r="F79" s="54">
        <v>0.05</v>
      </c>
      <c r="G79" s="54">
        <v>95</v>
      </c>
      <c r="H79" s="54">
        <v>4</v>
      </c>
      <c r="I79" s="54">
        <v>1.0447599999999999</v>
      </c>
      <c r="J79" s="54" t="s">
        <v>154</v>
      </c>
      <c r="K79" s="54" t="s">
        <v>151</v>
      </c>
      <c r="L79" s="54" t="s">
        <v>142</v>
      </c>
      <c r="M79" s="54" t="s">
        <v>143</v>
      </c>
      <c r="N79" s="54" t="s">
        <v>144</v>
      </c>
      <c r="O79" s="54" t="s">
        <v>145</v>
      </c>
      <c r="P79" s="54" t="s">
        <v>146</v>
      </c>
      <c r="Q79" s="54" t="s">
        <v>147</v>
      </c>
      <c r="R79" s="54" t="s">
        <v>148</v>
      </c>
    </row>
  </sheetData>
  <sheetProtection algorithmName="SHA-512" hashValue="dz6DF6AbHduh4BIXZ/HpdGStqtcTh3cZjekKJRr5C+JlDuS1o5ClMlEny9XlH56XejJonr4P+G/wGaCsVbLFrw==" saltValue="HhR8NNe8z1eMT/Y3YgK8Og==" spinCount="100000" sheet="1" objects="1" scenarios="1"/>
  <mergeCells count="16">
    <mergeCell ref="A6:Q6"/>
    <mergeCell ref="B39:C39"/>
    <mergeCell ref="H39:I39"/>
    <mergeCell ref="S20:T20"/>
    <mergeCell ref="S23:T23"/>
    <mergeCell ref="S24:T24"/>
    <mergeCell ref="A1:Q1"/>
    <mergeCell ref="A2:Q2"/>
    <mergeCell ref="A3:Q3"/>
    <mergeCell ref="A4:Q4"/>
    <mergeCell ref="A5:Q5"/>
    <mergeCell ref="A47:L48"/>
    <mergeCell ref="A63:S63"/>
    <mergeCell ref="A72:S72"/>
    <mergeCell ref="R73:S73"/>
    <mergeCell ref="A7:Q7"/>
  </mergeCells>
  <conditionalFormatting sqref="B50:B61">
    <cfRule type="cellIs" dxfId="1" priority="1" operator="notEqual">
      <formula>"PASS"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DBAD-DFE0-4451-9B0F-3CC406EF0F08}">
  <sheetPr codeName="Sheet1"/>
  <dimension ref="A1:AV852"/>
  <sheetViews>
    <sheetView workbookViewId="0">
      <selection activeCell="W2" sqref="W2:W328"/>
    </sheetView>
  </sheetViews>
  <sheetFormatPr defaultRowHeight="15" x14ac:dyDescent="0.25"/>
  <cols>
    <col min="1" max="1" width="9" customWidth="1"/>
    <col min="2" max="2" width="12.42578125" bestFit="1" customWidth="1"/>
    <col min="4" max="4" width="0.85546875" style="19" customWidth="1"/>
    <col min="5" max="5" width="10.140625" customWidth="1"/>
    <col min="6" max="6" width="12.42578125" bestFit="1" customWidth="1"/>
    <col min="8" max="8" width="0.85546875" style="19" customWidth="1"/>
    <col min="10" max="10" width="12.42578125" bestFit="1" customWidth="1"/>
    <col min="12" max="12" width="0.85546875" style="19" customWidth="1"/>
    <col min="16" max="16" width="0.85546875" style="19" customWidth="1"/>
    <col min="20" max="20" width="0.85546875" style="19" customWidth="1"/>
    <col min="24" max="24" width="0.85546875" style="19" customWidth="1"/>
    <col min="28" max="28" width="0.85546875" style="19" customWidth="1"/>
    <col min="32" max="32" width="0.85546875" style="19" customWidth="1"/>
    <col min="36" max="36" width="0.85546875" style="19" customWidth="1"/>
    <col min="40" max="40" width="0.85546875" style="19" customWidth="1"/>
    <col min="44" max="44" width="0.85546875" style="19" customWidth="1"/>
    <col min="48" max="48" width="0.85546875" style="19" customWidth="1"/>
  </cols>
  <sheetData>
    <row r="1" spans="1:47" x14ac:dyDescent="0.25">
      <c r="A1" s="23" t="s">
        <v>66</v>
      </c>
      <c r="B1" s="21"/>
      <c r="C1" s="23" t="s">
        <v>62</v>
      </c>
      <c r="E1" s="23" t="s">
        <v>66</v>
      </c>
      <c r="F1" s="21"/>
      <c r="G1" s="23" t="s">
        <v>68</v>
      </c>
      <c r="I1" s="24" t="s">
        <v>66</v>
      </c>
      <c r="J1" s="21"/>
      <c r="K1" s="24" t="s">
        <v>69</v>
      </c>
      <c r="M1" s="23" t="s">
        <v>71</v>
      </c>
      <c r="N1" s="21"/>
      <c r="O1" s="23" t="s">
        <v>70</v>
      </c>
      <c r="Q1" s="23" t="s">
        <v>71</v>
      </c>
      <c r="R1" s="21"/>
      <c r="S1" s="23" t="s">
        <v>72</v>
      </c>
      <c r="U1" s="24" t="s">
        <v>71</v>
      </c>
      <c r="V1" s="21"/>
      <c r="W1" s="24" t="s">
        <v>73</v>
      </c>
      <c r="Y1" s="24"/>
      <c r="Z1" s="21"/>
      <c r="AA1" s="24"/>
      <c r="AC1" s="18"/>
      <c r="AD1" s="21"/>
      <c r="AE1" s="20"/>
      <c r="AG1" s="18"/>
      <c r="AH1" s="21"/>
      <c r="AI1" s="20"/>
      <c r="AK1" s="18"/>
      <c r="AL1" s="21"/>
      <c r="AM1" s="20"/>
      <c r="AO1" s="18"/>
      <c r="AP1" s="21"/>
      <c r="AQ1" s="20"/>
      <c r="AS1" s="18"/>
      <c r="AT1" s="21"/>
      <c r="AU1" s="20"/>
    </row>
    <row r="2" spans="1:47" x14ac:dyDescent="0.25">
      <c r="A2" s="25">
        <v>0</v>
      </c>
      <c r="B2" s="25">
        <v>1.2727610000000001E-6</v>
      </c>
      <c r="C2" s="25">
        <v>1.246569E-6</v>
      </c>
      <c r="E2" s="25">
        <v>0</v>
      </c>
      <c r="F2" s="25">
        <v>1.234514E-6</v>
      </c>
      <c r="G2" s="25">
        <v>1.153423E-6</v>
      </c>
      <c r="I2" s="25">
        <v>0</v>
      </c>
      <c r="J2" s="25">
        <v>1.0585980000000001E-6</v>
      </c>
      <c r="K2" s="25">
        <v>9.4401428900000004E-7</v>
      </c>
      <c r="M2" s="25">
        <v>0</v>
      </c>
      <c r="N2" s="25">
        <v>1.51455E-6</v>
      </c>
      <c r="O2" s="25">
        <v>1.12348E-6</v>
      </c>
      <c r="Q2" s="25">
        <v>0</v>
      </c>
      <c r="R2" s="25">
        <v>7.2641819299999997E-7</v>
      </c>
      <c r="S2" s="25">
        <v>6.6251618599999996E-7</v>
      </c>
      <c r="U2" s="25">
        <v>0</v>
      </c>
      <c r="V2" s="25">
        <v>1.3610800000000001E-6</v>
      </c>
      <c r="W2" s="25">
        <v>1.155155E-6</v>
      </c>
    </row>
    <row r="3" spans="1:47" x14ac:dyDescent="0.25">
      <c r="A3" s="25">
        <v>0</v>
      </c>
      <c r="B3" s="25">
        <v>1.3230124999999999E-6</v>
      </c>
      <c r="C3" s="25">
        <v>1.250756E-6</v>
      </c>
      <c r="E3" s="25">
        <v>0</v>
      </c>
      <c r="F3" s="25">
        <v>1.2792835E-6</v>
      </c>
      <c r="G3" s="25">
        <v>1.153568E-6</v>
      </c>
      <c r="I3" s="25">
        <v>0</v>
      </c>
      <c r="J3" s="25">
        <v>1.0862010000000001E-6</v>
      </c>
      <c r="K3" s="25">
        <v>9.4983502650000005E-7</v>
      </c>
      <c r="M3" s="25">
        <v>0</v>
      </c>
      <c r="N3" s="25">
        <v>1.3598695E-6</v>
      </c>
      <c r="O3" s="25">
        <v>1.1005139999999998E-6</v>
      </c>
      <c r="Q3" s="25">
        <v>0</v>
      </c>
      <c r="R3" s="25">
        <v>1.2138830965E-6</v>
      </c>
      <c r="S3" s="25">
        <v>6.6210924400000005E-7</v>
      </c>
      <c r="U3" s="25">
        <v>0</v>
      </c>
      <c r="V3" s="25">
        <v>1.3525895E-6</v>
      </c>
      <c r="W3" s="25">
        <v>1.1470560000000001E-6</v>
      </c>
    </row>
    <row r="4" spans="1:47" x14ac:dyDescent="0.25">
      <c r="A4" s="25">
        <v>0</v>
      </c>
      <c r="B4" s="25">
        <v>1.3620979999999998E-6</v>
      </c>
      <c r="C4" s="25">
        <v>1.2530026666666666E-6</v>
      </c>
      <c r="E4" s="25">
        <v>0</v>
      </c>
      <c r="F4" s="25">
        <v>1.1861983333333335E-6</v>
      </c>
      <c r="G4" s="25">
        <v>1.1555576666666668E-6</v>
      </c>
      <c r="I4" s="25">
        <v>0</v>
      </c>
      <c r="J4" s="25">
        <v>1.2206980000000002E-6</v>
      </c>
      <c r="K4" s="25">
        <v>9.5453513399999989E-7</v>
      </c>
      <c r="M4" s="25">
        <v>1171.8338826360359</v>
      </c>
      <c r="N4" s="25">
        <v>1.3053739999999999E-6</v>
      </c>
      <c r="O4" s="25">
        <v>1.0998986666666667E-6</v>
      </c>
      <c r="Q4" s="25">
        <v>710.48797990302614</v>
      </c>
      <c r="R4" s="25">
        <v>1.1826693976666668E-6</v>
      </c>
      <c r="S4" s="25">
        <v>6.6240655400000006E-7</v>
      </c>
      <c r="U4" s="25">
        <v>0</v>
      </c>
      <c r="V4" s="25">
        <v>1.3887333333333333E-6</v>
      </c>
      <c r="W4" s="25">
        <v>1.1433126666666667E-6</v>
      </c>
    </row>
    <row r="5" spans="1:47" x14ac:dyDescent="0.25">
      <c r="A5" s="25">
        <v>2576.3279527912355</v>
      </c>
      <c r="B5" s="25">
        <v>1.3530287499999999E-6</v>
      </c>
      <c r="C5" s="25">
        <v>1.2655244999999999E-6</v>
      </c>
      <c r="E5" s="25">
        <v>398.41467654156338</v>
      </c>
      <c r="F5" s="25">
        <v>1.1997952500000001E-6</v>
      </c>
      <c r="G5" s="25">
        <v>1.1540325E-6</v>
      </c>
      <c r="I5" s="25">
        <v>14434.100905562744</v>
      </c>
      <c r="J5" s="25">
        <v>1.1894352500000002E-6</v>
      </c>
      <c r="K5" s="25">
        <v>9.5944021424999992E-7</v>
      </c>
      <c r="M5" s="25">
        <v>31834.82047827898</v>
      </c>
      <c r="N5" s="25">
        <v>1.3270735E-6</v>
      </c>
      <c r="O5" s="25">
        <v>1.0972389999999999E-6</v>
      </c>
      <c r="Q5" s="25">
        <v>33660.655163811483</v>
      </c>
      <c r="R5" s="25">
        <v>1.23292604825E-6</v>
      </c>
      <c r="S5" s="25">
        <v>6.5815721949999998E-7</v>
      </c>
      <c r="U5" s="25">
        <v>18278.603529231736</v>
      </c>
      <c r="V5" s="25">
        <v>1.3654469999999999E-6</v>
      </c>
      <c r="W5" s="25">
        <v>1.14114175E-6</v>
      </c>
    </row>
    <row r="6" spans="1:47" x14ac:dyDescent="0.25">
      <c r="A6" s="25">
        <v>37372.151697660913</v>
      </c>
      <c r="B6" s="25">
        <v>1.3649235999999999E-6</v>
      </c>
      <c r="C6" s="25">
        <v>1.2678406000000001E-6</v>
      </c>
      <c r="E6" s="25">
        <v>30841.382268691792</v>
      </c>
      <c r="F6" s="25">
        <v>1.1873972000000001E-6</v>
      </c>
      <c r="G6" s="25">
        <v>1.1527154000000002E-6</v>
      </c>
      <c r="I6" s="25">
        <v>54265.966364812419</v>
      </c>
      <c r="J6" s="25">
        <v>1.2887726000000002E-6</v>
      </c>
      <c r="K6" s="25">
        <v>9.6119193799999998E-7</v>
      </c>
      <c r="M6" s="25">
        <v>66146.938901428875</v>
      </c>
      <c r="N6" s="25">
        <v>1.4228288E-6</v>
      </c>
      <c r="O6" s="25">
        <v>1.0946191999999998E-6</v>
      </c>
      <c r="Q6" s="25">
        <v>58785.157641541678</v>
      </c>
      <c r="R6" s="25">
        <v>1.2881960386000001E-6</v>
      </c>
      <c r="S6" s="25">
        <v>6.5673491479999998E-7</v>
      </c>
      <c r="U6" s="25">
        <v>51267.275677939477</v>
      </c>
      <c r="V6" s="25">
        <v>1.4003873999999998E-6</v>
      </c>
      <c r="W6" s="25">
        <v>1.1369558E-6</v>
      </c>
    </row>
    <row r="7" spans="1:47" x14ac:dyDescent="0.25">
      <c r="A7" s="25">
        <v>71223.664001666868</v>
      </c>
      <c r="B7" s="25">
        <v>1.3966666666666665E-6</v>
      </c>
      <c r="C7" s="25">
        <v>1.2668396666666668E-6</v>
      </c>
      <c r="E7" s="25">
        <v>64849.650427842171</v>
      </c>
      <c r="F7" s="25">
        <v>1.2414601666666668E-6</v>
      </c>
      <c r="G7" s="25">
        <v>1.1550393333333333E-6</v>
      </c>
      <c r="I7" s="25">
        <v>89637.329883570506</v>
      </c>
      <c r="J7" s="25">
        <v>1.2573113333333334E-6</v>
      </c>
      <c r="K7" s="25">
        <v>9.6148044299999992E-7</v>
      </c>
      <c r="M7" s="25">
        <v>101486.98178303144</v>
      </c>
      <c r="N7" s="25">
        <v>1.5202754999999999E-6</v>
      </c>
      <c r="O7" s="25">
        <v>1.0892533333333332E-6</v>
      </c>
      <c r="Q7" s="25">
        <v>92476.703587088079</v>
      </c>
      <c r="R7" s="25">
        <v>1.3204291988333334E-6</v>
      </c>
      <c r="S7" s="25">
        <v>6.5622248266666669E-7</v>
      </c>
      <c r="U7" s="25">
        <v>82197.957523577876</v>
      </c>
      <c r="V7" s="25">
        <v>1.4386948333333332E-6</v>
      </c>
      <c r="W7" s="25">
        <v>1.1386788333333335E-6</v>
      </c>
    </row>
    <row r="8" spans="1:47" x14ac:dyDescent="0.25">
      <c r="A8" s="25">
        <v>103422.63128416131</v>
      </c>
      <c r="B8" s="25">
        <v>1.4562052857142857E-6</v>
      </c>
      <c r="C8" s="25">
        <v>1.2595798571428573E-6</v>
      </c>
      <c r="E8" s="25">
        <v>90858.977773350387</v>
      </c>
      <c r="F8" s="25">
        <v>1.2774920000000003E-6</v>
      </c>
      <c r="G8" s="25">
        <v>1.1550934285714286E-6</v>
      </c>
      <c r="I8" s="25">
        <v>134555.00129366107</v>
      </c>
      <c r="J8" s="25">
        <v>1.2319704285714287E-6</v>
      </c>
      <c r="K8" s="25">
        <v>9.6194396999999989E-7</v>
      </c>
      <c r="M8" s="25">
        <v>128870.88935621038</v>
      </c>
      <c r="N8" s="25">
        <v>1.5370238571428571E-6</v>
      </c>
      <c r="O8" s="25">
        <v>1.0844862857142856E-6</v>
      </c>
      <c r="Q8" s="25">
        <v>126672.79896763807</v>
      </c>
      <c r="R8" s="25">
        <v>1.317598599E-6</v>
      </c>
      <c r="S8" s="25">
        <v>6.5634191071428569E-7</v>
      </c>
      <c r="U8" s="25">
        <v>116565.38179650942</v>
      </c>
      <c r="V8" s="25">
        <v>1.4664495714285713E-6</v>
      </c>
      <c r="W8" s="25">
        <v>1.136784E-6</v>
      </c>
    </row>
    <row r="9" spans="1:47" x14ac:dyDescent="0.25">
      <c r="A9" s="25">
        <v>139829.94303137451</v>
      </c>
      <c r="B9" s="25">
        <v>1.4815685E-6</v>
      </c>
      <c r="C9" s="25">
        <v>1.2570585E-6</v>
      </c>
      <c r="E9" s="25">
        <v>125888.82202619707</v>
      </c>
      <c r="F9" s="25">
        <v>1.3050878750000002E-6</v>
      </c>
      <c r="G9" s="25">
        <v>1.154996375E-6</v>
      </c>
      <c r="I9" s="25">
        <v>169957.63001293663</v>
      </c>
      <c r="J9" s="25">
        <v>1.2512567500000002E-6</v>
      </c>
      <c r="K9" s="25">
        <v>9.6331825000000008E-7</v>
      </c>
      <c r="M9" s="25">
        <v>150847.91427792833</v>
      </c>
      <c r="N9" s="25">
        <v>1.5644895E-6</v>
      </c>
      <c r="O9" s="25">
        <v>1.082735625E-6</v>
      </c>
      <c r="Q9" s="25">
        <v>157182.59439448832</v>
      </c>
      <c r="R9" s="25">
        <v>1.343170149125E-6</v>
      </c>
      <c r="S9" s="25">
        <v>6.5640737299999993E-7</v>
      </c>
      <c r="U9" s="25">
        <v>150709.77263758122</v>
      </c>
      <c r="V9" s="25">
        <v>1.473561625E-6</v>
      </c>
      <c r="W9" s="25">
        <v>1.1333550000000001E-6</v>
      </c>
    </row>
    <row r="10" spans="1:47" x14ac:dyDescent="0.25">
      <c r="A10" s="25">
        <v>175385.32163085195</v>
      </c>
      <c r="B10" s="25">
        <v>1.4894329999999999E-6</v>
      </c>
      <c r="C10" s="25">
        <v>1.2563612222222222E-6</v>
      </c>
      <c r="E10" s="25">
        <v>156198.98472616679</v>
      </c>
      <c r="F10" s="25">
        <v>1.3132656666666668E-6</v>
      </c>
      <c r="G10" s="25">
        <v>1.153732888888889E-6</v>
      </c>
      <c r="I10" s="25">
        <v>204286.82018111256</v>
      </c>
      <c r="J10" s="25">
        <v>1.2684458888888891E-6</v>
      </c>
      <c r="K10" s="25">
        <v>9.6617216933333341E-7</v>
      </c>
      <c r="M10" s="25">
        <v>182693.01400079182</v>
      </c>
      <c r="N10" s="25">
        <v>1.589602E-6</v>
      </c>
      <c r="O10" s="25">
        <v>1.0831844444444443E-6</v>
      </c>
      <c r="Q10" s="25">
        <v>192799.66573484437</v>
      </c>
      <c r="R10" s="25">
        <v>1.372161577E-6</v>
      </c>
      <c r="S10" s="25">
        <v>6.5689494033333327E-7</v>
      </c>
      <c r="U10" s="25">
        <v>179957.56586100528</v>
      </c>
      <c r="V10" s="25">
        <v>1.5003019999999999E-6</v>
      </c>
      <c r="W10" s="25">
        <v>1.130148888888889E-6</v>
      </c>
    </row>
    <row r="11" spans="1:47" x14ac:dyDescent="0.25">
      <c r="A11" s="25">
        <v>207502.17487501045</v>
      </c>
      <c r="B11" s="25">
        <v>1.5321350999999998E-6</v>
      </c>
      <c r="C11" s="25">
        <v>1.2595746000000002E-6</v>
      </c>
      <c r="E11" s="25">
        <v>184465.99523874387</v>
      </c>
      <c r="F11" s="25">
        <v>1.3035610000000001E-6</v>
      </c>
      <c r="G11" s="25">
        <v>1.1532735E-6</v>
      </c>
      <c r="I11" s="25">
        <v>239783.2445019405</v>
      </c>
      <c r="J11" s="25">
        <v>1.2880644000000002E-6</v>
      </c>
      <c r="K11" s="25">
        <v>9.6815618340000017E-7</v>
      </c>
      <c r="M11" s="25">
        <v>216809.82677683572</v>
      </c>
      <c r="N11" s="25">
        <v>1.6447189000000001E-6</v>
      </c>
      <c r="O11" s="25">
        <v>1.0794603E-6</v>
      </c>
      <c r="Q11" s="25">
        <v>214484.99451275411</v>
      </c>
      <c r="R11" s="25">
        <v>1.4052161193E-6</v>
      </c>
      <c r="S11" s="25">
        <v>6.5892184589999993E-7</v>
      </c>
      <c r="U11" s="25">
        <v>204481.10548230953</v>
      </c>
      <c r="V11" s="25">
        <v>1.5450405E-6</v>
      </c>
      <c r="W11" s="25">
        <v>1.1237689E-6</v>
      </c>
    </row>
    <row r="12" spans="1:47" x14ac:dyDescent="0.25">
      <c r="A12" s="25">
        <v>242646.98328280801</v>
      </c>
      <c r="B12" s="25">
        <v>1.560865818181818E-6</v>
      </c>
      <c r="C12" s="25">
        <v>1.2585238181818183E-6</v>
      </c>
      <c r="E12" s="25">
        <v>205714.77798762725</v>
      </c>
      <c r="F12" s="25">
        <v>1.3295875454545456E-6</v>
      </c>
      <c r="G12" s="25">
        <v>1.1527483636363638E-6</v>
      </c>
      <c r="I12" s="25">
        <v>274268.76067270373</v>
      </c>
      <c r="J12" s="25">
        <v>1.3048434545454548E-6</v>
      </c>
      <c r="K12" s="25">
        <v>9.6976805763636365E-7</v>
      </c>
      <c r="M12" s="25">
        <v>248901.62836972787</v>
      </c>
      <c r="N12" s="25">
        <v>1.7119979090909093E-6</v>
      </c>
      <c r="O12" s="25">
        <v>1.0759594545454545E-6</v>
      </c>
      <c r="Q12" s="25">
        <v>242286.69807417688</v>
      </c>
      <c r="R12" s="25">
        <v>1.4397508357272727E-6</v>
      </c>
      <c r="S12" s="25">
        <v>6.6039807099999995E-7</v>
      </c>
      <c r="U12" s="25">
        <v>234783.23856543412</v>
      </c>
      <c r="V12" s="25">
        <v>1.5552806363636363E-6</v>
      </c>
      <c r="W12" s="25">
        <v>1.1203889090909091E-6</v>
      </c>
    </row>
    <row r="13" spans="1:47" x14ac:dyDescent="0.25">
      <c r="A13" s="25">
        <v>275697.88371303817</v>
      </c>
      <c r="B13" s="25">
        <v>1.58668775E-6</v>
      </c>
      <c r="C13" s="25">
        <v>1.2567100833333333E-6</v>
      </c>
      <c r="E13" s="25">
        <v>224685.44604756785</v>
      </c>
      <c r="F13" s="25">
        <v>1.3455310000000001E-6</v>
      </c>
      <c r="G13" s="25">
        <v>1.1537924166666669E-6</v>
      </c>
      <c r="I13" s="25">
        <v>310598.9236739974</v>
      </c>
      <c r="J13" s="25">
        <v>1.3255243333333334E-6</v>
      </c>
      <c r="K13" s="25">
        <v>9.6980575383333327E-7</v>
      </c>
      <c r="M13" s="25">
        <v>281877.44499688927</v>
      </c>
      <c r="N13" s="25">
        <v>1.76953575E-6</v>
      </c>
      <c r="O13" s="25">
        <v>1.0729947499999999E-6</v>
      </c>
      <c r="Q13" s="25">
        <v>270912.15581519733</v>
      </c>
      <c r="R13" s="25">
        <v>1.4587930994166667E-6</v>
      </c>
      <c r="S13" s="25">
        <v>6.6088239716666664E-7</v>
      </c>
      <c r="U13" s="25">
        <v>263311.24207694724</v>
      </c>
      <c r="V13" s="25">
        <v>1.5696703333333333E-6</v>
      </c>
      <c r="W13" s="25">
        <v>1.1190108333333333E-6</v>
      </c>
    </row>
    <row r="14" spans="1:47" x14ac:dyDescent="0.25">
      <c r="A14" s="25">
        <v>309200.41135411628</v>
      </c>
      <c r="B14" s="25">
        <v>1.6035696923076923E-6</v>
      </c>
      <c r="C14" s="25">
        <v>1.2521287692307694E-6</v>
      </c>
      <c r="E14" s="25">
        <v>249121.54620878372</v>
      </c>
      <c r="F14" s="25">
        <v>1.3625885384615385E-6</v>
      </c>
      <c r="G14" s="25">
        <v>1.1534533076923077E-6</v>
      </c>
      <c r="I14" s="25">
        <v>341801.59379042691</v>
      </c>
      <c r="J14" s="25">
        <v>1.3488605384615386E-6</v>
      </c>
      <c r="K14" s="25">
        <v>9.6904283976923088E-7</v>
      </c>
      <c r="M14" s="25">
        <v>309631.40537511121</v>
      </c>
      <c r="N14" s="25">
        <v>1.8297696923076923E-6</v>
      </c>
      <c r="O14" s="25">
        <v>1.0707244615384615E-6</v>
      </c>
      <c r="Q14" s="25">
        <v>300351.07080857054</v>
      </c>
      <c r="R14" s="25">
        <v>1.5000299379230771E-6</v>
      </c>
      <c r="S14" s="25">
        <v>6.6134367238461537E-7</v>
      </c>
      <c r="U14" s="25">
        <v>296137.70809339336</v>
      </c>
      <c r="V14" s="25">
        <v>1.6088132307692309E-6</v>
      </c>
      <c r="W14" s="25">
        <v>1.1172322307692307E-6</v>
      </c>
    </row>
    <row r="15" spans="1:47" x14ac:dyDescent="0.25">
      <c r="A15" s="25">
        <v>341861.27010225056</v>
      </c>
      <c r="B15" s="25">
        <v>1.621044142857143E-6</v>
      </c>
      <c r="C15" s="25">
        <v>1.2500257142857144E-6</v>
      </c>
      <c r="E15" s="25">
        <v>281331.8404430286</v>
      </c>
      <c r="F15" s="25">
        <v>1.376331642857143E-6</v>
      </c>
      <c r="G15" s="25">
        <v>1.1532472142857146E-6</v>
      </c>
      <c r="I15" s="25">
        <v>365573.56791720568</v>
      </c>
      <c r="J15" s="25">
        <v>1.371572142857143E-6</v>
      </c>
      <c r="K15" s="25">
        <v>9.6843639385714281E-7</v>
      </c>
      <c r="M15" s="25">
        <v>336408.83751780307</v>
      </c>
      <c r="N15" s="25">
        <v>1.8781585714285716E-6</v>
      </c>
      <c r="O15" s="25">
        <v>1.0687688571428572E-6</v>
      </c>
      <c r="Q15" s="25">
        <v>326845.06460988196</v>
      </c>
      <c r="R15" s="25">
        <v>1.5260096566428573E-6</v>
      </c>
      <c r="S15" s="25">
        <v>6.625149678571428E-7</v>
      </c>
      <c r="U15" s="25">
        <v>326247.22139445727</v>
      </c>
      <c r="V15" s="25">
        <v>1.6507405714285714E-6</v>
      </c>
      <c r="W15" s="25">
        <v>1.1147575000000001E-6</v>
      </c>
    </row>
    <row r="16" spans="1:47" x14ac:dyDescent="0.25">
      <c r="A16" s="25">
        <v>376718.67937587225</v>
      </c>
      <c r="B16" s="25">
        <v>1.6400923333333333E-6</v>
      </c>
      <c r="C16" s="25">
        <v>1.2493498666666665E-6</v>
      </c>
      <c r="E16" s="25">
        <v>310773.66346335644</v>
      </c>
      <c r="F16" s="25">
        <v>1.4011296000000002E-6</v>
      </c>
      <c r="G16" s="25">
        <v>1.1516284000000002E-6</v>
      </c>
      <c r="I16" s="25">
        <v>401122.10090556275</v>
      </c>
      <c r="J16" s="25">
        <v>1.3942069333333335E-6</v>
      </c>
      <c r="K16" s="25">
        <v>9.6805408313333323E-7</v>
      </c>
      <c r="M16" s="25">
        <v>362960.12627963535</v>
      </c>
      <c r="N16" s="25">
        <v>1.9102441333333336E-6</v>
      </c>
      <c r="O16" s="25">
        <v>1.0692450666666667E-6</v>
      </c>
      <c r="Q16" s="25">
        <v>361864.91417002963</v>
      </c>
      <c r="R16" s="25">
        <v>1.5584136128666668E-6</v>
      </c>
      <c r="S16" s="25">
        <v>6.6277276193333322E-7</v>
      </c>
      <c r="U16" s="25">
        <v>357289.41995602549</v>
      </c>
      <c r="V16" s="25">
        <v>1.6809756000000001E-6</v>
      </c>
      <c r="W16" s="25">
        <v>1.1101576666666667E-6</v>
      </c>
    </row>
    <row r="17" spans="1:23" x14ac:dyDescent="0.25">
      <c r="A17" s="25">
        <v>402564.07294212055</v>
      </c>
      <c r="B17" s="25">
        <v>1.65489475E-6</v>
      </c>
      <c r="C17" s="25">
        <v>1.2507945624999999E-6</v>
      </c>
      <c r="E17" s="25">
        <v>331123.45924978703</v>
      </c>
      <c r="F17" s="25">
        <v>1.4262389375000001E-6</v>
      </c>
      <c r="G17" s="25">
        <v>1.1510359375000003E-6</v>
      </c>
      <c r="I17" s="25">
        <v>434033.935316947</v>
      </c>
      <c r="J17" s="25">
        <v>1.4150339375000001E-6</v>
      </c>
      <c r="K17" s="25">
        <v>9.6783556450000007E-7</v>
      </c>
      <c r="M17" s="25">
        <v>390991.62626163947</v>
      </c>
      <c r="N17" s="25">
        <v>1.9400361250000001E-6</v>
      </c>
      <c r="O17" s="25">
        <v>1.0676732500000001E-6</v>
      </c>
      <c r="Q17" s="25">
        <v>376115.86147707008</v>
      </c>
      <c r="R17" s="25">
        <v>1.5998249495625001E-6</v>
      </c>
      <c r="S17" s="25">
        <v>6.622615593749999E-7</v>
      </c>
      <c r="U17" s="25">
        <v>390217.26480513514</v>
      </c>
      <c r="V17" s="25">
        <v>1.7277751875E-6</v>
      </c>
      <c r="W17" s="25">
        <v>1.1073215E-6</v>
      </c>
    </row>
    <row r="18" spans="1:23" x14ac:dyDescent="0.25">
      <c r="A18" s="25">
        <v>428625.01585900079</v>
      </c>
      <c r="B18" s="25">
        <v>1.6825438235294117E-6</v>
      </c>
      <c r="C18" s="25">
        <v>1.2490658235294117E-6</v>
      </c>
      <c r="E18" s="25">
        <v>341931.73432109406</v>
      </c>
      <c r="F18" s="25">
        <v>1.4437994705882354E-6</v>
      </c>
      <c r="G18" s="25">
        <v>1.1499776470588238E-6</v>
      </c>
      <c r="I18" s="25">
        <v>469624.15523932729</v>
      </c>
      <c r="J18" s="25">
        <v>1.4391177647058825E-6</v>
      </c>
      <c r="K18" s="25">
        <v>9.6758654582352933E-7</v>
      </c>
      <c r="M18" s="25">
        <v>420513.61670839996</v>
      </c>
      <c r="N18" s="25">
        <v>1.9908840000000003E-6</v>
      </c>
      <c r="O18" s="25">
        <v>1.0652054705882355E-6</v>
      </c>
      <c r="Q18" s="25">
        <v>383179.55356712046</v>
      </c>
      <c r="R18" s="25">
        <v>1.6232781878235294E-6</v>
      </c>
      <c r="S18" s="25">
        <v>6.6139953705882342E-7</v>
      </c>
      <c r="U18" s="25">
        <v>416748.10531317699</v>
      </c>
      <c r="V18" s="25">
        <v>1.7711418235294118E-6</v>
      </c>
      <c r="W18" s="25">
        <v>1.1053749411764705E-6</v>
      </c>
    </row>
    <row r="19" spans="1:23" x14ac:dyDescent="0.25">
      <c r="A19" s="25">
        <v>453413.19118167349</v>
      </c>
      <c r="B19" s="25">
        <v>1.7171369999999998E-6</v>
      </c>
      <c r="C19" s="25">
        <v>1.2458082777777777E-6</v>
      </c>
      <c r="E19" s="25">
        <v>351973.82732212887</v>
      </c>
      <c r="F19" s="25">
        <v>1.4420384444444444E-6</v>
      </c>
      <c r="G19" s="25">
        <v>1.1493645000000001E-6</v>
      </c>
      <c r="I19" s="25">
        <v>506152.33117723156</v>
      </c>
      <c r="J19" s="25">
        <v>1.4627060000000002E-6</v>
      </c>
      <c r="K19" s="25">
        <v>9.6819209711111116E-7</v>
      </c>
      <c r="M19" s="25">
        <v>453448.31635722332</v>
      </c>
      <c r="N19" s="25">
        <v>2.0322558888888892E-6</v>
      </c>
      <c r="O19" s="25">
        <v>1.0653681111111113E-6</v>
      </c>
      <c r="Q19" s="25">
        <v>409725.03200465668</v>
      </c>
      <c r="R19" s="25">
        <v>1.6480143996111112E-6</v>
      </c>
      <c r="S19" s="25">
        <v>6.6018745311111099E-7</v>
      </c>
      <c r="U19" s="25">
        <v>451855.59506455221</v>
      </c>
      <c r="V19" s="25">
        <v>1.8180178333333333E-6</v>
      </c>
      <c r="W19" s="25">
        <v>1.103440611111111E-6</v>
      </c>
    </row>
    <row r="20" spans="1:23" x14ac:dyDescent="0.25">
      <c r="A20" s="25">
        <v>486320.3920448157</v>
      </c>
      <c r="B20" s="25">
        <v>1.7200291578947368E-6</v>
      </c>
      <c r="C20" s="25">
        <v>1.2442241052631579E-6</v>
      </c>
      <c r="E20" s="25">
        <v>370382.62853053649</v>
      </c>
      <c r="F20" s="25">
        <v>1.4594207894736842E-6</v>
      </c>
      <c r="G20" s="25">
        <v>1.1489427368421055E-6</v>
      </c>
      <c r="I20" s="25">
        <v>536958.97542043985</v>
      </c>
      <c r="J20" s="25">
        <v>1.4857045789473686E-6</v>
      </c>
      <c r="K20" s="25">
        <v>9.6961843763157896E-7</v>
      </c>
      <c r="M20" s="25">
        <v>484429.95953498658</v>
      </c>
      <c r="N20" s="25">
        <v>2.0806134210526316E-6</v>
      </c>
      <c r="O20" s="25">
        <v>1.0638297894736844E-6</v>
      </c>
      <c r="Q20" s="25">
        <v>442047.08662662189</v>
      </c>
      <c r="R20" s="25">
        <v>1.6624645891052633E-6</v>
      </c>
      <c r="S20" s="25">
        <v>6.5914430310526306E-7</v>
      </c>
      <c r="U20" s="25">
        <v>479319.12083309836</v>
      </c>
      <c r="V20" s="25">
        <v>1.8655522631578947E-6</v>
      </c>
      <c r="W20" s="25">
        <v>1.102019947368421E-6</v>
      </c>
    </row>
    <row r="21" spans="1:23" x14ac:dyDescent="0.25">
      <c r="A21" s="25">
        <v>500957.21937820339</v>
      </c>
      <c r="B21" s="25">
        <v>1.7241488499999999E-6</v>
      </c>
      <c r="C21" s="25">
        <v>1.2452628999999998E-6</v>
      </c>
      <c r="E21" s="25">
        <v>387361.22320776928</v>
      </c>
      <c r="F21" s="25">
        <v>1.4696652000000001E-6</v>
      </c>
      <c r="G21" s="25">
        <v>1.1481789000000002E-6</v>
      </c>
      <c r="I21" s="25">
        <v>572632.56921086682</v>
      </c>
      <c r="J21" s="25">
        <v>1.5135505000000002E-6</v>
      </c>
      <c r="K21" s="25">
        <v>9.7023191470000008E-7</v>
      </c>
      <c r="M21" s="25">
        <v>525053.53413303581</v>
      </c>
      <c r="N21" s="25">
        <v>2.1310497500000003E-6</v>
      </c>
      <c r="O21" s="25">
        <v>1.0613502000000001E-6</v>
      </c>
      <c r="Q21" s="25">
        <v>477499.4071310584</v>
      </c>
      <c r="R21" s="25">
        <v>1.70312570965E-6</v>
      </c>
      <c r="S21" s="25">
        <v>6.5823274724999997E-7</v>
      </c>
      <c r="U21" s="25">
        <v>511446.07290416624</v>
      </c>
      <c r="V21" s="25">
        <v>1.90935105E-6</v>
      </c>
      <c r="W21" s="25">
        <v>1.1006463499999999E-6</v>
      </c>
    </row>
    <row r="22" spans="1:23" x14ac:dyDescent="0.25">
      <c r="A22" s="25">
        <v>521064.89451572538</v>
      </c>
      <c r="B22" s="25">
        <v>1.7691139000000004E-6</v>
      </c>
      <c r="C22" s="25">
        <v>1.2441543499999999E-6</v>
      </c>
      <c r="E22" s="25">
        <v>419142.45548266167</v>
      </c>
      <c r="F22" s="25">
        <v>1.4906099500000001E-6</v>
      </c>
      <c r="G22" s="25">
        <v>1.1465760999999999E-6</v>
      </c>
      <c r="I22" s="25">
        <v>609066.94954721862</v>
      </c>
      <c r="J22" s="25">
        <v>1.5606140000000003E-6</v>
      </c>
      <c r="K22" s="25">
        <v>9.7192996689999985E-7</v>
      </c>
      <c r="M22" s="25">
        <v>554051.28310598549</v>
      </c>
      <c r="N22" s="25">
        <v>2.2158487500000001E-6</v>
      </c>
      <c r="O22" s="25">
        <v>1.0555180000000002E-6</v>
      </c>
      <c r="Q22" s="25">
        <v>514187.35890489147</v>
      </c>
      <c r="R22" s="25">
        <v>1.7915599500000001E-6</v>
      </c>
      <c r="S22" s="25">
        <v>6.5763250349999997E-7</v>
      </c>
      <c r="U22" s="25">
        <v>543319.5778935753</v>
      </c>
      <c r="V22" s="25">
        <v>1.974587E-6</v>
      </c>
      <c r="W22" s="25">
        <v>1.0962158499999999E-6</v>
      </c>
    </row>
    <row r="23" spans="1:23" x14ac:dyDescent="0.25">
      <c r="A23" s="25">
        <v>549691.90113060491</v>
      </c>
      <c r="B23" s="25">
        <v>1.80580725E-6</v>
      </c>
      <c r="C23" s="25">
        <v>1.2421890999999998E-6</v>
      </c>
      <c r="E23" s="25">
        <v>441341.30399868265</v>
      </c>
      <c r="F23" s="25">
        <v>1.5045199999999999E-6</v>
      </c>
      <c r="G23" s="25">
        <v>1.1448017999999998E-6</v>
      </c>
      <c r="I23" s="25">
        <v>644865.60413971543</v>
      </c>
      <c r="J23" s="25">
        <v>1.6108586000000003E-6</v>
      </c>
      <c r="K23" s="25">
        <v>9.7273046434999993E-7</v>
      </c>
      <c r="M23" s="25">
        <v>583634.94902025315</v>
      </c>
      <c r="N23" s="25">
        <v>2.2912423500000003E-6</v>
      </c>
      <c r="O23" s="25">
        <v>1.0519109999999999E-6</v>
      </c>
      <c r="Q23" s="25">
        <v>550844.4198969896</v>
      </c>
      <c r="R23" s="25">
        <v>1.82442315E-6</v>
      </c>
      <c r="S23" s="25">
        <v>6.5717328254999998E-7</v>
      </c>
      <c r="U23" s="25">
        <v>577494.38238444622</v>
      </c>
      <c r="V23" s="25">
        <v>2.0495053499999997E-6</v>
      </c>
      <c r="W23" s="25">
        <v>1.09231585E-6</v>
      </c>
    </row>
    <row r="24" spans="1:23" x14ac:dyDescent="0.25">
      <c r="A24" s="25">
        <v>559032.37299132207</v>
      </c>
      <c r="B24" s="25">
        <v>1.8438908500000001E-6</v>
      </c>
      <c r="C24" s="25">
        <v>1.2398754499999999E-6</v>
      </c>
      <c r="E24" s="25">
        <v>470997.65799868671</v>
      </c>
      <c r="F24" s="25">
        <v>1.5483751500000004E-6</v>
      </c>
      <c r="G24" s="25">
        <v>1.1434003499999999E-6</v>
      </c>
      <c r="I24" s="25">
        <v>670909.51617076329</v>
      </c>
      <c r="J24" s="25">
        <v>1.6488692500000001E-6</v>
      </c>
      <c r="K24" s="25">
        <v>9.7308774799999986E-7</v>
      </c>
      <c r="M24" s="25">
        <v>612807.44515113963</v>
      </c>
      <c r="N24" s="25">
        <v>2.3706867000000001E-6</v>
      </c>
      <c r="O24" s="25">
        <v>1.04962765E-6</v>
      </c>
      <c r="Q24" s="25">
        <v>583846.07171712292</v>
      </c>
      <c r="R24" s="25">
        <v>1.89451115E-6</v>
      </c>
      <c r="S24" s="25">
        <v>6.5677802749999997E-7</v>
      </c>
      <c r="U24" s="25">
        <v>611486.70497652271</v>
      </c>
      <c r="V24" s="25">
        <v>2.1191388999999998E-6</v>
      </c>
      <c r="W24" s="25">
        <v>1.0878109000000001E-6</v>
      </c>
    </row>
    <row r="25" spans="1:23" x14ac:dyDescent="0.25">
      <c r="A25" s="25">
        <v>579848.28170949197</v>
      </c>
      <c r="B25" s="25">
        <v>1.8938156E-6</v>
      </c>
      <c r="C25" s="25">
        <v>1.2345664499999996E-6</v>
      </c>
      <c r="E25" s="25">
        <v>498100.07176444994</v>
      </c>
      <c r="F25" s="25">
        <v>1.5770957500000002E-6</v>
      </c>
      <c r="G25" s="25">
        <v>1.1431170499999997E-6</v>
      </c>
      <c r="I25" s="25">
        <v>703175.20310478657</v>
      </c>
      <c r="J25" s="25">
        <v>1.7156295E-6</v>
      </c>
      <c r="K25" s="25">
        <v>9.7195614614999992E-7</v>
      </c>
      <c r="M25" s="25">
        <v>645557.11839744158</v>
      </c>
      <c r="N25" s="25">
        <v>2.4447647000000001E-6</v>
      </c>
      <c r="O25" s="25">
        <v>1.04694025E-6</v>
      </c>
      <c r="Q25" s="25">
        <v>619648.48774788843</v>
      </c>
      <c r="R25" s="25">
        <v>1.94780455E-6</v>
      </c>
      <c r="S25" s="25">
        <v>6.5724561574999994E-7</v>
      </c>
      <c r="U25" s="25">
        <v>644414.54982563236</v>
      </c>
      <c r="V25" s="25">
        <v>2.1969408499999998E-6</v>
      </c>
      <c r="W25" s="25">
        <v>1.0832606000000001E-6</v>
      </c>
    </row>
    <row r="26" spans="1:23" x14ac:dyDescent="0.25">
      <c r="A26" s="25">
        <v>604000.07323506079</v>
      </c>
      <c r="B26" s="25">
        <v>1.9411672500000001E-6</v>
      </c>
      <c r="C26" s="25">
        <v>1.2324163499999999E-6</v>
      </c>
      <c r="E26" s="25">
        <v>529952.81436590117</v>
      </c>
      <c r="F26" s="25">
        <v>1.6091571E-6</v>
      </c>
      <c r="G26" s="25">
        <v>1.1425432499999998E-6</v>
      </c>
      <c r="I26" s="25">
        <v>736347.58085381635</v>
      </c>
      <c r="J26" s="25">
        <v>1.7817527500000002E-6</v>
      </c>
      <c r="K26" s="25">
        <v>9.7056195900000004E-7</v>
      </c>
      <c r="M26" s="25">
        <v>679653.37268431636</v>
      </c>
      <c r="N26" s="25">
        <v>2.5096435000000003E-6</v>
      </c>
      <c r="O26" s="25">
        <v>1.04381055E-6</v>
      </c>
      <c r="Q26" s="25">
        <v>650178.87702922861</v>
      </c>
      <c r="R26" s="25">
        <v>1.9905933999999998E-6</v>
      </c>
      <c r="S26" s="25">
        <v>6.5846625709999999E-7</v>
      </c>
      <c r="U26" s="25">
        <v>676024.46985011629</v>
      </c>
      <c r="V26" s="25">
        <v>2.2617177999999996E-6</v>
      </c>
      <c r="W26" s="25">
        <v>1.0801115000000003E-6</v>
      </c>
    </row>
    <row r="27" spans="1:23" x14ac:dyDescent="0.25">
      <c r="A27" s="25">
        <v>630451.05783403688</v>
      </c>
      <c r="B27" s="25">
        <v>1.9848236500000001E-6</v>
      </c>
      <c r="C27" s="25">
        <v>1.2316803999999998E-6</v>
      </c>
      <c r="E27" s="25">
        <v>546951.84056500776</v>
      </c>
      <c r="F27" s="25">
        <v>1.6206584500000003E-6</v>
      </c>
      <c r="G27" s="25">
        <v>1.1403560499999999E-6</v>
      </c>
      <c r="I27" s="25">
        <v>767623.20310478657</v>
      </c>
      <c r="J27" s="25">
        <v>1.8605665500000002E-6</v>
      </c>
      <c r="K27" s="25">
        <v>9.6996980120000022E-7</v>
      </c>
      <c r="M27" s="25">
        <v>708753.91410311125</v>
      </c>
      <c r="N27" s="25">
        <v>2.5774417500000001E-6</v>
      </c>
      <c r="O27" s="25">
        <v>1.0416358500000001E-6</v>
      </c>
      <c r="Q27" s="25">
        <v>677022.96635686909</v>
      </c>
      <c r="R27" s="25">
        <v>2.05362035E-6</v>
      </c>
      <c r="S27" s="25">
        <v>6.593737167999999E-7</v>
      </c>
      <c r="U27" s="25">
        <v>709773.48324380047</v>
      </c>
      <c r="V27" s="25">
        <v>2.3430686999999996E-6</v>
      </c>
      <c r="W27" s="25">
        <v>1.0757522E-6</v>
      </c>
    </row>
    <row r="28" spans="1:23" x14ac:dyDescent="0.25">
      <c r="A28" s="25">
        <v>666355.42109644227</v>
      </c>
      <c r="B28" s="25">
        <v>2.0169579500000001E-6</v>
      </c>
      <c r="C28" s="25">
        <v>1.2317364499999999E-6</v>
      </c>
      <c r="E28" s="25">
        <v>567230.12602487975</v>
      </c>
      <c r="F28" s="25">
        <v>1.6351768500000001E-6</v>
      </c>
      <c r="G28" s="25">
        <v>1.1383091999999999E-6</v>
      </c>
      <c r="I28" s="25">
        <v>801816.91073738679</v>
      </c>
      <c r="J28" s="25">
        <v>1.9392357500000003E-6</v>
      </c>
      <c r="K28" s="25">
        <v>9.6900382400000006E-7</v>
      </c>
      <c r="M28" s="25">
        <v>744834.06259479979</v>
      </c>
      <c r="N28" s="25">
        <v>2.6839746500000002E-6</v>
      </c>
      <c r="O28" s="25">
        <v>1.0413421999999999E-6</v>
      </c>
      <c r="Q28" s="25">
        <v>711641.23575446289</v>
      </c>
      <c r="R28" s="25">
        <v>2.1337646500000005E-6</v>
      </c>
      <c r="S28" s="25">
        <v>6.5958475365000002E-7</v>
      </c>
      <c r="U28" s="25">
        <v>742437.74312798493</v>
      </c>
      <c r="V28" s="25">
        <v>2.4185224500000001E-6</v>
      </c>
      <c r="W28" s="25">
        <v>1.0720707499999999E-6</v>
      </c>
    </row>
    <row r="29" spans="1:23" x14ac:dyDescent="0.25">
      <c r="A29" s="25">
        <v>700401.95424149616</v>
      </c>
      <c r="B29" s="25">
        <v>2.0517796000000001E-6</v>
      </c>
      <c r="C29" s="25">
        <v>1.22986035E-6</v>
      </c>
      <c r="E29" s="25">
        <v>572184.77007930679</v>
      </c>
      <c r="F29" s="25">
        <v>1.6555008500000004E-6</v>
      </c>
      <c r="G29" s="25">
        <v>1.1365376499999998E-6</v>
      </c>
      <c r="I29" s="25">
        <v>834322.29754204396</v>
      </c>
      <c r="J29" s="25">
        <v>2.0028663500000005E-6</v>
      </c>
      <c r="K29" s="25">
        <v>9.6772189975000002E-7</v>
      </c>
      <c r="M29" s="25">
        <v>778735.01123456855</v>
      </c>
      <c r="N29" s="25">
        <v>2.7853649999999997E-6</v>
      </c>
      <c r="O29" s="25">
        <v>1.0365953114999999E-6</v>
      </c>
      <c r="Q29" s="25">
        <v>742078.95269059832</v>
      </c>
      <c r="R29" s="25">
        <v>2.2063899500000003E-6</v>
      </c>
      <c r="S29" s="25">
        <v>6.5946158815E-7</v>
      </c>
      <c r="U29" s="25">
        <v>775902.89579021116</v>
      </c>
      <c r="V29" s="25">
        <v>2.4862922500000003E-6</v>
      </c>
      <c r="W29" s="25">
        <v>1.0671025000000001E-6</v>
      </c>
    </row>
    <row r="30" spans="1:23" x14ac:dyDescent="0.25">
      <c r="A30" s="25">
        <v>732251.93686106277</v>
      </c>
      <c r="B30" s="25">
        <v>2.0988793500000002E-6</v>
      </c>
      <c r="C30" s="25">
        <v>1.22767305E-6</v>
      </c>
      <c r="E30" s="25">
        <v>577006.60924155347</v>
      </c>
      <c r="F30" s="25">
        <v>1.6849698000000003E-6</v>
      </c>
      <c r="G30" s="25">
        <v>1.1354369999999999E-6</v>
      </c>
      <c r="I30" s="25">
        <v>863972.12936610612</v>
      </c>
      <c r="J30" s="25">
        <v>2.0510271000000004E-6</v>
      </c>
      <c r="K30" s="25">
        <v>9.6602448704999987E-7</v>
      </c>
      <c r="M30" s="25">
        <v>816829.89166482422</v>
      </c>
      <c r="N30" s="25">
        <v>2.8965834499999998E-6</v>
      </c>
      <c r="O30" s="25">
        <v>1.0319272958499997E-6</v>
      </c>
      <c r="Q30" s="25">
        <v>771157.47523039754</v>
      </c>
      <c r="R30" s="25">
        <v>2.2639825000000003E-6</v>
      </c>
      <c r="S30" s="25">
        <v>6.5948175335000003E-7</v>
      </c>
      <c r="U30" s="25">
        <v>801217.19030629087</v>
      </c>
      <c r="V30" s="25">
        <v>2.5521358999999999E-6</v>
      </c>
      <c r="W30" s="25">
        <v>1.0634299499999999E-6</v>
      </c>
    </row>
    <row r="31" spans="1:23" x14ac:dyDescent="0.25">
      <c r="A31" s="25">
        <v>768669.51286306791</v>
      </c>
      <c r="B31" s="25">
        <v>2.1295974000000002E-6</v>
      </c>
      <c r="C31" s="25">
        <v>1.2219292500000001E-6</v>
      </c>
      <c r="E31" s="25">
        <v>600768.46918092982</v>
      </c>
      <c r="F31" s="25">
        <v>1.7158792000000003E-6</v>
      </c>
      <c r="G31" s="25">
        <v>1.1342625999999999E-6</v>
      </c>
      <c r="I31" s="25">
        <v>897863.60672703758</v>
      </c>
      <c r="J31" s="25">
        <v>2.0978211499999999E-6</v>
      </c>
      <c r="K31" s="25">
        <v>9.6583324304999985E-7</v>
      </c>
      <c r="M31" s="25">
        <v>853629.58727742964</v>
      </c>
      <c r="N31" s="25">
        <v>2.9858242E-6</v>
      </c>
      <c r="O31" s="25">
        <v>1.0281757442999999E-6</v>
      </c>
      <c r="Q31" s="25">
        <v>807649.7853865762</v>
      </c>
      <c r="R31" s="25">
        <v>2.3136115500000004E-6</v>
      </c>
      <c r="S31" s="25">
        <v>6.5864121255000002E-7</v>
      </c>
      <c r="U31" s="25">
        <v>833090.69529569999</v>
      </c>
      <c r="V31" s="25">
        <v>2.6146336500000002E-6</v>
      </c>
      <c r="W31" s="25">
        <v>1.06208455E-6</v>
      </c>
    </row>
    <row r="32" spans="1:23" x14ac:dyDescent="0.25">
      <c r="A32" s="25">
        <v>798240.83091881115</v>
      </c>
      <c r="B32" s="25">
        <v>2.1737406000000004E-6</v>
      </c>
      <c r="C32" s="25">
        <v>1.2185110999999999E-6</v>
      </c>
      <c r="E32" s="25">
        <v>627666.56772795378</v>
      </c>
      <c r="F32" s="25">
        <v>1.7269661000000002E-6</v>
      </c>
      <c r="G32" s="25">
        <v>1.1328609499999998E-6</v>
      </c>
      <c r="I32" s="25">
        <v>930504.47606727039</v>
      </c>
      <c r="J32" s="25">
        <v>2.1474904000000001E-6</v>
      </c>
      <c r="K32" s="25">
        <v>9.6540568959999991E-7</v>
      </c>
      <c r="M32" s="25">
        <v>887181.04160132457</v>
      </c>
      <c r="N32" s="25">
        <v>3.0554666499999997E-6</v>
      </c>
      <c r="O32" s="25">
        <v>1.0255796494999999E-6</v>
      </c>
      <c r="Q32" s="25">
        <v>843194.77823621745</v>
      </c>
      <c r="R32" s="25">
        <v>2.3576512500000003E-6</v>
      </c>
      <c r="S32" s="25">
        <v>6.5770994684999994E-7</v>
      </c>
      <c r="U32" s="25">
        <v>860098.01631726034</v>
      </c>
      <c r="V32" s="25">
        <v>2.6948364499999999E-6</v>
      </c>
      <c r="W32" s="25">
        <v>1.0608507499999999E-6</v>
      </c>
    </row>
    <row r="33" spans="1:23" x14ac:dyDescent="0.25">
      <c r="A33" s="25">
        <v>822351.56542521203</v>
      </c>
      <c r="B33" s="25">
        <v>2.2213677000000002E-6</v>
      </c>
      <c r="C33" s="25">
        <v>1.2172599500000002E-6</v>
      </c>
      <c r="E33" s="25">
        <v>645309.18686608912</v>
      </c>
      <c r="F33" s="25">
        <v>1.7510262499999998E-6</v>
      </c>
      <c r="G33" s="25">
        <v>1.1305779499999997E-6</v>
      </c>
      <c r="I33" s="25">
        <v>955641.69728331175</v>
      </c>
      <c r="J33" s="25">
        <v>2.1869872999999997E-6</v>
      </c>
      <c r="K33" s="25">
        <v>9.6605358525000011E-7</v>
      </c>
      <c r="M33" s="25">
        <v>913619.25867272704</v>
      </c>
      <c r="N33" s="25">
        <v>3.1296132500000001E-6</v>
      </c>
      <c r="O33" s="25">
        <v>1.02301317685E-6</v>
      </c>
      <c r="Q33" s="25">
        <v>856549.89287294529</v>
      </c>
      <c r="R33" s="25">
        <v>2.40986795E-6</v>
      </c>
      <c r="S33" s="25">
        <v>6.5593444264999989E-7</v>
      </c>
      <c r="U33" s="25">
        <v>891839.72882420686</v>
      </c>
      <c r="V33" s="25">
        <v>2.7706780500000002E-6</v>
      </c>
      <c r="W33" s="25">
        <v>1.0571124500000001E-6</v>
      </c>
    </row>
    <row r="34" spans="1:23" x14ac:dyDescent="0.25">
      <c r="A34" s="25">
        <v>854437.62590499443</v>
      </c>
      <c r="B34" s="25">
        <v>2.2766306E-6</v>
      </c>
      <c r="C34" s="25">
        <v>1.2173147000000001E-6</v>
      </c>
      <c r="E34" s="25">
        <v>667119.83646650554</v>
      </c>
      <c r="F34" s="25">
        <v>1.7903593999999995E-6</v>
      </c>
      <c r="G34" s="25">
        <v>1.1282979999999998E-6</v>
      </c>
      <c r="I34" s="25">
        <v>990022.9961190169</v>
      </c>
      <c r="J34" s="25">
        <v>2.2308412000000003E-6</v>
      </c>
      <c r="K34" s="25">
        <v>9.6624414709999977E-7</v>
      </c>
      <c r="M34" s="25">
        <v>947335.18090997438</v>
      </c>
      <c r="N34" s="25">
        <v>3.1905938999999995E-6</v>
      </c>
      <c r="O34" s="25">
        <v>1.0201596887E-6</v>
      </c>
      <c r="Q34" s="25">
        <v>869081.25333007553</v>
      </c>
      <c r="R34" s="25">
        <v>2.4533756500000005E-6</v>
      </c>
      <c r="S34" s="25">
        <v>6.5468397269999993E-7</v>
      </c>
      <c r="U34" s="25">
        <v>912662.94105329283</v>
      </c>
      <c r="V34" s="25">
        <v>2.8240974500000005E-6</v>
      </c>
      <c r="W34" s="25">
        <v>1.0534123500000001E-6</v>
      </c>
    </row>
    <row r="35" spans="1:23" x14ac:dyDescent="0.25">
      <c r="A35" s="25">
        <v>888350.72373775241</v>
      </c>
      <c r="B35" s="25">
        <v>2.33566295E-6</v>
      </c>
      <c r="C35" s="25">
        <v>1.214862E-6</v>
      </c>
      <c r="E35" s="25">
        <v>693977.07196978165</v>
      </c>
      <c r="F35" s="25">
        <v>1.8298641000000001E-6</v>
      </c>
      <c r="G35" s="25">
        <v>1.1263077499999999E-6</v>
      </c>
      <c r="I35" s="25">
        <v>1025894.6028460544</v>
      </c>
      <c r="J35" s="25">
        <v>2.2716288000000003E-6</v>
      </c>
      <c r="K35" s="25">
        <v>9.6560179090000009E-7</v>
      </c>
      <c r="M35" s="25">
        <v>976877.72984590393</v>
      </c>
      <c r="N35" s="25">
        <v>3.26338875E-6</v>
      </c>
      <c r="O35" s="25">
        <v>1.0174325548000001E-6</v>
      </c>
      <c r="Q35" s="25">
        <v>883115.96516497154</v>
      </c>
      <c r="R35" s="25">
        <v>2.5233051500000003E-6</v>
      </c>
      <c r="S35" s="25">
        <v>6.5323982304999992E-7</v>
      </c>
      <c r="U35" s="25">
        <v>942904.24683681922</v>
      </c>
      <c r="V35" s="25">
        <v>2.8732698000000002E-6</v>
      </c>
      <c r="W35" s="25">
        <v>1.0502242499999998E-6</v>
      </c>
    </row>
    <row r="36" spans="1:23" x14ac:dyDescent="0.25">
      <c r="A36" s="25">
        <v>915920.51210905623</v>
      </c>
      <c r="B36" s="25">
        <v>2.3731490000000001E-6</v>
      </c>
      <c r="C36" s="25">
        <v>1.2118390999999999E-6</v>
      </c>
      <c r="E36" s="25">
        <v>717197.49657949898</v>
      </c>
      <c r="F36" s="25">
        <v>1.8580644500000001E-6</v>
      </c>
      <c r="G36" s="25">
        <v>1.1253472000000004E-6</v>
      </c>
      <c r="I36" s="25">
        <v>1057931.0116429497</v>
      </c>
      <c r="J36" s="25">
        <v>2.3078941000000002E-6</v>
      </c>
      <c r="K36" s="25">
        <v>9.6417732324999989E-7</v>
      </c>
      <c r="M36" s="25">
        <v>1006523.0712276787</v>
      </c>
      <c r="N36" s="25">
        <v>3.352465499999999E-6</v>
      </c>
      <c r="O36" s="25">
        <v>1.0140341048E-6</v>
      </c>
      <c r="Q36" s="25">
        <v>910011.53912883683</v>
      </c>
      <c r="R36" s="25">
        <v>2.5863622E-6</v>
      </c>
      <c r="S36" s="25">
        <v>6.5266573294999998E-7</v>
      </c>
      <c r="U36" s="25">
        <v>975071.7504409526</v>
      </c>
      <c r="V36" s="25">
        <v>2.9292555500000004E-6</v>
      </c>
      <c r="W36" s="25">
        <v>1.0492343E-6</v>
      </c>
    </row>
    <row r="37" spans="1:23" x14ac:dyDescent="0.25">
      <c r="A37" s="25">
        <v>941591.41334384063</v>
      </c>
      <c r="B37" s="25">
        <v>2.4075154500000002E-6</v>
      </c>
      <c r="C37" s="25">
        <v>1.2071944499999998E-6</v>
      </c>
      <c r="E37" s="25">
        <v>730958.12656158837</v>
      </c>
      <c r="F37" s="25">
        <v>1.871777E-6</v>
      </c>
      <c r="G37" s="25">
        <v>1.1240085500000001E-6</v>
      </c>
      <c r="I37" s="25">
        <v>1090967.9068564037</v>
      </c>
      <c r="J37" s="25">
        <v>2.3532946500000003E-6</v>
      </c>
      <c r="K37" s="25">
        <v>9.6232569435000006E-7</v>
      </c>
      <c r="M37" s="25">
        <v>1040968.8198304275</v>
      </c>
      <c r="N37" s="25">
        <v>3.448247349999999E-6</v>
      </c>
      <c r="O37" s="25">
        <v>1.0129843547999998E-6</v>
      </c>
      <c r="Q37" s="25">
        <v>941437.76108048949</v>
      </c>
      <c r="R37" s="25">
        <v>2.6259167500000001E-6</v>
      </c>
      <c r="S37" s="25">
        <v>6.5193810305000004E-7</v>
      </c>
      <c r="U37" s="25">
        <v>1008009.7331733286</v>
      </c>
      <c r="V37" s="25">
        <v>2.9746029500000002E-6</v>
      </c>
      <c r="W37" s="25">
        <v>1.0474352499999999E-6</v>
      </c>
    </row>
    <row r="38" spans="1:23" x14ac:dyDescent="0.25">
      <c r="A38" s="25">
        <v>968042.39794281672</v>
      </c>
      <c r="B38" s="25">
        <v>2.4377722999999997E-6</v>
      </c>
      <c r="C38" s="25">
        <v>1.2068614999999999E-6</v>
      </c>
      <c r="E38" s="25">
        <v>761881.23491777584</v>
      </c>
      <c r="F38" s="25">
        <v>1.8904032500000003E-6</v>
      </c>
      <c r="G38" s="25">
        <v>1.1238545000000005E-6</v>
      </c>
      <c r="I38" s="25">
        <v>1107111.1720569211</v>
      </c>
      <c r="J38" s="25">
        <v>2.3963189000000006E-6</v>
      </c>
      <c r="K38" s="25">
        <v>9.6121372625000011E-7</v>
      </c>
      <c r="M38" s="25">
        <v>1073862.4025009128</v>
      </c>
      <c r="N38" s="25">
        <v>3.5355190499999993E-6</v>
      </c>
      <c r="O38" s="25">
        <v>1.0119076547999998E-6</v>
      </c>
      <c r="Q38" s="25">
        <v>972040.22885254445</v>
      </c>
      <c r="R38" s="25">
        <v>2.6768656000000003E-6</v>
      </c>
      <c r="S38" s="25">
        <v>6.5172928309999994E-7</v>
      </c>
      <c r="U38" s="25">
        <v>1041789.1602168117</v>
      </c>
      <c r="V38" s="25">
        <v>3.0357447000000004E-6</v>
      </c>
      <c r="W38" s="25">
        <v>1.04633045E-6</v>
      </c>
    </row>
    <row r="39" spans="1:23" x14ac:dyDescent="0.25">
      <c r="A39" s="25">
        <v>989936.0534141463</v>
      </c>
      <c r="B39" s="25">
        <v>2.4642621E-6</v>
      </c>
      <c r="C39" s="25">
        <v>1.2089163000000002E-6</v>
      </c>
      <c r="E39" s="25">
        <v>795817.9927503675</v>
      </c>
      <c r="F39" s="25">
        <v>1.9449032999999999E-6</v>
      </c>
      <c r="G39" s="25">
        <v>1.1227312500000003E-6</v>
      </c>
      <c r="I39" s="25">
        <v>1133853.3402328591</v>
      </c>
      <c r="J39" s="25">
        <v>2.4454332500000005E-6</v>
      </c>
      <c r="K39" s="25">
        <v>9.5969187160000018E-7</v>
      </c>
      <c r="M39" s="25">
        <v>1106653.1927255527</v>
      </c>
      <c r="N39" s="25">
        <v>3.6318495999999996E-6</v>
      </c>
      <c r="O39" s="25">
        <v>1.0086881547999999E-6</v>
      </c>
      <c r="Q39" s="25">
        <v>1001674.7854635721</v>
      </c>
      <c r="R39" s="25">
        <v>2.7292643999999999E-6</v>
      </c>
      <c r="S39" s="25">
        <v>6.521491627E-7</v>
      </c>
      <c r="U39" s="25">
        <v>1075305.0022953697</v>
      </c>
      <c r="V39" s="25">
        <v>3.0897382500000003E-6</v>
      </c>
      <c r="W39" s="25">
        <v>1.04425935E-6</v>
      </c>
    </row>
    <row r="40" spans="1:23" x14ac:dyDescent="0.25">
      <c r="A40" s="25">
        <v>1022750.8759841606</v>
      </c>
      <c r="B40" s="25">
        <v>2.5191352500000003E-6</v>
      </c>
      <c r="C40" s="25">
        <v>1.2077564500000001E-6</v>
      </c>
      <c r="E40" s="25">
        <v>832053.29679377587</v>
      </c>
      <c r="F40" s="25">
        <v>1.9789539500000001E-6</v>
      </c>
      <c r="G40" s="25">
        <v>1.1206503500000002E-6</v>
      </c>
      <c r="I40" s="25">
        <v>1167056.9831824063</v>
      </c>
      <c r="J40" s="25">
        <v>2.4885210500000003E-6</v>
      </c>
      <c r="K40" s="25">
        <v>9.5797257415000023E-7</v>
      </c>
      <c r="M40" s="25">
        <v>1134427.7115929436</v>
      </c>
      <c r="N40" s="25">
        <v>3.7095983999999993E-6</v>
      </c>
      <c r="O40" s="25">
        <v>1.0066000014499999E-6</v>
      </c>
      <c r="Q40" s="25">
        <v>1035901.771625857</v>
      </c>
      <c r="R40" s="25">
        <v>2.8003242500000002E-6</v>
      </c>
      <c r="S40" s="25">
        <v>6.5258200824999994E-7</v>
      </c>
      <c r="U40" s="25">
        <v>1103579.5587252241</v>
      </c>
      <c r="V40" s="25">
        <v>3.1421055E-6</v>
      </c>
      <c r="W40" s="25">
        <v>1.04163605E-6</v>
      </c>
    </row>
    <row r="41" spans="1:23" x14ac:dyDescent="0.25">
      <c r="A41" s="25">
        <v>1041082.8350426671</v>
      </c>
      <c r="B41" s="25">
        <v>2.5664670500000004E-6</v>
      </c>
      <c r="C41" s="25">
        <v>1.2034012999999998E-6</v>
      </c>
      <c r="E41" s="25">
        <v>866081.99647480017</v>
      </c>
      <c r="F41" s="25">
        <v>2.0251859500000002E-6</v>
      </c>
      <c r="G41" s="25">
        <v>1.1188092000000001E-6</v>
      </c>
      <c r="I41" s="25">
        <v>1200135.5653298837</v>
      </c>
      <c r="J41" s="25">
        <v>2.5226800500000003E-6</v>
      </c>
      <c r="K41" s="25">
        <v>9.5756050485000014E-7</v>
      </c>
      <c r="M41" s="25">
        <v>1169757.4752299616</v>
      </c>
      <c r="N41" s="25">
        <v>3.7891805999999992E-6</v>
      </c>
      <c r="O41" s="25">
        <v>1.0051449418500001E-6</v>
      </c>
      <c r="Q41" s="25">
        <v>1068357.6863020069</v>
      </c>
      <c r="R41" s="25">
        <v>2.84071835E-6</v>
      </c>
      <c r="S41" s="25">
        <v>6.5335630939999985E-7</v>
      </c>
      <c r="U41" s="25">
        <v>1137044.7113874503</v>
      </c>
      <c r="V41" s="25">
        <v>3.1941773500000005E-6</v>
      </c>
      <c r="W41" s="25">
        <v>1.03831375E-6</v>
      </c>
    </row>
    <row r="42" spans="1:23" x14ac:dyDescent="0.25">
      <c r="A42" s="25">
        <v>1056161.0253321107</v>
      </c>
      <c r="B42" s="25">
        <v>2.6032223000000003E-6</v>
      </c>
      <c r="C42" s="25">
        <v>1.1988887E-6</v>
      </c>
      <c r="E42" s="25">
        <v>894604.40101080132</v>
      </c>
      <c r="F42" s="25">
        <v>2.0622277E-6</v>
      </c>
      <c r="G42" s="25">
        <v>1.1180716E-6</v>
      </c>
      <c r="I42" s="25">
        <v>1230775.4618369988</v>
      </c>
      <c r="J42" s="25">
        <v>2.5620637E-6</v>
      </c>
      <c r="K42" s="25">
        <v>9.5663537820000003E-7</v>
      </c>
      <c r="M42" s="25">
        <v>1194150.1226290434</v>
      </c>
      <c r="N42" s="25">
        <v>3.8600953499999991E-6</v>
      </c>
      <c r="O42" s="25">
        <v>1.0034036965499999E-6</v>
      </c>
      <c r="Q42" s="25">
        <v>1101400.5258311201</v>
      </c>
      <c r="R42" s="25">
        <v>2.8842817000000002E-6</v>
      </c>
      <c r="S42" s="25">
        <v>6.5239415780000004E-7</v>
      </c>
      <c r="U42" s="25">
        <v>1169668.4197385693</v>
      </c>
      <c r="V42" s="25">
        <v>3.2499723500000005E-6</v>
      </c>
      <c r="W42" s="25">
        <v>1.0351010000000001E-6</v>
      </c>
    </row>
    <row r="43" spans="1:23" x14ac:dyDescent="0.25">
      <c r="A43" s="25">
        <v>1073097.0457389057</v>
      </c>
      <c r="B43" s="25">
        <v>2.6533801000000001E-6</v>
      </c>
      <c r="C43" s="25">
        <v>1.1962288999999997E-6</v>
      </c>
      <c r="E43" s="25">
        <v>912267.45167081058</v>
      </c>
      <c r="F43" s="25">
        <v>2.1135203000000001E-6</v>
      </c>
      <c r="G43" s="25">
        <v>1.11848175E-6</v>
      </c>
      <c r="I43" s="25">
        <v>1258611.912031048</v>
      </c>
      <c r="J43" s="25">
        <v>2.5941929000000002E-6</v>
      </c>
      <c r="K43" s="25">
        <v>9.5694212805000018E-7</v>
      </c>
      <c r="M43" s="25">
        <v>1226324.1581786117</v>
      </c>
      <c r="N43" s="25">
        <v>3.9583410499999995E-6</v>
      </c>
      <c r="O43" s="25">
        <v>1.0016465284E-6</v>
      </c>
      <c r="Q43" s="25">
        <v>1130911.5193152081</v>
      </c>
      <c r="R43" s="25">
        <v>2.94809965E-6</v>
      </c>
      <c r="S43" s="25">
        <v>6.5126112919999998E-7</v>
      </c>
      <c r="U43" s="25">
        <v>1204684.6685405474</v>
      </c>
      <c r="V43" s="25">
        <v>3.3043508500000003E-6</v>
      </c>
      <c r="W43" s="25">
        <v>1.0321764500000002E-6</v>
      </c>
    </row>
    <row r="44" spans="1:23" x14ac:dyDescent="0.25">
      <c r="A44" s="25">
        <v>1102904.4416548647</v>
      </c>
      <c r="B44" s="25">
        <v>2.6948995000000005E-6</v>
      </c>
      <c r="C44" s="25">
        <v>1.1937830999999998E-6</v>
      </c>
      <c r="E44" s="25">
        <v>940115.61598497222</v>
      </c>
      <c r="F44" s="25">
        <v>2.1561043499999999E-6</v>
      </c>
      <c r="G44" s="25">
        <v>1.1174598499999999E-6</v>
      </c>
      <c r="I44" s="25">
        <v>1292023.9896507117</v>
      </c>
      <c r="J44" s="25">
        <v>2.6219485E-6</v>
      </c>
      <c r="K44" s="25">
        <v>9.5627449069999995E-7</v>
      </c>
      <c r="M44" s="25">
        <v>1254396.7751389539</v>
      </c>
      <c r="N44" s="25">
        <v>4.0659232499999997E-6</v>
      </c>
      <c r="O44" s="25">
        <v>9.9765521234999989E-7</v>
      </c>
      <c r="Q44" s="25">
        <v>1140333.2077443569</v>
      </c>
      <c r="R44" s="25">
        <v>2.9893872499999998E-6</v>
      </c>
      <c r="S44" s="25">
        <v>6.5015501595000009E-7</v>
      </c>
      <c r="U44" s="25">
        <v>1238717.5426656893</v>
      </c>
      <c r="V44" s="25">
        <v>3.3696053000000001E-6</v>
      </c>
      <c r="W44" s="25">
        <v>1.0306433000000003E-6</v>
      </c>
    </row>
    <row r="45" spans="1:23" x14ac:dyDescent="0.25">
      <c r="A45" s="25">
        <v>1132003.6039901762</v>
      </c>
      <c r="B45" s="25">
        <v>2.7333966500000007E-6</v>
      </c>
      <c r="C45" s="25">
        <v>1.1922638499999999E-6</v>
      </c>
      <c r="E45" s="25">
        <v>971028.50858022273</v>
      </c>
      <c r="F45" s="25">
        <v>2.1821908999999996E-6</v>
      </c>
      <c r="G45" s="25">
        <v>1.11581245E-6</v>
      </c>
      <c r="I45" s="25">
        <v>1326895.1099611903</v>
      </c>
      <c r="J45" s="25">
        <v>2.6492322999999998E-6</v>
      </c>
      <c r="K45" s="25">
        <v>9.5638448554999989E-7</v>
      </c>
      <c r="M45" s="25">
        <v>1283857.0901182073</v>
      </c>
      <c r="N45" s="25">
        <v>4.1527500999999993E-6</v>
      </c>
      <c r="O45" s="25">
        <v>9.9628246234999995E-7</v>
      </c>
      <c r="Q45" s="25">
        <v>1152205.5648578089</v>
      </c>
      <c r="R45" s="25">
        <v>3.0428492000000001E-6</v>
      </c>
      <c r="S45" s="25">
        <v>6.4931041655000015E-7</v>
      </c>
      <c r="U45" s="25">
        <v>1272304.3499271118</v>
      </c>
      <c r="V45" s="25">
        <v>3.4428371000000006E-6</v>
      </c>
      <c r="W45" s="25">
        <v>1.0292487500000001E-6</v>
      </c>
    </row>
    <row r="46" spans="1:23" x14ac:dyDescent="0.25">
      <c r="A46" s="25">
        <v>1147235.7581014996</v>
      </c>
      <c r="B46" s="25">
        <v>2.7632191000000003E-6</v>
      </c>
      <c r="C46" s="25">
        <v>1.1908017999999999E-6</v>
      </c>
      <c r="E46" s="25">
        <v>1001011.7669302096</v>
      </c>
      <c r="F46" s="25">
        <v>2.2146065499999998E-6</v>
      </c>
      <c r="G46" s="25">
        <v>1.114205E-6</v>
      </c>
      <c r="I46" s="25">
        <v>1362297.7386804658</v>
      </c>
      <c r="J46" s="25">
        <v>2.6451713999999993E-6</v>
      </c>
      <c r="K46" s="25">
        <v>9.5584683205000001E-7</v>
      </c>
      <c r="M46" s="25">
        <v>1301866.3266302978</v>
      </c>
      <c r="N46" s="25">
        <v>4.2381458999999993E-6</v>
      </c>
      <c r="O46" s="25">
        <v>9.9491805749999991E-7</v>
      </c>
      <c r="Q46" s="25">
        <v>1167455.3141076115</v>
      </c>
      <c r="R46" s="25">
        <v>3.1100092999999997E-6</v>
      </c>
      <c r="S46" s="25">
        <v>6.4757203965000001E-7</v>
      </c>
      <c r="U46" s="25">
        <v>1304532.6808308433</v>
      </c>
      <c r="V46" s="25">
        <v>3.5118244E-6</v>
      </c>
      <c r="W46" s="25">
        <v>1.0273124500000002E-6</v>
      </c>
    </row>
    <row r="47" spans="1:23" x14ac:dyDescent="0.25">
      <c r="A47" s="25">
        <v>1172814.2810431561</v>
      </c>
      <c r="B47" s="25">
        <v>2.7812359000000008E-6</v>
      </c>
      <c r="C47" s="25">
        <v>1.1873608499999997E-6</v>
      </c>
      <c r="E47" s="25">
        <v>1032343.5057238756</v>
      </c>
      <c r="F47" s="25">
        <v>2.2549006999999998E-6</v>
      </c>
      <c r="G47" s="25">
        <v>1.1141494500000001E-6</v>
      </c>
      <c r="I47" s="25">
        <v>1391363.9534282018</v>
      </c>
      <c r="J47" s="25">
        <v>2.6520056499999997E-6</v>
      </c>
      <c r="K47" s="25">
        <v>9.5513569529999997E-7</v>
      </c>
      <c r="M47" s="25">
        <v>1333680.5886194077</v>
      </c>
      <c r="N47" s="25">
        <v>4.3140649000000001E-6</v>
      </c>
      <c r="O47" s="25">
        <v>9.9423560749999978E-7</v>
      </c>
      <c r="Q47" s="25">
        <v>1195473.2531411787</v>
      </c>
      <c r="R47" s="25">
        <v>3.1672057999999998E-6</v>
      </c>
      <c r="S47" s="25">
        <v>6.4706052850000004E-7</v>
      </c>
      <c r="U47" s="25">
        <v>1337267.9058978921</v>
      </c>
      <c r="V47" s="25">
        <v>3.5569241999999999E-6</v>
      </c>
      <c r="W47" s="25">
        <v>1.0246875500000001E-6</v>
      </c>
    </row>
    <row r="48" spans="1:23" x14ac:dyDescent="0.25">
      <c r="A48" s="25">
        <v>1180132.6947098498</v>
      </c>
      <c r="B48" s="25">
        <v>2.8016334E-6</v>
      </c>
      <c r="C48" s="25">
        <v>1.1850957499999999E-6</v>
      </c>
      <c r="E48" s="25">
        <v>1054767.1009805098</v>
      </c>
      <c r="F48" s="25">
        <v>2.3150114500000001E-6</v>
      </c>
      <c r="G48" s="25">
        <v>1.1141035500000002E-6</v>
      </c>
      <c r="I48" s="25">
        <v>1423264.8796895214</v>
      </c>
      <c r="J48" s="25">
        <v>2.6709682499999997E-6</v>
      </c>
      <c r="K48" s="25">
        <v>9.5648242675000009E-7</v>
      </c>
      <c r="M48" s="25">
        <v>1365237.8694939045</v>
      </c>
      <c r="N48" s="25">
        <v>4.3799191999999987E-6</v>
      </c>
      <c r="O48" s="25">
        <v>9.9088013804999979E-7</v>
      </c>
      <c r="Q48" s="25">
        <v>1231244.7783902092</v>
      </c>
      <c r="R48" s="25">
        <v>3.2219016999999998E-6</v>
      </c>
      <c r="S48" s="25">
        <v>6.4677341240000009E-7</v>
      </c>
      <c r="U48" s="25">
        <v>1371118.2981242398</v>
      </c>
      <c r="V48" s="25">
        <v>3.6015838000000005E-6</v>
      </c>
      <c r="W48" s="25">
        <v>1.02393765E-6</v>
      </c>
    </row>
    <row r="49" spans="1:23" x14ac:dyDescent="0.25">
      <c r="A49" s="25">
        <v>1213809.7146823918</v>
      </c>
      <c r="B49" s="25">
        <v>2.8249559000000002E-6</v>
      </c>
      <c r="C49" s="25">
        <v>1.1828540000000001E-6</v>
      </c>
      <c r="E49" s="25">
        <v>1083994.3930211614</v>
      </c>
      <c r="F49" s="25">
        <v>2.3646168000000002E-6</v>
      </c>
      <c r="G49" s="25">
        <v>1.1135061000000003E-6</v>
      </c>
      <c r="I49" s="25">
        <v>1456822.8615782666</v>
      </c>
      <c r="J49" s="25">
        <v>2.69725335E-6</v>
      </c>
      <c r="K49" s="25">
        <v>9.568607282000001E-7</v>
      </c>
      <c r="M49" s="25">
        <v>1395345.776881983</v>
      </c>
      <c r="N49" s="25">
        <v>4.4536737999999992E-6</v>
      </c>
      <c r="O49" s="25">
        <v>9.9135019904999975E-7</v>
      </c>
      <c r="Q49" s="25">
        <v>1262691.5941963519</v>
      </c>
      <c r="R49" s="25">
        <v>3.2828781999999996E-6</v>
      </c>
      <c r="S49" s="25">
        <v>6.4653672210000017E-7</v>
      </c>
      <c r="U49" s="25">
        <v>1404482.0719538026</v>
      </c>
      <c r="V49" s="25">
        <v>3.6666881E-6</v>
      </c>
      <c r="W49" s="25">
        <v>1.0230075006499998E-6</v>
      </c>
    </row>
    <row r="50" spans="1:23" x14ac:dyDescent="0.25">
      <c r="A50" s="25">
        <v>1227235.3599503238</v>
      </c>
      <c r="B50" s="25">
        <v>2.8403753000000001E-6</v>
      </c>
      <c r="C50" s="25">
        <v>1.1800114000000002E-6</v>
      </c>
      <c r="E50" s="25">
        <v>1107184.1703480678</v>
      </c>
      <c r="F50" s="25">
        <v>2.4052337500000001E-6</v>
      </c>
      <c r="G50" s="25">
        <v>1.1126004500000003E-6</v>
      </c>
      <c r="I50" s="25">
        <v>1491756.5122897802</v>
      </c>
      <c r="J50" s="25">
        <v>2.7329689499999997E-6</v>
      </c>
      <c r="K50" s="25">
        <v>9.5676224414999994E-7</v>
      </c>
      <c r="M50" s="25">
        <v>1427026.4086914943</v>
      </c>
      <c r="N50" s="25">
        <v>4.5162428999999994E-6</v>
      </c>
      <c r="O50" s="25">
        <v>9.8977265210000001E-7</v>
      </c>
      <c r="Q50" s="25">
        <v>1289422.4173242976</v>
      </c>
      <c r="R50" s="25">
        <v>3.3412192500000009E-6</v>
      </c>
      <c r="S50" s="25">
        <v>6.4524999174999998E-7</v>
      </c>
      <c r="U50" s="25">
        <v>1442813.4085838776</v>
      </c>
      <c r="V50" s="25">
        <v>3.7315254500000004E-6</v>
      </c>
      <c r="W50" s="25">
        <v>1.0214200463499999E-6</v>
      </c>
    </row>
    <row r="51" spans="1:23" x14ac:dyDescent="0.25">
      <c r="A51" s="25">
        <v>1253101.2820261561</v>
      </c>
      <c r="B51" s="25">
        <v>2.8653912000000004E-6</v>
      </c>
      <c r="C51" s="25">
        <v>1.1778483000000003E-6</v>
      </c>
      <c r="E51" s="25">
        <v>1131885.8802936447</v>
      </c>
      <c r="F51" s="25">
        <v>2.4624283500000001E-6</v>
      </c>
      <c r="G51" s="25">
        <v>1.1112386000000003E-6</v>
      </c>
      <c r="I51" s="25">
        <v>1528138.7839586029</v>
      </c>
      <c r="J51" s="25">
        <v>2.7753392500000002E-6</v>
      </c>
      <c r="K51" s="25">
        <v>9.5416086194999988E-7</v>
      </c>
      <c r="M51" s="25">
        <v>1460207.8102103462</v>
      </c>
      <c r="N51" s="25">
        <v>4.5808788499999998E-6</v>
      </c>
      <c r="O51" s="25">
        <v>9.8804312004999997E-7</v>
      </c>
      <c r="Q51" s="25">
        <v>1310737.0567213884</v>
      </c>
      <c r="R51" s="25">
        <v>3.3979313500000001E-6</v>
      </c>
      <c r="S51" s="25">
        <v>6.4373059275000001E-7</v>
      </c>
      <c r="U51" s="25">
        <v>1477241.6601564072</v>
      </c>
      <c r="V51" s="25">
        <v>3.7796826500000008E-6</v>
      </c>
      <c r="W51" s="25">
        <v>1.01917091865E-6</v>
      </c>
    </row>
    <row r="52" spans="1:23" x14ac:dyDescent="0.25">
      <c r="A52" s="25">
        <v>1264925.7035465366</v>
      </c>
      <c r="B52" s="25">
        <v>2.87742605E-6</v>
      </c>
      <c r="C52" s="25">
        <v>1.1760405500000004E-6</v>
      </c>
      <c r="E52" s="25">
        <v>1153798.6875034308</v>
      </c>
      <c r="F52" s="25">
        <v>2.5149843499999998E-6</v>
      </c>
      <c r="G52" s="25">
        <v>1.1104445500000002E-6</v>
      </c>
      <c r="I52" s="25">
        <v>1552952.9314359638</v>
      </c>
      <c r="J52" s="25">
        <v>2.8230696000000004E-6</v>
      </c>
      <c r="K52" s="25">
        <v>9.5132241989999994E-7</v>
      </c>
      <c r="M52" s="25">
        <v>1489154.1629603731</v>
      </c>
      <c r="N52" s="25">
        <v>4.6567972E-6</v>
      </c>
      <c r="O52" s="25">
        <v>9.8659857530000004E-7</v>
      </c>
      <c r="Q52" s="25">
        <v>1338754.9957549556</v>
      </c>
      <c r="R52" s="25">
        <v>3.4662484000000006E-6</v>
      </c>
      <c r="S52" s="25">
        <v>6.4238184335000002E-7</v>
      </c>
      <c r="U52" s="25">
        <v>1512359.2877910486</v>
      </c>
      <c r="V52" s="25">
        <v>3.8321296000000008E-6</v>
      </c>
      <c r="W52" s="25">
        <v>1.0158866279500001E-6</v>
      </c>
    </row>
    <row r="53" spans="1:23" x14ac:dyDescent="0.25">
      <c r="A53" s="25">
        <v>1292618.6629753446</v>
      </c>
      <c r="B53" s="25">
        <v>2.8962253500000002E-6</v>
      </c>
      <c r="C53" s="25">
        <v>1.1726731000000003E-6</v>
      </c>
      <c r="E53" s="25">
        <v>1185416.4676033317</v>
      </c>
      <c r="F53" s="25">
        <v>2.5380232500000004E-6</v>
      </c>
      <c r="G53" s="25">
        <v>1.1094174500000001E-6</v>
      </c>
      <c r="I53" s="25">
        <v>1586271.2134540752</v>
      </c>
      <c r="J53" s="25">
        <v>2.8758531999999999E-6</v>
      </c>
      <c r="K53" s="25">
        <v>9.487828236E-7</v>
      </c>
      <c r="M53" s="25">
        <v>1520228.3193393971</v>
      </c>
      <c r="N53" s="25">
        <v>4.7351874E-6</v>
      </c>
      <c r="O53" s="25">
        <v>9.8533180265000003E-7</v>
      </c>
      <c r="Q53" s="25">
        <v>1369408.9481632356</v>
      </c>
      <c r="R53" s="25">
        <v>3.5381114499999995E-6</v>
      </c>
      <c r="S53" s="25">
        <v>6.4258535700000014E-7</v>
      </c>
      <c r="U53" s="25">
        <v>1542610.7314578416</v>
      </c>
      <c r="V53" s="25">
        <v>3.8880935500000006E-6</v>
      </c>
      <c r="W53" s="25">
        <v>1.01481212795E-6</v>
      </c>
    </row>
    <row r="54" spans="1:23" x14ac:dyDescent="0.25">
      <c r="A54" s="25">
        <v>1321153.2912970961</v>
      </c>
      <c r="B54" s="25">
        <v>2.9014139499999999E-6</v>
      </c>
      <c r="C54" s="25">
        <v>1.1725358000000003E-6</v>
      </c>
      <c r="E54" s="25">
        <v>1205817.3421944471</v>
      </c>
      <c r="F54" s="25">
        <v>2.5416666500000001E-6</v>
      </c>
      <c r="G54" s="25">
        <v>1.10969785E-6</v>
      </c>
      <c r="I54" s="25">
        <v>1619714.5562742562</v>
      </c>
      <c r="J54" s="25">
        <v>2.9208419500000004E-6</v>
      </c>
      <c r="K54" s="25">
        <v>9.4731508960000004E-7</v>
      </c>
      <c r="M54" s="25">
        <v>1552392.0756443809</v>
      </c>
      <c r="N54" s="25">
        <v>4.82821505E-6</v>
      </c>
      <c r="O54" s="25">
        <v>9.8565926620000013E-7</v>
      </c>
      <c r="Q54" s="25">
        <v>1403388.808071641</v>
      </c>
      <c r="R54" s="25">
        <v>3.5974916999999994E-6</v>
      </c>
      <c r="S54" s="25">
        <v>6.4240202845000016E-7</v>
      </c>
      <c r="U54" s="25">
        <v>1573369.069287952</v>
      </c>
      <c r="V54" s="25">
        <v>3.9709302999999998E-6</v>
      </c>
      <c r="W54" s="25">
        <v>1.0137103995499997E-6</v>
      </c>
    </row>
    <row r="55" spans="1:23" x14ac:dyDescent="0.25">
      <c r="A55" s="25">
        <v>1348045.6388521281</v>
      </c>
      <c r="B55" s="25">
        <v>2.9219482999999998E-6</v>
      </c>
      <c r="C55" s="25">
        <v>1.1726587000000003E-6</v>
      </c>
      <c r="E55" s="25">
        <v>1235065.0657569726</v>
      </c>
      <c r="F55" s="25">
        <v>2.5631337999999999E-6</v>
      </c>
      <c r="G55" s="25">
        <v>1.1092910500000001E-6</v>
      </c>
      <c r="I55" s="25">
        <v>1645570.8771021992</v>
      </c>
      <c r="J55" s="25">
        <v>2.9647677500000001E-6</v>
      </c>
      <c r="K55" s="25">
        <v>9.4663685099999981E-7</v>
      </c>
      <c r="M55" s="25">
        <v>1586282.7450395653</v>
      </c>
      <c r="N55" s="25">
        <v>4.9226031500000007E-6</v>
      </c>
      <c r="O55" s="25">
        <v>9.8516564930000014E-7</v>
      </c>
      <c r="Q55" s="25">
        <v>1440622.4969894576</v>
      </c>
      <c r="R55" s="25">
        <v>3.6421220999999995E-6</v>
      </c>
      <c r="S55" s="25">
        <v>6.4192751380000008E-7</v>
      </c>
      <c r="U55" s="25">
        <v>1604441.6814993194</v>
      </c>
      <c r="V55" s="25">
        <v>4.0498013499999998E-6</v>
      </c>
      <c r="W55" s="25">
        <v>1.0136250495499999E-6</v>
      </c>
    </row>
    <row r="56" spans="1:23" x14ac:dyDescent="0.25">
      <c r="A56" s="25">
        <v>1352366.8901195587</v>
      </c>
      <c r="B56" s="25">
        <v>2.9568258499999998E-6</v>
      </c>
      <c r="C56" s="25">
        <v>1.1707668500000001E-6</v>
      </c>
      <c r="E56" s="25">
        <v>1255271.8408902858</v>
      </c>
      <c r="F56" s="25">
        <v>2.5843810499999998E-6</v>
      </c>
      <c r="G56" s="25">
        <v>1.1079614000000002E-6</v>
      </c>
      <c r="I56" s="25">
        <v>1679827.1151358346</v>
      </c>
      <c r="J56" s="25">
        <v>3.0104547500000002E-6</v>
      </c>
      <c r="K56" s="25">
        <v>9.4679284074999998E-7</v>
      </c>
      <c r="M56" s="25">
        <v>1617521.3693319417</v>
      </c>
      <c r="N56" s="25">
        <v>5.0022172500000007E-6</v>
      </c>
      <c r="O56" s="25">
        <v>9.8353719115000012E-7</v>
      </c>
      <c r="Q56" s="25">
        <v>1475549.6742044005</v>
      </c>
      <c r="R56" s="25">
        <v>3.6908824999999997E-6</v>
      </c>
      <c r="S56" s="25">
        <v>6.4121263110000005E-7</v>
      </c>
      <c r="U56" s="25">
        <v>1637460.7672978262</v>
      </c>
      <c r="V56" s="25">
        <v>4.12242605E-6</v>
      </c>
      <c r="W56" s="25">
        <v>1.0122515795999998E-6</v>
      </c>
    </row>
    <row r="57" spans="1:23" x14ac:dyDescent="0.25">
      <c r="A57" s="25">
        <v>1382317.9856026059</v>
      </c>
      <c r="B57" s="25">
        <v>2.9972100499999997E-6</v>
      </c>
      <c r="C57" s="25">
        <v>1.1670164500000002E-6</v>
      </c>
      <c r="E57" s="25">
        <v>1277858.8883219115</v>
      </c>
      <c r="F57" s="25">
        <v>2.6142186E-6</v>
      </c>
      <c r="G57" s="25">
        <v>1.1068115499999999E-6</v>
      </c>
      <c r="I57" s="25">
        <v>1714531.48771022</v>
      </c>
      <c r="J57" s="25">
        <v>3.0530751000000003E-6</v>
      </c>
      <c r="K57" s="25">
        <v>9.4819054649999983E-7</v>
      </c>
      <c r="M57" s="25">
        <v>1652419.4046964096</v>
      </c>
      <c r="N57" s="25">
        <v>5.0820246000000001E-6</v>
      </c>
      <c r="O57" s="25">
        <v>9.8082573980000004E-7</v>
      </c>
      <c r="Q57" s="25">
        <v>1501302.2892440739</v>
      </c>
      <c r="R57" s="25">
        <v>3.7497378999999993E-6</v>
      </c>
      <c r="S57" s="25">
        <v>6.411822938000001E-7</v>
      </c>
      <c r="U57" s="25">
        <v>1673500.9423097058</v>
      </c>
      <c r="V57" s="25">
        <v>4.2061950500000001E-6</v>
      </c>
      <c r="W57" s="25">
        <v>1.0102569388499998E-6</v>
      </c>
    </row>
    <row r="58" spans="1:23" x14ac:dyDescent="0.25">
      <c r="A58" s="25">
        <v>1393413.6450327546</v>
      </c>
      <c r="B58" s="25">
        <v>3.02361565E-6</v>
      </c>
      <c r="C58" s="25">
        <v>1.1629872000000003E-6</v>
      </c>
      <c r="E58" s="25">
        <v>1310007.8879905343</v>
      </c>
      <c r="F58" s="25">
        <v>2.6454659500000003E-6</v>
      </c>
      <c r="G58" s="25">
        <v>1.1046927999999997E-6</v>
      </c>
      <c r="I58" s="25">
        <v>1751361.893919793</v>
      </c>
      <c r="J58" s="25">
        <v>3.0847569999999995E-6</v>
      </c>
      <c r="K58" s="25">
        <v>9.4918346739999988E-7</v>
      </c>
      <c r="M58" s="25">
        <v>1685754.9948840295</v>
      </c>
      <c r="N58" s="25">
        <v>5.1352684500000003E-6</v>
      </c>
      <c r="O58" s="25">
        <v>9.783174315000002E-7</v>
      </c>
      <c r="Q58" s="25">
        <v>1509982.5989115848</v>
      </c>
      <c r="R58" s="25">
        <v>3.8215319499999998E-6</v>
      </c>
      <c r="S58" s="25">
        <v>6.4110963935000006E-7</v>
      </c>
      <c r="U58" s="25">
        <v>1704340.383205947</v>
      </c>
      <c r="V58" s="25">
        <v>4.2653037500000007E-6</v>
      </c>
      <c r="W58" s="25">
        <v>1.0075263200499998E-6</v>
      </c>
    </row>
    <row r="59" spans="1:23" x14ac:dyDescent="0.25">
      <c r="A59" s="25">
        <v>1429933.8635826798</v>
      </c>
      <c r="B59" s="25">
        <v>3.0302942500000001E-6</v>
      </c>
      <c r="C59" s="25">
        <v>1.1585528500000001E-6</v>
      </c>
      <c r="E59" s="25">
        <v>1326833.2462537128</v>
      </c>
      <c r="F59" s="25">
        <v>2.6588372000000005E-6</v>
      </c>
      <c r="G59" s="25">
        <v>1.1037132499999997E-6</v>
      </c>
      <c r="I59" s="25">
        <v>1786743.679172057</v>
      </c>
      <c r="J59" s="25">
        <v>3.1237317499999996E-6</v>
      </c>
      <c r="K59" s="25">
        <v>9.5016397939999978E-7</v>
      </c>
      <c r="M59" s="25">
        <v>1715811.5060491853</v>
      </c>
      <c r="N59" s="25">
        <v>5.1938793000000002E-6</v>
      </c>
      <c r="O59" s="25">
        <v>9.7542214154999985E-7</v>
      </c>
      <c r="Q59" s="25">
        <v>1542768.0152595739</v>
      </c>
      <c r="R59" s="25">
        <v>3.8867896499999993E-6</v>
      </c>
      <c r="S59" s="25">
        <v>6.4079565905000003E-7</v>
      </c>
      <c r="U59" s="25">
        <v>1736021.2684132953</v>
      </c>
      <c r="V59" s="25">
        <v>4.32631185E-6</v>
      </c>
      <c r="W59" s="25">
        <v>1.0070271200499999E-6</v>
      </c>
    </row>
    <row r="60" spans="1:23" x14ac:dyDescent="0.25">
      <c r="A60" s="25">
        <v>1434090.8867734384</v>
      </c>
      <c r="B60" s="25">
        <v>3.0364435000000001E-6</v>
      </c>
      <c r="C60" s="25">
        <v>1.1571264E-6</v>
      </c>
      <c r="E60" s="25">
        <v>1361291.0078940894</v>
      </c>
      <c r="F60" s="25">
        <v>2.6757568499999998E-6</v>
      </c>
      <c r="G60" s="25">
        <v>1.1039516499999997E-6</v>
      </c>
      <c r="I60" s="25">
        <v>1817623.275549806</v>
      </c>
      <c r="J60" s="25">
        <v>3.1736035499999995E-6</v>
      </c>
      <c r="K60" s="25">
        <v>9.4963301924999966E-7</v>
      </c>
      <c r="M60" s="25">
        <v>1746793.1492269486</v>
      </c>
      <c r="N60" s="25">
        <v>5.2522728000000001E-6</v>
      </c>
      <c r="O60" s="25">
        <v>9.7304035114999999E-7</v>
      </c>
      <c r="Q60" s="25">
        <v>1576974.4075673688</v>
      </c>
      <c r="R60" s="25">
        <v>3.9562696499999995E-6</v>
      </c>
      <c r="S60" s="25">
        <v>6.4034067865000006E-7</v>
      </c>
      <c r="U60" s="25">
        <v>1765512.3708351117</v>
      </c>
      <c r="V60" s="25">
        <v>4.3815191000000006E-6</v>
      </c>
      <c r="W60" s="25">
        <v>1.00640177005E-6</v>
      </c>
    </row>
    <row r="61" spans="1:23" x14ac:dyDescent="0.25">
      <c r="A61" s="25">
        <v>1461455.3900489025</v>
      </c>
      <c r="B61" s="25">
        <v>3.0669829000000003E-6</v>
      </c>
      <c r="C61" s="25">
        <v>1.1557209500000002E-6</v>
      </c>
      <c r="E61" s="25">
        <v>1391253.8347222025</v>
      </c>
      <c r="F61" s="25">
        <v>2.7010082000000002E-6</v>
      </c>
      <c r="G61" s="25">
        <v>1.1041857499999999E-6</v>
      </c>
      <c r="I61" s="25">
        <v>1849690.9495472186</v>
      </c>
      <c r="J61" s="25">
        <v>3.2247786499999999E-6</v>
      </c>
      <c r="K61" s="25">
        <v>9.4844170904999971E-7</v>
      </c>
      <c r="M61" s="25">
        <v>1779861.4790553709</v>
      </c>
      <c r="N61" s="25">
        <v>5.3069810500000007E-6</v>
      </c>
      <c r="O61" s="25">
        <v>9.7107790600000001E-7</v>
      </c>
      <c r="Q61" s="25">
        <v>1591740.2012366578</v>
      </c>
      <c r="R61" s="25">
        <v>4.0286130999999995E-6</v>
      </c>
      <c r="S61" s="25">
        <v>6.3936705320000003E-7</v>
      </c>
      <c r="U61" s="25">
        <v>1791739.0748451632</v>
      </c>
      <c r="V61" s="25">
        <v>4.4519108000000007E-6</v>
      </c>
      <c r="W61" s="25">
        <v>1.0058716485000002E-6</v>
      </c>
    </row>
    <row r="62" spans="1:23" x14ac:dyDescent="0.25">
      <c r="A62" s="25">
        <v>1480136.3337703368</v>
      </c>
      <c r="B62" s="25">
        <v>3.0850187500000002E-6</v>
      </c>
      <c r="C62" s="25">
        <v>1.1550117E-6</v>
      </c>
      <c r="E62" s="25">
        <v>1421206.4457893784</v>
      </c>
      <c r="F62" s="25">
        <v>2.7407481999999998E-6</v>
      </c>
      <c r="G62" s="25">
        <v>1.1036849499999997E-6</v>
      </c>
      <c r="I62" s="25">
        <v>1883040.4967658473</v>
      </c>
      <c r="J62" s="25">
        <v>3.2741437500000002E-6</v>
      </c>
      <c r="K62" s="25">
        <v>9.4761142279999993E-7</v>
      </c>
      <c r="M62" s="25">
        <v>1807728.5111240225</v>
      </c>
      <c r="N62" s="25">
        <v>5.3789358000000006E-6</v>
      </c>
      <c r="O62" s="25">
        <v>9.6999135539999999E-7</v>
      </c>
      <c r="Q62" s="25">
        <v>1616792.6252236732</v>
      </c>
      <c r="R62" s="25">
        <v>4.1122079499999996E-6</v>
      </c>
      <c r="S62" s="25">
        <v>6.3965142945E-7</v>
      </c>
      <c r="U62" s="25">
        <v>1823328.7191031142</v>
      </c>
      <c r="V62" s="25">
        <v>4.5205869499999999E-6</v>
      </c>
      <c r="W62" s="25">
        <v>1.0054779903500001E-6</v>
      </c>
    </row>
    <row r="63" spans="1:23" x14ac:dyDescent="0.25">
      <c r="A63" s="25">
        <v>1501896.5539293704</v>
      </c>
      <c r="B63" s="25">
        <v>3.0867528000000006E-6</v>
      </c>
      <c r="C63" s="25">
        <v>1.15334675E-6</v>
      </c>
      <c r="E63" s="25">
        <v>1454826.5150329242</v>
      </c>
      <c r="F63" s="25">
        <v>2.7609501499999997E-6</v>
      </c>
      <c r="G63" s="25">
        <v>1.1020666999999999E-6</v>
      </c>
      <c r="I63" s="25">
        <v>1918140.895213454</v>
      </c>
      <c r="J63" s="25">
        <v>3.3208265000000005E-6</v>
      </c>
      <c r="K63" s="25">
        <v>9.4621435364999997E-7</v>
      </c>
      <c r="M63" s="25">
        <v>1835071.3017188634</v>
      </c>
      <c r="N63" s="25">
        <v>5.4547834500000006E-6</v>
      </c>
      <c r="O63" s="25">
        <v>9.7076833100000009E-7</v>
      </c>
      <c r="Q63" s="25">
        <v>1637056.9780417769</v>
      </c>
      <c r="R63" s="25">
        <v>4.1628430500000011E-6</v>
      </c>
      <c r="S63" s="25">
        <v>6.4029822799999996E-7</v>
      </c>
      <c r="U63" s="25">
        <v>1854269.5388320191</v>
      </c>
      <c r="V63" s="25">
        <v>4.5966738000000002E-6</v>
      </c>
      <c r="W63" s="25">
        <v>1.0039445016500002E-6</v>
      </c>
    </row>
    <row r="64" spans="1:23" x14ac:dyDescent="0.25">
      <c r="A64" s="25">
        <v>1507459.7800266328</v>
      </c>
      <c r="B64" s="25">
        <v>3.0956293500000004E-6</v>
      </c>
      <c r="C64" s="25">
        <v>1.1515034499999999E-6</v>
      </c>
      <c r="E64" s="25">
        <v>1489907.4380904557</v>
      </c>
      <c r="F64" s="25">
        <v>2.7704563500000003E-6</v>
      </c>
      <c r="G64" s="25">
        <v>1.1005507999999999E-6</v>
      </c>
      <c r="I64" s="25">
        <v>1953668.5847347996</v>
      </c>
      <c r="J64" s="25">
        <v>3.3742489000000002E-6</v>
      </c>
      <c r="K64" s="25">
        <v>9.4572806105000019E-7</v>
      </c>
      <c r="M64" s="25">
        <v>1871192.56718889</v>
      </c>
      <c r="N64" s="25">
        <v>5.5128017999999997E-6</v>
      </c>
      <c r="O64" s="25">
        <v>9.7062018565000009E-7</v>
      </c>
      <c r="Q64" s="25">
        <v>1672179.7968743744</v>
      </c>
      <c r="R64" s="25">
        <v>4.223461300000001E-6</v>
      </c>
      <c r="S64" s="25">
        <v>6.4092582769999995E-7</v>
      </c>
      <c r="U64" s="25">
        <v>1888292.2750738948</v>
      </c>
      <c r="V64" s="25">
        <v>4.6573219499999997E-6</v>
      </c>
      <c r="W64" s="25">
        <v>1.0021295119499999E-6</v>
      </c>
    </row>
    <row r="65" spans="1:23" x14ac:dyDescent="0.25">
      <c r="A65" s="25">
        <v>1534516.3556583368</v>
      </c>
      <c r="B65" s="25">
        <v>3.1070097500000001E-6</v>
      </c>
      <c r="C65" s="25">
        <v>1.15081895E-6</v>
      </c>
      <c r="E65" s="25">
        <v>1522751.1095027924</v>
      </c>
      <c r="F65" s="25">
        <v>2.8069939500000003E-6</v>
      </c>
      <c r="G65" s="25">
        <v>1.0997090499999998E-6</v>
      </c>
      <c r="I65" s="25">
        <v>1989165.0090556275</v>
      </c>
      <c r="J65" s="25">
        <v>3.41981865E-6</v>
      </c>
      <c r="K65" s="25">
        <v>9.446066541000001E-7</v>
      </c>
      <c r="M65" s="25">
        <v>1906213.9534883723</v>
      </c>
      <c r="N65" s="25">
        <v>5.5819685499999997E-6</v>
      </c>
      <c r="O65" s="25">
        <v>9.6804864540000014E-7</v>
      </c>
      <c r="Q65" s="25">
        <v>1690971.6890964471</v>
      </c>
      <c r="R65" s="25">
        <v>4.291303750000001E-6</v>
      </c>
      <c r="S65" s="25">
        <v>6.4143973199999993E-7</v>
      </c>
      <c r="U65" s="25">
        <v>1921483.7048879294</v>
      </c>
      <c r="V65" s="25">
        <v>4.7189979999999996E-6</v>
      </c>
      <c r="W65" s="25">
        <v>1.0002296846000003E-6</v>
      </c>
    </row>
    <row r="66" spans="1:23" x14ac:dyDescent="0.25">
      <c r="A66" s="25">
        <v>1569763.8066140541</v>
      </c>
      <c r="B66" s="25">
        <v>3.1476278000000002E-6</v>
      </c>
      <c r="C66" s="25">
        <v>1.1479556500000001E-6</v>
      </c>
      <c r="E66" s="25">
        <v>1556565.2782041405</v>
      </c>
      <c r="F66" s="25">
        <v>2.8401301999999996E-6</v>
      </c>
      <c r="G66" s="25">
        <v>1.1000134500000001E-6</v>
      </c>
      <c r="I66" s="25">
        <v>2025078.3027166883</v>
      </c>
      <c r="J66" s="25">
        <v>3.4682646000000007E-6</v>
      </c>
      <c r="K66" s="25">
        <v>9.4437947370000029E-7</v>
      </c>
      <c r="M66" s="25">
        <v>1940484.954933184</v>
      </c>
      <c r="N66" s="25">
        <v>5.6511832500000002E-6</v>
      </c>
      <c r="O66" s="25">
        <v>9.6605680085000005E-7</v>
      </c>
      <c r="Q66" s="25">
        <v>1720472.3856532902</v>
      </c>
      <c r="R66" s="25">
        <v>4.362284000000001E-6</v>
      </c>
      <c r="S66" s="25">
        <v>6.4122438354999992E-7</v>
      </c>
      <c r="U66" s="25">
        <v>1955121.2015656836</v>
      </c>
      <c r="V66" s="25">
        <v>4.7920586999999991E-6</v>
      </c>
      <c r="W66" s="25">
        <v>9.9762554020000024E-7</v>
      </c>
    </row>
    <row r="67" spans="1:23" x14ac:dyDescent="0.25">
      <c r="A67" s="25">
        <v>1598667.9481083176</v>
      </c>
      <c r="B67" s="25">
        <v>3.1797306500000002E-6</v>
      </c>
      <c r="C67" s="25">
        <v>1.1462350999999998E-6</v>
      </c>
      <c r="E67" s="25">
        <v>1589797.1485320816</v>
      </c>
      <c r="F67" s="25">
        <v>2.8707427499999997E-6</v>
      </c>
      <c r="G67" s="25">
        <v>1.0989705499999999E-6</v>
      </c>
      <c r="I67" s="25">
        <v>2057719.1720569211</v>
      </c>
      <c r="J67" s="25">
        <v>3.5191636000000011E-6</v>
      </c>
      <c r="K67" s="25">
        <v>9.4314010530000035E-7</v>
      </c>
      <c r="M67" s="25">
        <v>1973070.1602661335</v>
      </c>
      <c r="N67" s="25">
        <v>5.7335906499999994E-6</v>
      </c>
      <c r="O67" s="25">
        <v>9.650960493500002E-7</v>
      </c>
      <c r="Q67" s="25">
        <v>1751970.6860956575</v>
      </c>
      <c r="R67" s="25">
        <v>4.4171504500000011E-6</v>
      </c>
      <c r="S67" s="25">
        <v>6.4045777329999999E-7</v>
      </c>
      <c r="U67" s="25">
        <v>1989255.4545234891</v>
      </c>
      <c r="V67" s="25">
        <v>4.872263899999999E-6</v>
      </c>
      <c r="W67" s="25">
        <v>9.9504456310000005E-7</v>
      </c>
    </row>
    <row r="68" spans="1:23" x14ac:dyDescent="0.25">
      <c r="A68" s="25">
        <v>1618077.6539199839</v>
      </c>
      <c r="B68" s="25">
        <v>3.2111937000000007E-6</v>
      </c>
      <c r="C68" s="25">
        <v>1.14371145E-6</v>
      </c>
      <c r="E68" s="25">
        <v>1621843.9905913351</v>
      </c>
      <c r="F68" s="25">
        <v>2.8725796999999999E-6</v>
      </c>
      <c r="G68" s="25">
        <v>1.0981172500000002E-6</v>
      </c>
      <c r="I68" s="25">
        <v>2093257.2833117724</v>
      </c>
      <c r="J68" s="25">
        <v>3.555964800000001E-6</v>
      </c>
      <c r="K68" s="25">
        <v>9.4072830440000011E-7</v>
      </c>
      <c r="M68" s="25">
        <v>2005532.0146640686</v>
      </c>
      <c r="N68" s="25">
        <v>5.8114732999999995E-6</v>
      </c>
      <c r="O68" s="25">
        <v>9.6367720919999994E-7</v>
      </c>
      <c r="Q68" s="25">
        <v>1784910.5563523211</v>
      </c>
      <c r="R68" s="25">
        <v>4.4781747000000007E-6</v>
      </c>
      <c r="S68" s="25">
        <v>6.3908747745000006E-7</v>
      </c>
      <c r="U68" s="25">
        <v>2018381.593147717</v>
      </c>
      <c r="V68" s="25">
        <v>4.9848446499999992E-6</v>
      </c>
      <c r="W68" s="25">
        <v>9.9124351365000007E-7</v>
      </c>
    </row>
    <row r="69" spans="1:23" x14ac:dyDescent="0.25">
      <c r="A69" s="25">
        <v>1648408.5268303349</v>
      </c>
      <c r="B69" s="25">
        <v>3.2499116500000005E-6</v>
      </c>
      <c r="C69" s="25">
        <v>1.1418760999999997E-6</v>
      </c>
      <c r="E69" s="25">
        <v>1646893.0364087687</v>
      </c>
      <c r="F69" s="25">
        <v>2.8973401999999999E-6</v>
      </c>
      <c r="G69" s="25">
        <v>1.0969220499999998E-6</v>
      </c>
      <c r="I69" s="25">
        <v>2117664.9831824061</v>
      </c>
      <c r="J69" s="25">
        <v>3.5824116000000004E-6</v>
      </c>
      <c r="K69" s="25">
        <v>9.3947338080000024E-7</v>
      </c>
      <c r="M69" s="25">
        <v>2039350.729347161</v>
      </c>
      <c r="N69" s="25">
        <v>5.8887061499999989E-6</v>
      </c>
      <c r="O69" s="25">
        <v>9.6201458180000008E-7</v>
      </c>
      <c r="Q69" s="25">
        <v>1820568.815401657</v>
      </c>
      <c r="R69" s="25">
        <v>4.5341521499999991E-6</v>
      </c>
      <c r="S69" s="25">
        <v>6.3810871904999988E-7</v>
      </c>
      <c r="U69" s="25">
        <v>2048126.1426511921</v>
      </c>
      <c r="V69" s="25">
        <v>5.0862692E-6</v>
      </c>
      <c r="W69" s="25">
        <v>9.9050763580000011E-7</v>
      </c>
    </row>
    <row r="70" spans="1:23" x14ac:dyDescent="0.25">
      <c r="A70" s="25">
        <v>1678369.886568174</v>
      </c>
      <c r="B70" s="25">
        <v>3.2937522999999999E-6</v>
      </c>
      <c r="C70" s="25">
        <v>1.1412890999999998E-6</v>
      </c>
      <c r="E70" s="25">
        <v>1678878.5839024005</v>
      </c>
      <c r="F70" s="25">
        <v>2.9193571499999993E-6</v>
      </c>
      <c r="G70" s="25">
        <v>1.0964633499999998E-6</v>
      </c>
      <c r="I70" s="25">
        <v>2150055.7309184996</v>
      </c>
      <c r="J70" s="25">
        <v>3.607205300000001E-6</v>
      </c>
      <c r="K70" s="25">
        <v>9.3925143569999995E-7</v>
      </c>
      <c r="M70" s="25">
        <v>2069242.7725989646</v>
      </c>
      <c r="N70" s="25">
        <v>5.9762150499999998E-6</v>
      </c>
      <c r="O70" s="25">
        <v>9.5971665529999986E-7</v>
      </c>
      <c r="Q70" s="25">
        <v>1854991.4431815965</v>
      </c>
      <c r="R70" s="25">
        <v>4.6098194500000004E-6</v>
      </c>
      <c r="S70" s="25">
        <v>6.3744885504999973E-7</v>
      </c>
      <c r="U70" s="25">
        <v>2076623.7325129062</v>
      </c>
      <c r="V70" s="25">
        <v>5.1806455000000003E-6</v>
      </c>
      <c r="W70" s="25">
        <v>9.8940863650000015E-7</v>
      </c>
    </row>
    <row r="71" spans="1:23" x14ac:dyDescent="0.25">
      <c r="A71" s="25">
        <v>1705508.576238214</v>
      </c>
      <c r="B71" s="25">
        <v>3.3149810000000001E-6</v>
      </c>
      <c r="C71" s="25">
        <v>1.1431180499999997E-6</v>
      </c>
      <c r="E71" s="25">
        <v>1706931.0634353012</v>
      </c>
      <c r="F71" s="25">
        <v>2.9273083999999999E-6</v>
      </c>
      <c r="G71" s="25">
        <v>1.0963483000000001E-6</v>
      </c>
      <c r="I71" s="25">
        <v>2181091.6532988357</v>
      </c>
      <c r="J71" s="25">
        <v>3.630262E-6</v>
      </c>
      <c r="K71" s="25">
        <v>9.405115463E-7</v>
      </c>
      <c r="M71" s="25">
        <v>2100183.2987983897</v>
      </c>
      <c r="N71" s="25">
        <v>6.0560463999999982E-6</v>
      </c>
      <c r="O71" s="25">
        <v>9.5980884395000007E-7</v>
      </c>
      <c r="Q71" s="25">
        <v>1884399.4673932346</v>
      </c>
      <c r="R71" s="25">
        <v>4.6978562499999999E-6</v>
      </c>
      <c r="S71" s="25">
        <v>6.3760253124999988E-7</v>
      </c>
      <c r="U71" s="25">
        <v>2111163.5008013658</v>
      </c>
      <c r="V71" s="25">
        <v>5.2785975000000013E-6</v>
      </c>
      <c r="W71" s="25">
        <v>9.8866705159999999E-7</v>
      </c>
    </row>
    <row r="72" spans="1:23" x14ac:dyDescent="0.25">
      <c r="A72" s="25">
        <v>1732585.680379502</v>
      </c>
      <c r="B72" s="25">
        <v>3.3517837000000008E-6</v>
      </c>
      <c r="C72" s="25">
        <v>1.1427396499999997E-6</v>
      </c>
      <c r="E72" s="25">
        <v>1737557.9147243167</v>
      </c>
      <c r="F72" s="25">
        <v>2.9499283499999996E-6</v>
      </c>
      <c r="G72" s="25">
        <v>1.0951127000000002E-6</v>
      </c>
      <c r="I72" s="25">
        <v>2210637.2677878398</v>
      </c>
      <c r="J72" s="25">
        <v>3.6543530999999998E-6</v>
      </c>
      <c r="K72" s="25">
        <v>9.4238314429999993E-7</v>
      </c>
      <c r="M72" s="25">
        <v>2135019.6586953504</v>
      </c>
      <c r="N72" s="25">
        <v>6.138641949999999E-6</v>
      </c>
      <c r="O72" s="25">
        <v>9.5914121229999985E-7</v>
      </c>
      <c r="Q72" s="25">
        <v>1915980.143253562</v>
      </c>
      <c r="R72" s="25">
        <v>4.7640970999999999E-6</v>
      </c>
      <c r="S72" s="25">
        <v>6.3776354589999978E-7</v>
      </c>
      <c r="U72" s="25">
        <v>2145946.5782882175</v>
      </c>
      <c r="V72" s="25">
        <v>5.3880090000000012E-6</v>
      </c>
      <c r="W72" s="25">
        <v>9.8848281070000015E-7</v>
      </c>
    </row>
    <row r="73" spans="1:23" x14ac:dyDescent="0.25">
      <c r="A73" s="25">
        <v>1760925.2878602054</v>
      </c>
      <c r="B73" s="25">
        <v>3.3807325500000011E-6</v>
      </c>
      <c r="C73" s="25">
        <v>1.1414102999999999E-6</v>
      </c>
      <c r="E73" s="25">
        <v>1759726.1159575267</v>
      </c>
      <c r="F73" s="25">
        <v>2.9826464999999997E-6</v>
      </c>
      <c r="G73" s="25">
        <v>1.0948913500000001E-6</v>
      </c>
      <c r="I73" s="25">
        <v>2245268.6882276842</v>
      </c>
      <c r="J73" s="25">
        <v>3.6812371499999999E-6</v>
      </c>
      <c r="K73" s="25">
        <v>9.4297072335000006E-7</v>
      </c>
      <c r="M73" s="25">
        <v>2168601.9507529992</v>
      </c>
      <c r="N73" s="25">
        <v>6.2071387499999996E-6</v>
      </c>
      <c r="O73" s="25">
        <v>9.587224979999999E-7</v>
      </c>
      <c r="Q73" s="25">
        <v>1935019.1617295141</v>
      </c>
      <c r="R73" s="25">
        <v>4.8241843499999997E-6</v>
      </c>
      <c r="S73" s="25">
        <v>6.3871104609999983E-7</v>
      </c>
      <c r="U73" s="25">
        <v>2180597.863292607</v>
      </c>
      <c r="V73" s="25">
        <v>5.4947967500000014E-6</v>
      </c>
      <c r="W73" s="25">
        <v>9.8853616070000013E-7</v>
      </c>
    </row>
    <row r="74" spans="1:23" x14ac:dyDescent="0.25">
      <c r="A74" s="25">
        <v>1790404.2276228208</v>
      </c>
      <c r="B74" s="25">
        <v>3.4034508000000004E-6</v>
      </c>
      <c r="C74" s="25">
        <v>1.1378125E-6</v>
      </c>
      <c r="E74" s="25">
        <v>1784989.6927546368</v>
      </c>
      <c r="F74" s="25">
        <v>3.0146920499999999E-6</v>
      </c>
      <c r="G74" s="25">
        <v>1.09430085E-6</v>
      </c>
      <c r="I74" s="25">
        <v>2279462.3958602846</v>
      </c>
      <c r="J74" s="25">
        <v>3.7060307000000002E-6</v>
      </c>
      <c r="K74" s="25">
        <v>9.4352297705E-7</v>
      </c>
      <c r="M74" s="25">
        <v>2198504.2732493868</v>
      </c>
      <c r="N74" s="25">
        <v>6.2671048499999993E-6</v>
      </c>
      <c r="O74" s="25">
        <v>9.5754152485000011E-7</v>
      </c>
      <c r="Q74" s="25">
        <v>1949826.1431077828</v>
      </c>
      <c r="R74" s="25">
        <v>4.9118792000000003E-6</v>
      </c>
      <c r="S74" s="25">
        <v>6.3952606704999992E-7</v>
      </c>
      <c r="U74" s="25">
        <v>2215968.9380089077</v>
      </c>
      <c r="V74" s="25">
        <v>5.5811246500000009E-6</v>
      </c>
      <c r="W74" s="25">
        <v>9.8830095970000001E-7</v>
      </c>
    </row>
    <row r="75" spans="1:23" x14ac:dyDescent="0.25">
      <c r="A75" s="25">
        <v>1826072.5130250102</v>
      </c>
      <c r="B75" s="25">
        <v>3.415217800000001E-6</v>
      </c>
      <c r="C75" s="25">
        <v>1.1349424E-6</v>
      </c>
      <c r="E75" s="25">
        <v>1819488.3174387612</v>
      </c>
      <c r="F75" s="25">
        <v>3.0453137E-6</v>
      </c>
      <c r="G75" s="25">
        <v>1.0937304999999999E-6</v>
      </c>
      <c r="I75" s="25">
        <v>2313551.8861578265</v>
      </c>
      <c r="J75" s="25">
        <v>3.7447316499999997E-6</v>
      </c>
      <c r="K75" s="25">
        <v>9.4364011709999997E-7</v>
      </c>
      <c r="M75" s="25">
        <v>2233114.4897654881</v>
      </c>
      <c r="N75" s="25">
        <v>6.3287859000000004E-6</v>
      </c>
      <c r="O75" s="25">
        <v>9.5670488069999989E-7</v>
      </c>
      <c r="Q75" s="25">
        <v>1981952.5561120936</v>
      </c>
      <c r="R75" s="25">
        <v>5.0037688999999997E-6</v>
      </c>
      <c r="S75" s="25">
        <v>6.3979523199999985E-7</v>
      </c>
      <c r="U75" s="25">
        <v>2251451.5294411378</v>
      </c>
      <c r="V75" s="25">
        <v>5.6696292999999999E-6</v>
      </c>
      <c r="W75" s="25">
        <v>9.8680672385000006E-7</v>
      </c>
    </row>
    <row r="76" spans="1:23" x14ac:dyDescent="0.25">
      <c r="A76" s="25">
        <v>1841078.8535309096</v>
      </c>
      <c r="B76" s="25">
        <v>3.4222267499999999E-6</v>
      </c>
      <c r="C76" s="25">
        <v>1.1344118499999999E-6</v>
      </c>
      <c r="E76" s="25">
        <v>1852679.3247229548</v>
      </c>
      <c r="F76" s="25">
        <v>3.0781428000000001E-6</v>
      </c>
      <c r="G76" s="25">
        <v>1.0933808999999999E-6</v>
      </c>
      <c r="I76" s="25">
        <v>2349256.745148771</v>
      </c>
      <c r="J76" s="25">
        <v>3.7837843499999994E-6</v>
      </c>
      <c r="K76" s="25">
        <v>9.4246112774999992E-7</v>
      </c>
      <c r="M76" s="25">
        <v>2267745.2647707583</v>
      </c>
      <c r="N76" s="25">
        <v>6.3957345999999997E-6</v>
      </c>
      <c r="O76" s="25">
        <v>9.5567270085000019E-7</v>
      </c>
      <c r="Q76" s="25">
        <v>2017250.4227078557</v>
      </c>
      <c r="R76" s="25">
        <v>5.0854020500000001E-6</v>
      </c>
      <c r="S76" s="25">
        <v>6.3976860085000002E-7</v>
      </c>
      <c r="U76" s="25">
        <v>2281520.4912091363</v>
      </c>
      <c r="V76" s="25">
        <v>5.778583599999999E-6</v>
      </c>
      <c r="W76" s="25">
        <v>9.8643608200000001E-7</v>
      </c>
    </row>
    <row r="77" spans="1:23" x14ac:dyDescent="0.25">
      <c r="A77" s="25">
        <v>1867057.6824094539</v>
      </c>
      <c r="B77" s="25">
        <v>3.4386428000000002E-6</v>
      </c>
      <c r="C77" s="25">
        <v>1.1360226E-6</v>
      </c>
      <c r="E77" s="25">
        <v>1870270.8650564053</v>
      </c>
      <c r="F77" s="25">
        <v>3.1080231000000001E-6</v>
      </c>
      <c r="G77" s="25">
        <v>1.0929940500000002E-6</v>
      </c>
      <c r="I77" s="25">
        <v>2374446.0750323418</v>
      </c>
      <c r="J77" s="25">
        <v>3.8098371499999998E-6</v>
      </c>
      <c r="K77" s="25">
        <v>9.4045557259999994E-7</v>
      </c>
      <c r="M77" s="25">
        <v>2300608.00970749</v>
      </c>
      <c r="N77" s="25">
        <v>6.4610677999999991E-6</v>
      </c>
      <c r="O77" s="25">
        <v>9.5529449885000004E-7</v>
      </c>
      <c r="Q77" s="25">
        <v>2034806.6836605319</v>
      </c>
      <c r="R77" s="25">
        <v>5.1870387499999998E-6</v>
      </c>
      <c r="S77" s="25">
        <v>6.3937868624999992E-7</v>
      </c>
      <c r="U77" s="25">
        <v>2313809.6494124657</v>
      </c>
      <c r="V77" s="25">
        <v>5.8753440499999998E-6</v>
      </c>
      <c r="W77" s="25">
        <v>9.8586038890000008E-7</v>
      </c>
    </row>
    <row r="78" spans="1:23" x14ac:dyDescent="0.25">
      <c r="A78" s="25">
        <v>1892769.6406634063</v>
      </c>
      <c r="B78" s="25">
        <v>3.4683775999999998E-6</v>
      </c>
      <c r="C78" s="25">
        <v>1.13659415E-6</v>
      </c>
      <c r="E78" s="25">
        <v>1904871.6473498994</v>
      </c>
      <c r="F78" s="25">
        <v>3.1441894999999999E-6</v>
      </c>
      <c r="G78" s="25">
        <v>1.0933416500000001E-6</v>
      </c>
      <c r="I78" s="25">
        <v>2405523.684346701</v>
      </c>
      <c r="J78" s="25">
        <v>3.8551783500000004E-6</v>
      </c>
      <c r="K78" s="25">
        <v>9.3788636379999999E-7</v>
      </c>
      <c r="M78" s="25">
        <v>2335187.3884898378</v>
      </c>
      <c r="N78" s="25">
        <v>6.5347665499999997E-6</v>
      </c>
      <c r="O78" s="25">
        <v>9.5520929625000011E-7</v>
      </c>
      <c r="Q78" s="25">
        <v>2066716.8611926981</v>
      </c>
      <c r="R78" s="25">
        <v>5.275331149999999E-6</v>
      </c>
      <c r="S78" s="25">
        <v>6.3858979625000003E-7</v>
      </c>
      <c r="U78" s="25">
        <v>2347964.1781368037</v>
      </c>
      <c r="V78" s="25">
        <v>5.9761973999999995E-6</v>
      </c>
      <c r="W78" s="25">
        <v>9.8397234045000008E-7</v>
      </c>
    </row>
    <row r="79" spans="1:23" x14ac:dyDescent="0.25">
      <c r="A79" s="25">
        <v>1920113.6154292864</v>
      </c>
      <c r="B79" s="25">
        <v>3.5163943E-6</v>
      </c>
      <c r="C79" s="25">
        <v>1.1367161E-6</v>
      </c>
      <c r="E79" s="25">
        <v>1935835.6187498348</v>
      </c>
      <c r="F79" s="25">
        <v>3.1885559499999999E-6</v>
      </c>
      <c r="G79" s="25">
        <v>1.0936723000000003E-6</v>
      </c>
      <c r="I79" s="25">
        <v>2435559.1203104788</v>
      </c>
      <c r="J79" s="25">
        <v>3.8941675000000002E-6</v>
      </c>
      <c r="K79" s="25">
        <v>9.3475986209999988E-7</v>
      </c>
      <c r="M79" s="25">
        <v>2369437.8314454802</v>
      </c>
      <c r="N79" s="25">
        <v>6.6159323500000011E-6</v>
      </c>
      <c r="O79" s="25">
        <v>9.5509586520000005E-7</v>
      </c>
      <c r="Q79" s="25">
        <v>2095424.6943516785</v>
      </c>
      <c r="R79" s="25">
        <v>5.3725644999999996E-6</v>
      </c>
      <c r="S79" s="25">
        <v>6.3754520179999996E-7</v>
      </c>
      <c r="U79" s="25">
        <v>2382645.8767909924</v>
      </c>
      <c r="V79" s="25">
        <v>6.070077499999999E-6</v>
      </c>
      <c r="W79" s="25">
        <v>9.8055080434999976E-7</v>
      </c>
    </row>
    <row r="80" spans="1:23" x14ac:dyDescent="0.25">
      <c r="A80" s="25">
        <v>1946482.4859899264</v>
      </c>
      <c r="B80" s="25">
        <v>3.5661290999999997E-6</v>
      </c>
      <c r="C80" s="25">
        <v>1.1345990500000003E-6</v>
      </c>
      <c r="E80" s="25">
        <v>1966237.7232982372</v>
      </c>
      <c r="F80" s="25">
        <v>3.2191956000000006E-6</v>
      </c>
      <c r="G80" s="25">
        <v>1.0927195000000002E-6</v>
      </c>
      <c r="I80" s="25">
        <v>2469784.0931435963</v>
      </c>
      <c r="J80" s="25">
        <v>3.9311680500000005E-6</v>
      </c>
      <c r="K80" s="25">
        <v>9.3349055140000005E-7</v>
      </c>
      <c r="M80" s="25">
        <v>2404448.9385003778</v>
      </c>
      <c r="N80" s="25">
        <v>6.7182373499999996E-6</v>
      </c>
      <c r="O80" s="25">
        <v>9.5311129375000016E-7</v>
      </c>
      <c r="Q80" s="25">
        <v>2124029.5582382088</v>
      </c>
      <c r="R80" s="25">
        <v>5.4561809499999984E-6</v>
      </c>
      <c r="S80" s="25">
        <v>6.3654776749999997E-7</v>
      </c>
      <c r="U80" s="25">
        <v>2415573.7216401021</v>
      </c>
      <c r="V80" s="25">
        <v>6.1722151499999992E-6</v>
      </c>
      <c r="W80" s="25">
        <v>9.7841190479999997E-7</v>
      </c>
    </row>
    <row r="81" spans="1:23" x14ac:dyDescent="0.25">
      <c r="A81" s="25">
        <v>1972358.6723205508</v>
      </c>
      <c r="B81" s="25">
        <v>3.5814396500000002E-6</v>
      </c>
      <c r="C81" s="25">
        <v>1.1328437499999997E-6</v>
      </c>
      <c r="E81" s="25">
        <v>1999326.5729730609</v>
      </c>
      <c r="F81" s="25">
        <v>3.2359172000000004E-6</v>
      </c>
      <c r="G81" s="25">
        <v>1.0917446000000003E-6</v>
      </c>
      <c r="I81" s="25">
        <v>2504280.0310478657</v>
      </c>
      <c r="J81" s="25">
        <v>3.9582306500000005E-6</v>
      </c>
      <c r="K81" s="25">
        <v>9.321573856499999E-7</v>
      </c>
      <c r="M81" s="25">
        <v>2434197.072327998</v>
      </c>
      <c r="N81" s="25">
        <v>6.8213853999999992E-6</v>
      </c>
      <c r="O81" s="25">
        <v>9.5144543485000007E-7</v>
      </c>
      <c r="Q81" s="25">
        <v>2142069.7747713989</v>
      </c>
      <c r="R81" s="25">
        <v>5.5348425499999986E-6</v>
      </c>
      <c r="S81" s="25">
        <v>6.3575215290000002E-7</v>
      </c>
      <c r="U81" s="25">
        <v>2449170.6667847908</v>
      </c>
      <c r="V81" s="25">
        <v>6.2513091500000001E-6</v>
      </c>
      <c r="W81" s="25">
        <v>9.7677325114999997E-7</v>
      </c>
    </row>
    <row r="82" spans="1:23" x14ac:dyDescent="0.25">
      <c r="A82" s="25">
        <v>1989274.1642177617</v>
      </c>
      <c r="B82" s="25">
        <v>3.6084868999999998E-6</v>
      </c>
      <c r="C82" s="25">
        <v>1.13320135E-6</v>
      </c>
      <c r="E82" s="25">
        <v>2024682.0916186036</v>
      </c>
      <c r="F82" s="25">
        <v>3.2581461500000005E-6</v>
      </c>
      <c r="G82" s="25">
        <v>1.0912499500000002E-6</v>
      </c>
      <c r="I82" s="25">
        <v>2536003.7878395859</v>
      </c>
      <c r="J82" s="25">
        <v>3.9881291499999992E-6</v>
      </c>
      <c r="K82" s="25">
        <v>9.3148551065000001E-7</v>
      </c>
      <c r="M82" s="25">
        <v>2468077.4624785976</v>
      </c>
      <c r="N82" s="25">
        <v>6.90664195E-6</v>
      </c>
      <c r="O82" s="25">
        <v>9.505178952000001E-7</v>
      </c>
      <c r="Q82" s="25">
        <v>2175823.1022804151</v>
      </c>
      <c r="R82" s="25">
        <v>5.5998669999999984E-6</v>
      </c>
      <c r="S82" s="25">
        <v>6.3543318170000006E-7</v>
      </c>
      <c r="U82" s="25">
        <v>2475944.8164912253</v>
      </c>
      <c r="V82" s="25">
        <v>6.3338320500000002E-6</v>
      </c>
      <c r="W82" s="25">
        <v>9.7646562024999976E-7</v>
      </c>
    </row>
    <row r="83" spans="1:23" x14ac:dyDescent="0.25">
      <c r="A83" s="25">
        <v>2006754.1901285325</v>
      </c>
      <c r="B83" s="25">
        <v>3.6482446000000001E-6</v>
      </c>
      <c r="C83" s="25">
        <v>1.1340984999999999E-6</v>
      </c>
      <c r="E83" s="25">
        <v>2040414.3634615268</v>
      </c>
      <c r="F83" s="25">
        <v>3.2968856999999999E-6</v>
      </c>
      <c r="G83" s="25">
        <v>1.0913361000000003E-6</v>
      </c>
      <c r="I83" s="25">
        <v>2562339.508408797</v>
      </c>
      <c r="J83" s="25">
        <v>4.0085167499999998E-6</v>
      </c>
      <c r="K83" s="25">
        <v>9.3141980534999999E-7</v>
      </c>
      <c r="M83" s="25">
        <v>2498904.9169875933</v>
      </c>
      <c r="N83" s="25">
        <v>7.0003980999999994E-6</v>
      </c>
      <c r="O83" s="25">
        <v>9.4772404685000024E-7</v>
      </c>
      <c r="Q83" s="25">
        <v>2200412.1645414066</v>
      </c>
      <c r="R83" s="25">
        <v>5.6960275999999995E-6</v>
      </c>
      <c r="S83" s="25">
        <v>6.3472503775000005E-7</v>
      </c>
      <c r="U83" s="25">
        <v>2506733.5679711346</v>
      </c>
      <c r="V83" s="25">
        <v>6.39732455E-6</v>
      </c>
      <c r="W83" s="25">
        <v>9.7614994029999997E-7</v>
      </c>
    </row>
    <row r="84" spans="1:23" x14ac:dyDescent="0.25">
      <c r="A84" s="25">
        <v>2033821.0300150285</v>
      </c>
      <c r="B84" s="25">
        <v>3.6935541999999995E-6</v>
      </c>
      <c r="C84" s="25">
        <v>1.13635275E-6</v>
      </c>
      <c r="E84" s="25">
        <v>2066525.8484164046</v>
      </c>
      <c r="F84" s="25">
        <v>3.3389122500000001E-6</v>
      </c>
      <c r="G84" s="25">
        <v>1.0919632000000002E-6</v>
      </c>
      <c r="I84" s="25">
        <v>2594000.7347994824</v>
      </c>
      <c r="J84" s="25">
        <v>4.0201751499999999E-6</v>
      </c>
      <c r="K84" s="25">
        <v>9.3108742484999987E-7</v>
      </c>
      <c r="M84" s="25">
        <v>2527882.1074713739</v>
      </c>
      <c r="N84" s="25">
        <v>7.0903650500000008E-6</v>
      </c>
      <c r="O84" s="25">
        <v>9.4576113275000029E-7</v>
      </c>
      <c r="Q84" s="25">
        <v>2213715.7945419098</v>
      </c>
      <c r="R84" s="25">
        <v>5.7808616999999987E-6</v>
      </c>
      <c r="S84" s="25">
        <v>6.3372561390000005E-7</v>
      </c>
      <c r="U84" s="25">
        <v>2536893.7706885301</v>
      </c>
      <c r="V84" s="25">
        <v>6.4651997499999997E-6</v>
      </c>
      <c r="W84" s="25">
        <v>9.752659284999996E-7</v>
      </c>
    </row>
    <row r="85" spans="1:23" x14ac:dyDescent="0.25">
      <c r="A85" s="25">
        <v>2065547.841577091</v>
      </c>
      <c r="B85" s="25">
        <v>3.7331781000000003E-6</v>
      </c>
      <c r="C85" s="25">
        <v>1.135816E-6</v>
      </c>
      <c r="E85" s="25">
        <v>2099808.7975490307</v>
      </c>
      <c r="F85" s="25">
        <v>3.3801020499999996E-6</v>
      </c>
      <c r="G85" s="25">
        <v>1.0916516000000003E-6</v>
      </c>
      <c r="I85" s="25">
        <v>2628038.1164294956</v>
      </c>
      <c r="J85" s="25">
        <v>4.0377333999999995E-6</v>
      </c>
      <c r="K85" s="25">
        <v>9.3159731029999989E-7</v>
      </c>
      <c r="M85" s="25">
        <v>2562564.2786995666</v>
      </c>
      <c r="N85" s="25">
        <v>7.1951314000000012E-6</v>
      </c>
      <c r="O85" s="25">
        <v>9.4594428795000012E-7</v>
      </c>
      <c r="Q85" s="25">
        <v>2227266.5507962923</v>
      </c>
      <c r="R85" s="25">
        <v>5.8561055499999997E-6</v>
      </c>
      <c r="S85" s="25">
        <v>6.3279321130000006E-7</v>
      </c>
      <c r="U85" s="25">
        <v>2564093.7114921515</v>
      </c>
      <c r="V85" s="25">
        <v>6.5221019499999994E-6</v>
      </c>
      <c r="W85" s="25">
        <v>9.7456936924999999E-7</v>
      </c>
    </row>
    <row r="86" spans="1:23" x14ac:dyDescent="0.25">
      <c r="A86" s="25">
        <v>2082945.7534495259</v>
      </c>
      <c r="B86" s="25">
        <v>3.7409243499999996E-6</v>
      </c>
      <c r="C86" s="25">
        <v>1.1350673500000001E-6</v>
      </c>
      <c r="E86" s="25">
        <v>2134368.7167987768</v>
      </c>
      <c r="F86" s="25">
        <v>3.4340131499999997E-6</v>
      </c>
      <c r="G86" s="25">
        <v>1.0904394E-6</v>
      </c>
      <c r="I86" s="25">
        <v>2662784.1759379045</v>
      </c>
      <c r="J86" s="25">
        <v>4.0660121999999999E-6</v>
      </c>
      <c r="K86" s="25">
        <v>9.308053109499998E-7</v>
      </c>
      <c r="M86" s="25">
        <v>2596598.8575189342</v>
      </c>
      <c r="N86" s="25">
        <v>7.3006617999999997E-6</v>
      </c>
      <c r="O86" s="25">
        <v>9.467676421000002E-7</v>
      </c>
      <c r="Q86" s="25">
        <v>2245069.9380028476</v>
      </c>
      <c r="R86" s="25">
        <v>5.9284938499999996E-6</v>
      </c>
      <c r="S86" s="25">
        <v>6.325810347E-7</v>
      </c>
      <c r="U86" s="25">
        <v>2592003.3041244168</v>
      </c>
      <c r="V86" s="25">
        <v>6.5820739999999998E-6</v>
      </c>
      <c r="W86" s="25">
        <v>9.7601292495000011E-7</v>
      </c>
    </row>
    <row r="87" spans="1:23" x14ac:dyDescent="0.25">
      <c r="A87" s="25">
        <v>2106625.3892546631</v>
      </c>
      <c r="B87" s="25">
        <v>3.7648425499999995E-6</v>
      </c>
      <c r="C87" s="25">
        <v>1.1334470000000001E-6</v>
      </c>
      <c r="E87" s="25">
        <v>2163830.9713409785</v>
      </c>
      <c r="F87" s="25">
        <v>3.4881588999999999E-6</v>
      </c>
      <c r="G87" s="25">
        <v>1.0895365999999999E-6</v>
      </c>
      <c r="I87" s="25">
        <v>2694382.8719275552</v>
      </c>
      <c r="J87" s="25">
        <v>4.1007782500000003E-6</v>
      </c>
      <c r="K87" s="25">
        <v>9.3045103999999977E-7</v>
      </c>
      <c r="M87" s="25">
        <v>2631774.4324871846</v>
      </c>
      <c r="N87" s="25">
        <v>7.3736047999999996E-6</v>
      </c>
      <c r="O87" s="25">
        <v>9.443251599999999E-7</v>
      </c>
      <c r="Q87" s="25">
        <v>2273592.4264714182</v>
      </c>
      <c r="R87" s="25">
        <v>6.0032196000000003E-6</v>
      </c>
      <c r="S87" s="25">
        <v>6.3300093419999995E-7</v>
      </c>
      <c r="U87" s="25">
        <v>2622062.1280091489</v>
      </c>
      <c r="V87" s="25">
        <v>6.6467682999999994E-6</v>
      </c>
      <c r="W87" s="25">
        <v>9.7795558860000006E-7</v>
      </c>
    </row>
    <row r="88" spans="1:23" x14ac:dyDescent="0.25">
      <c r="A88" s="25">
        <v>2136083.800507694</v>
      </c>
      <c r="B88" s="25">
        <v>3.7934234999999997E-6</v>
      </c>
      <c r="C88" s="25">
        <v>1.1334036E-6</v>
      </c>
      <c r="E88" s="25">
        <v>2191495.2519582747</v>
      </c>
      <c r="F88" s="25">
        <v>3.5378989500000003E-6</v>
      </c>
      <c r="G88" s="25">
        <v>1.0889470499999999E-6</v>
      </c>
      <c r="I88" s="25">
        <v>2724814.3337645535</v>
      </c>
      <c r="J88" s="25">
        <v>4.1433727999999996E-6</v>
      </c>
      <c r="K88" s="25">
        <v>9.3047300429999994E-7</v>
      </c>
      <c r="M88" s="25">
        <v>2663825.1171017387</v>
      </c>
      <c r="N88" s="25">
        <v>7.4422519999999986E-6</v>
      </c>
      <c r="O88" s="25">
        <v>9.4367788394999995E-7</v>
      </c>
      <c r="Q88" s="25">
        <v>2309291.8732297341</v>
      </c>
      <c r="R88" s="25">
        <v>6.0600154500000004E-6</v>
      </c>
      <c r="S88" s="25">
        <v>6.3366167924999995E-7</v>
      </c>
      <c r="U88" s="25">
        <v>2652952.258321722</v>
      </c>
      <c r="V88" s="25">
        <v>6.6936578500000002E-6</v>
      </c>
      <c r="W88" s="25">
        <v>9.7959815875000003E-7</v>
      </c>
    </row>
    <row r="89" spans="1:23" x14ac:dyDescent="0.25">
      <c r="A89" s="25">
        <v>2165070.0560402935</v>
      </c>
      <c r="B89" s="25">
        <v>3.8124964999999995E-6</v>
      </c>
      <c r="C89" s="25">
        <v>1.1337547500000002E-6</v>
      </c>
      <c r="E89" s="25">
        <v>2225666.9722924167</v>
      </c>
      <c r="F89" s="25">
        <v>3.5574276500000002E-6</v>
      </c>
      <c r="G89" s="25">
        <v>1.0897118499999999E-6</v>
      </c>
      <c r="I89" s="25">
        <v>2758414.0025873221</v>
      </c>
      <c r="J89" s="25">
        <v>4.1871091999999996E-6</v>
      </c>
      <c r="K89" s="25">
        <v>9.3026093569999986E-7</v>
      </c>
      <c r="M89" s="25">
        <v>2691877.1755729117</v>
      </c>
      <c r="N89" s="25">
        <v>7.5033677999999984E-6</v>
      </c>
      <c r="O89" s="25">
        <v>9.4457275570000019E-7</v>
      </c>
      <c r="Q89" s="25">
        <v>2316376.1591742747</v>
      </c>
      <c r="R89" s="25">
        <v>6.1131653000000001E-6</v>
      </c>
      <c r="S89" s="25">
        <v>6.3402774234999998E-7</v>
      </c>
      <c r="U89" s="25">
        <v>2685839.5516377664</v>
      </c>
      <c r="V89" s="25">
        <v>6.7544244500000005E-6</v>
      </c>
      <c r="W89" s="25">
        <v>9.8007494429999991E-7</v>
      </c>
    </row>
    <row r="90" spans="1:23" x14ac:dyDescent="0.25">
      <c r="A90" s="25">
        <v>2185937.2860324234</v>
      </c>
      <c r="B90" s="25">
        <v>3.8297148500000002E-6</v>
      </c>
      <c r="C90" s="25">
        <v>1.1332835000000001E-6</v>
      </c>
      <c r="E90" s="25">
        <v>2258306.3284860142</v>
      </c>
      <c r="F90" s="25">
        <v>3.6102475499999997E-6</v>
      </c>
      <c r="G90" s="25">
        <v>1.089787E-6</v>
      </c>
      <c r="I90" s="25">
        <v>2793368.4967658473</v>
      </c>
      <c r="J90" s="25">
        <v>4.2305950999999994E-6</v>
      </c>
      <c r="K90" s="25">
        <v>9.2894673004999994E-7</v>
      </c>
      <c r="M90" s="25">
        <v>2726888.2826278093</v>
      </c>
      <c r="N90" s="25">
        <v>7.5721615499999981E-6</v>
      </c>
      <c r="O90" s="25">
        <v>9.4712239055000021E-7</v>
      </c>
      <c r="Q90" s="25">
        <v>2333747.0754365413</v>
      </c>
      <c r="R90" s="25">
        <v>6.1698394000000004E-6</v>
      </c>
      <c r="S90" s="25">
        <v>6.340223365500001E-7</v>
      </c>
      <c r="U90" s="25">
        <v>2718219.9507904928</v>
      </c>
      <c r="V90" s="25">
        <v>6.8095977499999988E-6</v>
      </c>
      <c r="W90" s="25">
        <v>9.7978569089999993E-7</v>
      </c>
    </row>
    <row r="91" spans="1:23" x14ac:dyDescent="0.25">
      <c r="A91" s="25">
        <v>2201518.4248066749</v>
      </c>
      <c r="B91" s="25">
        <v>3.8653724000000001E-6</v>
      </c>
      <c r="C91" s="25">
        <v>1.1320104500000001E-6</v>
      </c>
      <c r="E91" s="25">
        <v>2289178.3580375169</v>
      </c>
      <c r="F91" s="25">
        <v>3.6609369499999995E-6</v>
      </c>
      <c r="G91" s="25">
        <v>1.0892546999999999E-6</v>
      </c>
      <c r="I91" s="25">
        <v>2820558.7994825356</v>
      </c>
      <c r="J91" s="25">
        <v>4.2702710000000003E-6</v>
      </c>
      <c r="K91" s="25">
        <v>9.2739458070000014E-7</v>
      </c>
      <c r="M91" s="25">
        <v>2754148.8392659742</v>
      </c>
      <c r="N91" s="25">
        <v>7.6569946499999987E-6</v>
      </c>
      <c r="O91" s="25">
        <v>9.4825560675000023E-7</v>
      </c>
      <c r="Q91" s="25">
        <v>2355700.1243228205</v>
      </c>
      <c r="R91" s="25">
        <v>6.2166336999999998E-6</v>
      </c>
      <c r="S91" s="25">
        <v>6.3350184975000012E-7</v>
      </c>
      <c r="U91" s="25">
        <v>2746099.1297729597</v>
      </c>
      <c r="V91" s="25">
        <v>6.8749301499999986E-6</v>
      </c>
      <c r="W91" s="25">
        <v>9.7770501429999996E-7</v>
      </c>
    </row>
    <row r="92" spans="1:23" x14ac:dyDescent="0.25">
      <c r="A92" s="25">
        <v>2224541.1483051241</v>
      </c>
      <c r="B92" s="25">
        <v>3.8953178E-6</v>
      </c>
      <c r="C92" s="25">
        <v>1.1320326500000002E-6</v>
      </c>
      <c r="E92" s="25">
        <v>2315647.3946251883</v>
      </c>
      <c r="F92" s="25">
        <v>3.7015782999999999E-6</v>
      </c>
      <c r="G92" s="25">
        <v>1.0888643E-6</v>
      </c>
      <c r="I92" s="25">
        <v>2849489.5316946963</v>
      </c>
      <c r="J92" s="25">
        <v>4.3056768499999998E-6</v>
      </c>
      <c r="K92" s="25">
        <v>9.2593693925000003E-7</v>
      </c>
      <c r="M92" s="25">
        <v>2789118.8293425338</v>
      </c>
      <c r="N92" s="25">
        <v>7.7294918999999993E-6</v>
      </c>
      <c r="O92" s="25">
        <v>9.4818050240000007E-7</v>
      </c>
      <c r="Q92" s="25">
        <v>2390750.8646647031</v>
      </c>
      <c r="R92" s="25">
        <v>6.2720300999999998E-6</v>
      </c>
      <c r="S92" s="25">
        <v>6.3310464785000004E-7</v>
      </c>
      <c r="U92" s="25">
        <v>2775417.8881792482</v>
      </c>
      <c r="V92" s="25">
        <v>6.9116067499999993E-6</v>
      </c>
      <c r="W92" s="25">
        <v>9.7522875584999991E-7</v>
      </c>
    </row>
    <row r="93" spans="1:23" x14ac:dyDescent="0.25">
      <c r="A93" s="25">
        <v>2254913.0782346427</v>
      </c>
      <c r="B93" s="25">
        <v>3.9198789499999996E-6</v>
      </c>
      <c r="C93" s="25">
        <v>1.1315482E-6</v>
      </c>
      <c r="E93" s="25">
        <v>2347796.3942938112</v>
      </c>
      <c r="F93" s="25">
        <v>3.7685095999999993E-6</v>
      </c>
      <c r="G93" s="25">
        <v>1.0880379000000001E-6</v>
      </c>
      <c r="I93" s="25">
        <v>2881942.8098318242</v>
      </c>
      <c r="J93" s="25">
        <v>4.3342649500000003E-6</v>
      </c>
      <c r="K93" s="25">
        <v>9.2657203655000003E-7</v>
      </c>
      <c r="M93" s="25">
        <v>2822341.3478397238</v>
      </c>
      <c r="N93" s="25">
        <v>7.8261571499999995E-6</v>
      </c>
      <c r="O93" s="25">
        <v>9.4885498364999995E-7</v>
      </c>
      <c r="Q93" s="25">
        <v>2412178.7702614884</v>
      </c>
      <c r="R93" s="25">
        <v>6.3439828999999991E-6</v>
      </c>
      <c r="S93" s="25">
        <v>6.3107927989999992E-7</v>
      </c>
      <c r="U93" s="25">
        <v>2802698.9320489997</v>
      </c>
      <c r="V93" s="25">
        <v>6.9579813000000013E-6</v>
      </c>
      <c r="W93" s="25">
        <v>9.7153134965E-7</v>
      </c>
    </row>
    <row r="94" spans="1:23" x14ac:dyDescent="0.25">
      <c r="A94" s="25">
        <v>2288939.0828701127</v>
      </c>
      <c r="B94" s="25">
        <v>3.9625928500000001E-6</v>
      </c>
      <c r="C94" s="25">
        <v>1.1311361000000001E-6</v>
      </c>
      <c r="E94" s="25">
        <v>2382529.981479486</v>
      </c>
      <c r="F94" s="25">
        <v>3.8406044999999991E-6</v>
      </c>
      <c r="G94" s="25">
        <v>1.0876265E-6</v>
      </c>
      <c r="I94" s="25">
        <v>2915406.9961190168</v>
      </c>
      <c r="J94" s="25">
        <v>4.3726103999999999E-6</v>
      </c>
      <c r="K94" s="25">
        <v>9.2625311085000008E-7</v>
      </c>
      <c r="M94" s="25">
        <v>2857845.8586346786</v>
      </c>
      <c r="N94" s="25">
        <v>7.9247595E-6</v>
      </c>
      <c r="O94" s="25">
        <v>9.4798311074999992E-7</v>
      </c>
      <c r="Q94" s="25">
        <v>2431609.0719727492</v>
      </c>
      <c r="R94" s="25">
        <v>6.3910122999999996E-6</v>
      </c>
      <c r="S94" s="25">
        <v>6.2900592470000013E-7</v>
      </c>
      <c r="U94" s="25">
        <v>2836214.7741275579</v>
      </c>
      <c r="V94" s="25">
        <v>7.010276800000001E-6</v>
      </c>
      <c r="W94" s="25">
        <v>9.6858399845000034E-7</v>
      </c>
    </row>
    <row r="95" spans="1:23" x14ac:dyDescent="0.25">
      <c r="A95" s="25">
        <v>2321784.6982045029</v>
      </c>
      <c r="B95" s="25">
        <v>3.9884143999999995E-6</v>
      </c>
      <c r="C95" s="25">
        <v>1.1312048500000001E-6</v>
      </c>
      <c r="E95" s="25">
        <v>2410694.8343826937</v>
      </c>
      <c r="F95" s="25">
        <v>3.8832166499999996E-6</v>
      </c>
      <c r="G95" s="25">
        <v>1.0873864000000002E-6</v>
      </c>
      <c r="I95" s="25">
        <v>2948172.9262613198</v>
      </c>
      <c r="J95" s="25">
        <v>4.4082687499999993E-6</v>
      </c>
      <c r="K95" s="25">
        <v>9.264658018999999E-7</v>
      </c>
      <c r="M95" s="25">
        <v>2887059.4717439036</v>
      </c>
      <c r="N95" s="25">
        <v>8.0260195000000008E-6</v>
      </c>
      <c r="O95" s="25">
        <v>9.4710954674999993E-7</v>
      </c>
      <c r="Q95" s="25">
        <v>2452923.71136984</v>
      </c>
      <c r="R95" s="25">
        <v>6.4275541E-6</v>
      </c>
      <c r="S95" s="25">
        <v>6.2771335934999995E-7</v>
      </c>
      <c r="U95" s="25">
        <v>2869669.7889065179</v>
      </c>
      <c r="V95" s="25">
        <v>7.0606511500000009E-6</v>
      </c>
      <c r="W95" s="25">
        <v>9.669998804000003E-7</v>
      </c>
    </row>
    <row r="96" spans="1:23" x14ac:dyDescent="0.25">
      <c r="A96" s="25">
        <v>2355492.5109414211</v>
      </c>
      <c r="B96" s="25">
        <v>4.0214731499999998E-6</v>
      </c>
      <c r="C96" s="25">
        <v>1.1321874499999997E-6</v>
      </c>
      <c r="E96" s="25">
        <v>2442608.8715497665</v>
      </c>
      <c r="F96" s="25">
        <v>3.9246042999999996E-6</v>
      </c>
      <c r="G96" s="25">
        <v>1.0877047500000001E-6</v>
      </c>
      <c r="I96" s="25">
        <v>2982908.5640362226</v>
      </c>
      <c r="J96" s="25">
        <v>4.4411303499999991E-6</v>
      </c>
      <c r="K96" s="25">
        <v>9.2762437304999996E-7</v>
      </c>
      <c r="M96" s="25">
        <v>2919870.8204577123</v>
      </c>
      <c r="N96" s="25">
        <v>8.1344545499999995E-6</v>
      </c>
      <c r="O96" s="25">
        <v>9.4644406094999987E-7</v>
      </c>
      <c r="Q96" s="25">
        <v>2475546.0605270425</v>
      </c>
      <c r="R96" s="25">
        <v>6.4573885999999987E-6</v>
      </c>
      <c r="S96" s="25">
        <v>6.2692938909999994E-7</v>
      </c>
      <c r="U96" s="25">
        <v>2902293.4972576369</v>
      </c>
      <c r="V96" s="25">
        <v>7.0978819999999985E-6</v>
      </c>
      <c r="W96" s="25">
        <v>9.6550285210000037E-7</v>
      </c>
    </row>
    <row r="97" spans="1:23" x14ac:dyDescent="0.25">
      <c r="A97" s="25">
        <v>2380988.9198447415</v>
      </c>
      <c r="B97" s="25">
        <v>4.0442043000000001E-6</v>
      </c>
      <c r="C97" s="25">
        <v>1.1319109999999998E-6</v>
      </c>
      <c r="E97" s="25">
        <v>2476310.6668808078</v>
      </c>
      <c r="F97" s="25">
        <v>3.9809401499999996E-6</v>
      </c>
      <c r="G97" s="25">
        <v>1.0874377000000001E-6</v>
      </c>
      <c r="I97" s="25">
        <v>3012047.7309184996</v>
      </c>
      <c r="J97" s="25">
        <v>4.4839606999999991E-6</v>
      </c>
      <c r="K97" s="25">
        <v>9.2871316324999997E-7</v>
      </c>
      <c r="M97" s="25">
        <v>2954912.7652463638</v>
      </c>
      <c r="N97" s="25">
        <v>8.2366342999999978E-6</v>
      </c>
      <c r="O97" s="25">
        <v>9.4517569384999999E-7</v>
      </c>
      <c r="Q97" s="25">
        <v>2493699.5432599271</v>
      </c>
      <c r="R97" s="25">
        <v>6.4777636499999984E-6</v>
      </c>
      <c r="S97" s="25">
        <v>6.2676979549999994E-7</v>
      </c>
      <c r="U97" s="25">
        <v>2935606.5816708677</v>
      </c>
      <c r="V97" s="25">
        <v>7.1306000999999982E-6</v>
      </c>
      <c r="W97" s="25">
        <v>9.6475597505000049E-7</v>
      </c>
    </row>
    <row r="98" spans="1:23" x14ac:dyDescent="0.25">
      <c r="A98" s="25">
        <v>2410878.4297990366</v>
      </c>
      <c r="B98" s="25">
        <v>4.0631605999999997E-6</v>
      </c>
      <c r="C98" s="25">
        <v>1.13082055E-6</v>
      </c>
      <c r="E98" s="25">
        <v>2510421.0926493281</v>
      </c>
      <c r="F98" s="25">
        <v>4.0324656999999996E-6</v>
      </c>
      <c r="G98" s="25">
        <v>1.0861043999999999E-6</v>
      </c>
      <c r="I98" s="25">
        <v>3044761.552393273</v>
      </c>
      <c r="J98" s="25">
        <v>4.5173754999999989E-6</v>
      </c>
      <c r="K98" s="25">
        <v>9.3008898144999996E-7</v>
      </c>
      <c r="M98" s="25">
        <v>2990078.0609700293</v>
      </c>
      <c r="N98" s="25">
        <v>8.3432385999999986E-6</v>
      </c>
      <c r="O98" s="25">
        <v>9.4353057425000008E-7</v>
      </c>
      <c r="Q98" s="25">
        <v>2499702.6518437453</v>
      </c>
      <c r="R98" s="25">
        <v>6.4922052999999988E-6</v>
      </c>
      <c r="S98" s="25">
        <v>6.2692042204999998E-7</v>
      </c>
      <c r="U98" s="25">
        <v>2970156.4878425938</v>
      </c>
      <c r="V98" s="25">
        <v>7.1732544999999984E-6</v>
      </c>
      <c r="W98" s="25">
        <v>9.6492259450000003E-7</v>
      </c>
    </row>
    <row r="99" spans="1:23" x14ac:dyDescent="0.25">
      <c r="A99" s="25">
        <v>2444873.6416701307</v>
      </c>
      <c r="B99" s="25">
        <v>4.0796779999999999E-6</v>
      </c>
      <c r="C99" s="25">
        <v>1.1288125999999999E-6</v>
      </c>
      <c r="E99" s="25">
        <v>2544061.5934147476</v>
      </c>
      <c r="F99" s="25">
        <v>4.0752266499999994E-6</v>
      </c>
      <c r="G99" s="25">
        <v>1.0847884E-6</v>
      </c>
      <c r="I99" s="25">
        <v>3077642.1216041399</v>
      </c>
      <c r="J99" s="25">
        <v>4.5409617999999989E-6</v>
      </c>
      <c r="K99" s="25">
        <v>9.3128409159999968E-7</v>
      </c>
      <c r="M99" s="25">
        <v>3024287.3869473338</v>
      </c>
      <c r="N99" s="25">
        <v>8.4349048499999991E-6</v>
      </c>
      <c r="O99" s="25">
        <v>9.4223595969999994E-7</v>
      </c>
      <c r="Q99" s="25">
        <v>2526330.5056992411</v>
      </c>
      <c r="R99" s="25">
        <v>6.5053148499999988E-6</v>
      </c>
      <c r="S99" s="25">
        <v>6.2738214980000002E-7</v>
      </c>
      <c r="U99" s="25">
        <v>3004696.2561310534</v>
      </c>
      <c r="V99" s="25">
        <v>7.2166497999999999E-6</v>
      </c>
      <c r="W99" s="25">
        <v>9.6693981394999987E-7</v>
      </c>
    </row>
    <row r="100" spans="1:23" x14ac:dyDescent="0.25">
      <c r="A100" s="25">
        <v>2462507.6314027812</v>
      </c>
      <c r="B100" s="25">
        <v>4.09817215E-6</v>
      </c>
      <c r="C100" s="25">
        <v>1.1279616999999998E-6</v>
      </c>
      <c r="E100" s="25">
        <v>2577834.8990723481</v>
      </c>
      <c r="F100" s="25">
        <v>4.1355453E-6</v>
      </c>
      <c r="G100" s="25">
        <v>1.0853064500000001E-6</v>
      </c>
      <c r="I100" s="25">
        <v>3107521.2315653302</v>
      </c>
      <c r="J100" s="25">
        <v>4.5652011999999992E-6</v>
      </c>
      <c r="K100" s="25">
        <v>9.3117364200000008E-7</v>
      </c>
      <c r="M100" s="25">
        <v>3049409.8607119168</v>
      </c>
      <c r="N100" s="25">
        <v>8.5309615500000006E-6</v>
      </c>
      <c r="O100" s="25">
        <v>9.4262462940000015E-7</v>
      </c>
      <c r="Q100" s="25">
        <v>2550991.6464509475</v>
      </c>
      <c r="R100" s="25">
        <v>6.5328461499999994E-6</v>
      </c>
      <c r="S100" s="25">
        <v>6.2779750465000006E-7</v>
      </c>
      <c r="U100" s="25">
        <v>3039651.6776334331</v>
      </c>
      <c r="V100" s="25">
        <v>7.2577147500000003E-6</v>
      </c>
      <c r="W100" s="25">
        <v>9.6783205100000019E-7</v>
      </c>
    </row>
    <row r="101" spans="1:23" x14ac:dyDescent="0.25">
      <c r="A101" s="25">
        <v>2478530.1331330887</v>
      </c>
      <c r="B101" s="25">
        <v>4.1348082499999999E-6</v>
      </c>
      <c r="C101" s="25">
        <v>1.1292810499999998E-6</v>
      </c>
      <c r="E101" s="25">
        <v>2607787.510139524</v>
      </c>
      <c r="F101" s="25">
        <v>4.1827235499999999E-6</v>
      </c>
      <c r="G101" s="25">
        <v>1.0853743E-6</v>
      </c>
      <c r="I101" s="25">
        <v>3138546.7322121607</v>
      </c>
      <c r="J101" s="25">
        <v>4.5989608499999987E-6</v>
      </c>
      <c r="K101" s="25">
        <v>9.3020365740000002E-7</v>
      </c>
      <c r="M101" s="25">
        <v>3084616.2734139208</v>
      </c>
      <c r="N101" s="25">
        <v>8.6349014000000001E-6</v>
      </c>
      <c r="O101" s="25">
        <v>9.4312417220000029E-7</v>
      </c>
      <c r="Q101" s="25">
        <v>2565479.4230846227</v>
      </c>
      <c r="R101" s="25">
        <v>6.5600064499999985E-6</v>
      </c>
      <c r="S101" s="25">
        <v>6.2789279410000004E-7</v>
      </c>
      <c r="U101" s="25">
        <v>3073704.8275251081</v>
      </c>
      <c r="V101" s="25">
        <v>7.3278000499999995E-6</v>
      </c>
      <c r="W101" s="25">
        <v>9.6849620949999998E-7</v>
      </c>
    </row>
    <row r="102" spans="1:23" x14ac:dyDescent="0.25">
      <c r="A102" s="25">
        <v>2500290.353292122</v>
      </c>
      <c r="B102" s="25">
        <v>4.1727586999999998E-6</v>
      </c>
      <c r="C102" s="25">
        <v>1.1302171E-6</v>
      </c>
      <c r="E102" s="25">
        <v>2632632.2407382182</v>
      </c>
      <c r="F102" s="25">
        <v>4.2347676499999998E-6</v>
      </c>
      <c r="G102" s="25">
        <v>1.0850130999999999E-6</v>
      </c>
      <c r="I102" s="25">
        <v>3164944.9831824065</v>
      </c>
      <c r="J102" s="25">
        <v>4.6346738999999996E-6</v>
      </c>
      <c r="K102" s="25">
        <v>9.2967054855000005E-7</v>
      </c>
      <c r="M102" s="25">
        <v>3120490.8370139184</v>
      </c>
      <c r="N102" s="25">
        <v>8.7372111E-6</v>
      </c>
      <c r="O102" s="25">
        <v>9.4267481360000013E-7</v>
      </c>
      <c r="Q102" s="25">
        <v>2571214.8115600715</v>
      </c>
      <c r="R102" s="25">
        <v>6.5941266999999991E-6</v>
      </c>
      <c r="S102" s="25">
        <v>6.2793401980000007E-7</v>
      </c>
      <c r="U102" s="25">
        <v>3107950.597198843</v>
      </c>
      <c r="V102" s="25">
        <v>7.3983178499999993E-6</v>
      </c>
      <c r="W102" s="25">
        <v>9.6850079675000008E-7</v>
      </c>
    </row>
    <row r="103" spans="1:23" x14ac:dyDescent="0.25">
      <c r="A103" s="25">
        <v>2530723.8687503929</v>
      </c>
      <c r="B103" s="25">
        <v>4.2093435999999994E-6</v>
      </c>
      <c r="C103" s="25">
        <v>1.1293111E-6</v>
      </c>
      <c r="E103" s="25">
        <v>2667713.1637957497</v>
      </c>
      <c r="F103" s="25">
        <v>4.2657742500000003E-6</v>
      </c>
      <c r="G103" s="25">
        <v>1.0839731999999999E-6</v>
      </c>
      <c r="I103" s="25">
        <v>3196189.3402328589</v>
      </c>
      <c r="J103" s="25">
        <v>4.6836221499999996E-6</v>
      </c>
      <c r="K103" s="25">
        <v>9.2824139130000019E-7</v>
      </c>
      <c r="M103" s="25">
        <v>3153579.72533151</v>
      </c>
      <c r="N103" s="25">
        <v>8.8355965500000001E-6</v>
      </c>
      <c r="O103" s="25">
        <v>9.4213650075000014E-7</v>
      </c>
      <c r="Q103" s="25">
        <v>2584642.0046875142</v>
      </c>
      <c r="R103" s="25">
        <v>6.6151498999999997E-6</v>
      </c>
      <c r="S103" s="25">
        <v>6.2840290980000013E-7</v>
      </c>
      <c r="U103" s="25">
        <v>3141871.9546080553</v>
      </c>
      <c r="V103" s="25">
        <v>7.4564942999999989E-6</v>
      </c>
      <c r="W103" s="25">
        <v>9.686855435500002E-7</v>
      </c>
    </row>
    <row r="104" spans="1:23" x14ac:dyDescent="0.25">
      <c r="A104" s="25">
        <v>2560428.6221184321</v>
      </c>
      <c r="B104" s="25">
        <v>4.219714999999999E-6</v>
      </c>
      <c r="C104" s="25">
        <v>1.1257686500000001E-6</v>
      </c>
      <c r="E104" s="25">
        <v>2700342.3042284101</v>
      </c>
      <c r="F104" s="25">
        <v>4.3140459000000006E-6</v>
      </c>
      <c r="G104" s="25">
        <v>1.0837685999999999E-6</v>
      </c>
      <c r="I104" s="25">
        <v>3231612.8124191463</v>
      </c>
      <c r="J104" s="25">
        <v>4.7329217000000004E-6</v>
      </c>
      <c r="K104" s="25">
        <v>9.2745463005000011E-7</v>
      </c>
      <c r="M104" s="25">
        <v>3185137.0062060067</v>
      </c>
      <c r="N104" s="25">
        <v>8.9252051000000025E-6</v>
      </c>
      <c r="O104" s="25">
        <v>9.4056036635E-7</v>
      </c>
      <c r="Q104" s="25">
        <v>2617880.4858342819</v>
      </c>
      <c r="R104" s="25">
        <v>6.6660450499999991E-6</v>
      </c>
      <c r="S104" s="25">
        <v>6.2935668270000015E-7</v>
      </c>
      <c r="U104" s="25">
        <v>3176300.2061805851</v>
      </c>
      <c r="V104" s="25">
        <v>7.5268851500000013E-6</v>
      </c>
      <c r="W104" s="25">
        <v>9.690201920999998E-7</v>
      </c>
    </row>
    <row r="105" spans="1:23" x14ac:dyDescent="0.25">
      <c r="A105" s="25">
        <v>2584426.4498221213</v>
      </c>
      <c r="B105" s="25">
        <v>4.2363973999999988E-6</v>
      </c>
      <c r="C105" s="25">
        <v>1.1237951500000001E-6</v>
      </c>
      <c r="E105" s="25">
        <v>2724175.6744943452</v>
      </c>
      <c r="F105" s="25">
        <v>4.3590684000000009E-6</v>
      </c>
      <c r="G105" s="25">
        <v>1.0835192999999998E-6</v>
      </c>
      <c r="I105" s="25">
        <v>3267599.0582147478</v>
      </c>
      <c r="J105" s="25">
        <v>4.7743922000000001E-6</v>
      </c>
      <c r="K105" s="25">
        <v>9.2818382880000013E-7</v>
      </c>
      <c r="M105" s="25">
        <v>3215933.6229812484</v>
      </c>
      <c r="N105" s="25">
        <v>9.015217150000002E-6</v>
      </c>
      <c r="O105" s="25">
        <v>9.3810144509999977E-7</v>
      </c>
      <c r="Q105" s="25">
        <v>2651613.219488808</v>
      </c>
      <c r="R105" s="25">
        <v>6.7177876000000011E-6</v>
      </c>
      <c r="S105" s="25">
        <v>6.3046280165000016E-7</v>
      </c>
      <c r="U105" s="25">
        <v>3211478.6611148245</v>
      </c>
      <c r="V105" s="25">
        <v>7.6111395000000013E-6</v>
      </c>
      <c r="W105" s="25">
        <v>9.6915671865000004E-7</v>
      </c>
    </row>
    <row r="106" spans="1:23" x14ac:dyDescent="0.25">
      <c r="A106" s="25">
        <v>2605119.1874827868</v>
      </c>
      <c r="B106" s="25">
        <v>4.2663165000000003E-6</v>
      </c>
      <c r="C106" s="25">
        <v>1.1228989500000001E-6</v>
      </c>
      <c r="E106" s="25">
        <v>2755578.9236145699</v>
      </c>
      <c r="F106" s="25">
        <v>4.3822117999999998E-6</v>
      </c>
      <c r="G106" s="25">
        <v>1.0833456499999996E-6</v>
      </c>
      <c r="I106" s="25">
        <v>3303220.5433376455</v>
      </c>
      <c r="J106" s="25">
        <v>4.80978475E-6</v>
      </c>
      <c r="K106" s="25">
        <v>9.2936073770000002E-7</v>
      </c>
      <c r="M106" s="25">
        <v>3249186.9792121919</v>
      </c>
      <c r="N106" s="25">
        <v>9.0883574500000022E-6</v>
      </c>
      <c r="O106" s="25">
        <v>9.3433264399999993E-7</v>
      </c>
      <c r="Q106" s="25">
        <v>2682205.390333618</v>
      </c>
      <c r="R106" s="25">
        <v>6.7539581500000009E-6</v>
      </c>
      <c r="S106" s="25">
        <v>6.3069573744999996E-7</v>
      </c>
      <c r="U106" s="25">
        <v>3243189.9599719723</v>
      </c>
      <c r="V106" s="25">
        <v>7.6957050000000002E-6</v>
      </c>
      <c r="W106" s="25">
        <v>9.6766135014999984E-7</v>
      </c>
    </row>
    <row r="107" spans="1:23" x14ac:dyDescent="0.25">
      <c r="A107" s="25">
        <v>2637934.0100528011</v>
      </c>
      <c r="B107" s="25">
        <v>4.2895901500000005E-6</v>
      </c>
      <c r="C107" s="25">
        <v>1.1253427999999999E-6</v>
      </c>
      <c r="E107" s="25">
        <v>2788310.2216566</v>
      </c>
      <c r="F107" s="25">
        <v>4.3975327999999994E-6</v>
      </c>
      <c r="G107" s="25">
        <v>1.0831388999999999E-6</v>
      </c>
      <c r="I107" s="25">
        <v>3339425.6455368693</v>
      </c>
      <c r="J107" s="25">
        <v>4.8437938999999996E-6</v>
      </c>
      <c r="K107" s="25">
        <v>9.2962081340000005E-7</v>
      </c>
      <c r="M107" s="25">
        <v>3283601.8900811872</v>
      </c>
      <c r="N107" s="25">
        <v>9.2097173500000014E-6</v>
      </c>
      <c r="O107" s="25">
        <v>9.335423328999999E-7</v>
      </c>
      <c r="Q107" s="25">
        <v>2715176.1513720164</v>
      </c>
      <c r="R107" s="25">
        <v>6.7941284499999995E-6</v>
      </c>
      <c r="S107" s="25">
        <v>6.3054590385E-7</v>
      </c>
      <c r="U107" s="25">
        <v>3271444.2406352935</v>
      </c>
      <c r="V107" s="25">
        <v>7.7720905499999995E-6</v>
      </c>
      <c r="W107" s="25">
        <v>9.6621478745000014E-7</v>
      </c>
    </row>
    <row r="108" spans="1:23" x14ac:dyDescent="0.25">
      <c r="A108" s="25">
        <v>2664477.3729449054</v>
      </c>
      <c r="B108" s="25">
        <v>4.31409015E-6</v>
      </c>
      <c r="C108" s="25">
        <v>1.1254490999999999E-6</v>
      </c>
      <c r="E108" s="25">
        <v>2823615.8914547446</v>
      </c>
      <c r="F108" s="25">
        <v>4.4417910999999999E-6</v>
      </c>
      <c r="G108" s="25">
        <v>1.0822926499999998E-6</v>
      </c>
      <c r="I108" s="25">
        <v>3369179.6946959896</v>
      </c>
      <c r="J108" s="25">
        <v>4.8800451000000004E-6</v>
      </c>
      <c r="K108" s="25">
        <v>9.2841434309999988E-7</v>
      </c>
      <c r="M108" s="25">
        <v>3309721.4505704693</v>
      </c>
      <c r="N108" s="25">
        <v>9.323232600000003E-6</v>
      </c>
      <c r="O108" s="25">
        <v>9.3413318329999998E-7</v>
      </c>
      <c r="Q108" s="25">
        <v>2746890.6872865283</v>
      </c>
      <c r="R108" s="25">
        <v>6.8538629500000002E-6</v>
      </c>
      <c r="S108" s="25">
        <v>6.3065748464999994E-7</v>
      </c>
      <c r="U108" s="25">
        <v>3305466.9768771692</v>
      </c>
      <c r="V108" s="25">
        <v>7.8506126500000006E-6</v>
      </c>
      <c r="W108" s="25">
        <v>9.6488448660000014E-7</v>
      </c>
    </row>
    <row r="109" spans="1:23" x14ac:dyDescent="0.25">
      <c r="A109" s="25">
        <v>2684195.0064003314</v>
      </c>
      <c r="B109" s="25">
        <v>4.3542175999999992E-6</v>
      </c>
      <c r="C109" s="25">
        <v>1.12470385E-6</v>
      </c>
      <c r="E109" s="25">
        <v>2856786.467217064</v>
      </c>
      <c r="F109" s="25">
        <v>4.4937872000000002E-6</v>
      </c>
      <c r="G109" s="25">
        <v>1.0814449E-6</v>
      </c>
      <c r="I109" s="25">
        <v>3401997.7335058218</v>
      </c>
      <c r="J109" s="25">
        <v>4.9176189499999996E-6</v>
      </c>
      <c r="K109" s="25">
        <v>9.2738431194999992E-7</v>
      </c>
      <c r="M109" s="25">
        <v>3338513.6146517284</v>
      </c>
      <c r="N109" s="25">
        <v>9.4420870500000026E-6</v>
      </c>
      <c r="O109" s="25">
        <v>9.3315438225E-7</v>
      </c>
      <c r="Q109" s="25">
        <v>2765178.0300735976</v>
      </c>
      <c r="R109" s="25">
        <v>6.9192667500000015E-6</v>
      </c>
      <c r="S109" s="25">
        <v>6.3056812395E-7</v>
      </c>
      <c r="U109" s="25">
        <v>3339428.8858194468</v>
      </c>
      <c r="V109" s="25">
        <v>7.9128899500000003E-6</v>
      </c>
      <c r="W109" s="25">
        <v>9.6388240535000017E-7</v>
      </c>
    </row>
    <row r="110" spans="1:23" x14ac:dyDescent="0.25">
      <c r="A110" s="25">
        <v>2717050.8859895137</v>
      </c>
      <c r="B110" s="25">
        <v>4.4003166500000001E-6</v>
      </c>
      <c r="C110" s="25">
        <v>1.1219008499999999E-6</v>
      </c>
      <c r="E110" s="25">
        <v>2888608.5625357046</v>
      </c>
      <c r="F110" s="25">
        <v>4.5254106000000011E-6</v>
      </c>
      <c r="G110" s="25">
        <v>1.0810884499999999E-6</v>
      </c>
      <c r="I110" s="25">
        <v>3433419.2600258733</v>
      </c>
      <c r="J110" s="25">
        <v>4.9587789499999991E-6</v>
      </c>
      <c r="K110" s="25">
        <v>9.2718218244999996E-7</v>
      </c>
      <c r="M110" s="25">
        <v>3374891.8612363683</v>
      </c>
      <c r="N110" s="25">
        <v>9.5271502499999998E-6</v>
      </c>
      <c r="O110" s="25">
        <v>9.3173755714999988E-7</v>
      </c>
      <c r="Q110" s="25">
        <v>2791177.7713671504</v>
      </c>
      <c r="R110" s="25">
        <v>6.9684285000000022E-6</v>
      </c>
      <c r="S110" s="25">
        <v>6.3134748984999989E-7</v>
      </c>
      <c r="U110" s="25">
        <v>3367226.9617357827</v>
      </c>
      <c r="V110" s="25">
        <v>7.9841675000000017E-6</v>
      </c>
      <c r="W110" s="25">
        <v>9.6376701320000001E-7</v>
      </c>
    </row>
    <row r="111" spans="1:23" x14ac:dyDescent="0.25">
      <c r="A111" s="25">
        <v>2747997.6141873845</v>
      </c>
      <c r="B111" s="25">
        <v>4.4350720999999984E-6</v>
      </c>
      <c r="C111" s="25">
        <v>1.1198537999999998E-6</v>
      </c>
      <c r="E111" s="25">
        <v>2918029.9540341585</v>
      </c>
      <c r="F111" s="25">
        <v>4.5792303499999995E-6</v>
      </c>
      <c r="G111" s="25">
        <v>1.0809711000000001E-6</v>
      </c>
      <c r="I111" s="25">
        <v>3460453.236739974</v>
      </c>
      <c r="J111" s="25">
        <v>4.9990617500000005E-6</v>
      </c>
      <c r="K111" s="25">
        <v>9.2687718055000008E-7</v>
      </c>
      <c r="M111" s="25">
        <v>3405441.7761415816</v>
      </c>
      <c r="N111" s="25">
        <v>9.6321595500000024E-6</v>
      </c>
      <c r="O111" s="25">
        <v>9.2837062479999999E-7</v>
      </c>
      <c r="Q111" s="25">
        <v>2806427.5206169533</v>
      </c>
      <c r="R111" s="25">
        <v>7.0144958500000003E-6</v>
      </c>
      <c r="S111" s="25">
        <v>6.3156631429999981E-7</v>
      </c>
      <c r="U111" s="25">
        <v>3401036.8024290646</v>
      </c>
      <c r="V111" s="25">
        <v>8.0691169500000011E-6</v>
      </c>
      <c r="W111" s="25">
        <v>9.6525389205000006E-7</v>
      </c>
    </row>
    <row r="112" spans="1:23" x14ac:dyDescent="0.25">
      <c r="A112" s="25">
        <v>2766575.9153608992</v>
      </c>
      <c r="B112" s="25">
        <v>4.4396314999999985E-6</v>
      </c>
      <c r="C112" s="25">
        <v>1.1183363999999999E-6</v>
      </c>
      <c r="E112" s="25">
        <v>2947757.8183607212</v>
      </c>
      <c r="F112" s="25">
        <v>4.626973599999999E-6</v>
      </c>
      <c r="G112" s="25">
        <v>1.0814873500000002E-6</v>
      </c>
      <c r="I112" s="25">
        <v>3487195.4049159121</v>
      </c>
      <c r="J112" s="25">
        <v>5.0296916999999994E-6</v>
      </c>
      <c r="K112" s="25">
        <v>9.2622344995000003E-7</v>
      </c>
      <c r="M112" s="25">
        <v>3443711.4037297741</v>
      </c>
      <c r="N112" s="25">
        <v>9.7693965500000013E-6</v>
      </c>
      <c r="O112" s="25">
        <v>9.2683484065000009E-7</v>
      </c>
      <c r="Q112" s="25">
        <v>2842137.264302514</v>
      </c>
      <c r="R112" s="25">
        <v>7.064197100000001E-6</v>
      </c>
      <c r="S112" s="25">
        <v>6.3178553950000004E-7</v>
      </c>
      <c r="U112" s="25">
        <v>3430223.7683528909</v>
      </c>
      <c r="V112" s="25">
        <v>8.1655550000000022E-6</v>
      </c>
      <c r="W112" s="25">
        <v>9.6625243194999985E-7</v>
      </c>
    </row>
    <row r="113" spans="1:23" x14ac:dyDescent="0.25">
      <c r="A113" s="25">
        <v>2799821.8366321772</v>
      </c>
      <c r="B113" s="25">
        <v>4.4637474999999992E-6</v>
      </c>
      <c r="C113" s="25">
        <v>1.1191890999999999E-6</v>
      </c>
      <c r="E113" s="25">
        <v>2977220.072902923</v>
      </c>
      <c r="F113" s="25">
        <v>4.6695031500000006E-6</v>
      </c>
      <c r="G113" s="25">
        <v>1.0813500500000002E-6</v>
      </c>
      <c r="I113" s="25">
        <v>3517856.1448900388</v>
      </c>
      <c r="J113" s="25">
        <v>5.0758949999999996E-6</v>
      </c>
      <c r="K113" s="25">
        <v>9.2450911500000003E-7</v>
      </c>
      <c r="M113" s="25">
        <v>3472914.737594414</v>
      </c>
      <c r="N113" s="25">
        <v>9.866565600000002E-6</v>
      </c>
      <c r="O113" s="25">
        <v>9.2396563500000014E-7</v>
      </c>
      <c r="Q113" s="25">
        <v>2868497.3980496405</v>
      </c>
      <c r="R113" s="25">
        <v>7.1005905500000001E-6</v>
      </c>
      <c r="S113" s="25">
        <v>6.3267318359999994E-7</v>
      </c>
      <c r="U113" s="25">
        <v>3460485.3499029498</v>
      </c>
      <c r="V113" s="25">
        <v>8.2585594000000018E-6</v>
      </c>
      <c r="W113" s="25">
        <v>9.6777901315000008E-7</v>
      </c>
    </row>
    <row r="114" spans="1:23" x14ac:dyDescent="0.25">
      <c r="A114" s="25">
        <v>2812703.4763961337</v>
      </c>
      <c r="B114" s="25">
        <v>4.4914999999999984E-6</v>
      </c>
      <c r="C114" s="25">
        <v>1.1189473499999998E-6</v>
      </c>
      <c r="E114" s="25">
        <v>3009665.3296387177</v>
      </c>
      <c r="F114" s="25">
        <v>4.7094659499999999E-6</v>
      </c>
      <c r="G114" s="25">
        <v>1.0807249E-6</v>
      </c>
      <c r="I114" s="25">
        <v>3547526.8201811127</v>
      </c>
      <c r="J114" s="25">
        <v>5.1114901500000002E-6</v>
      </c>
      <c r="K114" s="25">
        <v>9.2535565560000006E-7</v>
      </c>
      <c r="M114" s="25">
        <v>3504492.5769580803</v>
      </c>
      <c r="N114" s="25">
        <v>9.9715084999999992E-6</v>
      </c>
      <c r="O114" s="25">
        <v>9.2216272090000015E-7</v>
      </c>
      <c r="Q114" s="25">
        <v>2881893.7003953485</v>
      </c>
      <c r="R114" s="25">
        <v>7.141504749999999E-6</v>
      </c>
      <c r="S114" s="25">
        <v>6.3360396334999998E-7</v>
      </c>
      <c r="U114" s="25">
        <v>3494518.2240280919</v>
      </c>
      <c r="V114" s="25">
        <v>8.3478584499999991E-6</v>
      </c>
      <c r="W114" s="25">
        <v>9.6919408175000002E-7</v>
      </c>
    </row>
    <row r="115" spans="1:23" x14ac:dyDescent="0.25">
      <c r="A115" s="25">
        <v>2834792.1527085109</v>
      </c>
      <c r="B115" s="25">
        <v>4.5253033499999993E-6</v>
      </c>
      <c r="C115" s="25">
        <v>1.1180414E-6</v>
      </c>
      <c r="E115" s="25">
        <v>3032078.7091344153</v>
      </c>
      <c r="F115" s="25">
        <v>4.7720320000000003E-6</v>
      </c>
      <c r="G115" s="25">
        <v>1.0807081999999998E-6</v>
      </c>
      <c r="I115" s="25">
        <v>3581970.6494178525</v>
      </c>
      <c r="J115" s="25">
        <v>5.1454732500000003E-6</v>
      </c>
      <c r="K115" s="25">
        <v>9.2510104825000001E-7</v>
      </c>
      <c r="M115" s="25">
        <v>3536060.1370771611</v>
      </c>
      <c r="N115" s="25">
        <v>1.0081080299999999E-5</v>
      </c>
      <c r="O115" s="25">
        <v>9.2110132070000018E-7</v>
      </c>
      <c r="Q115" s="25">
        <v>2916409.0005204924</v>
      </c>
      <c r="R115" s="25">
        <v>7.1844934999999976E-6</v>
      </c>
      <c r="S115" s="25">
        <v>6.3498218889999996E-7</v>
      </c>
      <c r="U115" s="25">
        <v>3529311.43939821</v>
      </c>
      <c r="V115" s="25">
        <v>8.4320867499999989E-6</v>
      </c>
      <c r="W115" s="25">
        <v>9.6901748629999987E-7</v>
      </c>
    </row>
    <row r="116" spans="1:23" x14ac:dyDescent="0.25">
      <c r="A116" s="25">
        <v>2868705.2505412688</v>
      </c>
      <c r="B116" s="25">
        <v>4.5632759999999985E-6</v>
      </c>
      <c r="C116" s="25">
        <v>1.1140618499999999E-6</v>
      </c>
      <c r="E116" s="25">
        <v>3064472.8870655252</v>
      </c>
      <c r="F116" s="25">
        <v>4.8399040999999992E-6</v>
      </c>
      <c r="G116" s="25">
        <v>1.0807067E-6</v>
      </c>
      <c r="I116" s="25">
        <v>3616820.9262613198</v>
      </c>
      <c r="J116" s="25">
        <v>5.1891730499999997E-6</v>
      </c>
      <c r="K116" s="25">
        <v>9.2468754364999989E-7</v>
      </c>
      <c r="M116" s="25">
        <v>3567864.1198216868</v>
      </c>
      <c r="N116" s="25">
        <v>1.0189801599999998E-5</v>
      </c>
      <c r="O116" s="25">
        <v>9.2064315989999992E-7</v>
      </c>
      <c r="Q116" s="25">
        <v>2921928.1535237972</v>
      </c>
      <c r="R116" s="25">
        <v>7.2398283999999994E-6</v>
      </c>
      <c r="S116" s="25">
        <v>6.3637352824999993E-7</v>
      </c>
      <c r="U116" s="25">
        <v>3560444.8789091757</v>
      </c>
      <c r="V116" s="25">
        <v>8.5202087999999982E-6</v>
      </c>
      <c r="W116" s="25">
        <v>9.6846405024999982E-7</v>
      </c>
    </row>
    <row r="117" spans="1:23" x14ac:dyDescent="0.25">
      <c r="A117" s="25">
        <v>2900473.1191224996</v>
      </c>
      <c r="B117" s="25">
        <v>4.590021299999999E-6</v>
      </c>
      <c r="C117" s="25">
        <v>1.1122890000000003E-6</v>
      </c>
      <c r="E117" s="25">
        <v>3095549.2318357672</v>
      </c>
      <c r="F117" s="25">
        <v>4.9098031499999989E-6</v>
      </c>
      <c r="G117" s="25">
        <v>1.0806010999999998E-6</v>
      </c>
      <c r="I117" s="25">
        <v>3642385.4385510995</v>
      </c>
      <c r="J117" s="25">
        <v>5.24205715E-6</v>
      </c>
      <c r="K117" s="25">
        <v>9.2465911624999991E-7</v>
      </c>
      <c r="M117" s="25">
        <v>3603214.4419478737</v>
      </c>
      <c r="N117" s="25">
        <v>1.0299819149999999E-5</v>
      </c>
      <c r="O117" s="25">
        <v>9.2070468150000023E-7</v>
      </c>
      <c r="Q117" s="25">
        <v>2950430.0481378781</v>
      </c>
      <c r="R117" s="25">
        <v>7.2803735000000006E-6</v>
      </c>
      <c r="S117" s="25">
        <v>6.3721946635000006E-7</v>
      </c>
      <c r="U117" s="25">
        <v>3592957.0705443649</v>
      </c>
      <c r="V117" s="25">
        <v>8.6240658500000006E-6</v>
      </c>
      <c r="W117" s="25">
        <v>9.6704704614999979E-7</v>
      </c>
    </row>
    <row r="118" spans="1:23" x14ac:dyDescent="0.25">
      <c r="A118" s="25">
        <v>2930875.8418163946</v>
      </c>
      <c r="B118" s="25">
        <v>4.6213765499999993E-6</v>
      </c>
      <c r="C118" s="25">
        <v>1.1123565000000003E-6</v>
      </c>
      <c r="E118" s="25">
        <v>3119995.5477579199</v>
      </c>
      <c r="F118" s="25">
        <v>4.9557570999999999E-6</v>
      </c>
      <c r="G118" s="25">
        <v>1.08080295E-6</v>
      </c>
      <c r="I118" s="25">
        <v>3672889.8525226391</v>
      </c>
      <c r="J118" s="25">
        <v>5.3089524500000004E-6</v>
      </c>
      <c r="K118" s="25">
        <v>9.230534459999999E-7</v>
      </c>
      <c r="M118" s="25">
        <v>3639294.5904395622</v>
      </c>
      <c r="N118" s="25">
        <v>1.0391737049999998E-5</v>
      </c>
      <c r="O118" s="25">
        <v>9.2173272600000002E-7</v>
      </c>
      <c r="Q118" s="25">
        <v>2978283.2363355258</v>
      </c>
      <c r="R118" s="25">
        <v>7.3367960500000005E-6</v>
      </c>
      <c r="S118" s="25">
        <v>6.3788891125000005E-7</v>
      </c>
      <c r="U118" s="25">
        <v>3625428.7106464887</v>
      </c>
      <c r="V118" s="25">
        <v>8.7197766499999989E-6</v>
      </c>
      <c r="W118" s="25">
        <v>9.6581119915E-7</v>
      </c>
    </row>
    <row r="119" spans="1:23" x14ac:dyDescent="0.25">
      <c r="A119" s="25">
        <v>2960570.3309296416</v>
      </c>
      <c r="B119" s="25">
        <v>4.6531554999999997E-6</v>
      </c>
      <c r="C119" s="25">
        <v>1.1130932000000003E-6</v>
      </c>
      <c r="E119" s="25">
        <v>3149519.0968657434</v>
      </c>
      <c r="F119" s="25">
        <v>5.0006113000000008E-6</v>
      </c>
      <c r="G119" s="25">
        <v>1.0812408999999998E-6</v>
      </c>
      <c r="I119" s="25">
        <v>3701956.0672703753</v>
      </c>
      <c r="J119" s="25">
        <v>5.3663130000000003E-6</v>
      </c>
      <c r="K119" s="25">
        <v>9.2240794065000001E-7</v>
      </c>
      <c r="M119" s="25">
        <v>3667850.3318953775</v>
      </c>
      <c r="N119" s="25">
        <v>1.0502496699999998E-5</v>
      </c>
      <c r="O119" s="25">
        <v>9.2263162790000006E-7</v>
      </c>
      <c r="Q119" s="25">
        <v>3006249.6907328679</v>
      </c>
      <c r="R119" s="25">
        <v>7.3880791000000005E-6</v>
      </c>
      <c r="S119" s="25">
        <v>6.3850507114999998E-7</v>
      </c>
      <c r="U119" s="25">
        <v>3652638.7893333761</v>
      </c>
      <c r="V119" s="25">
        <v>8.8221116999999994E-6</v>
      </c>
      <c r="W119" s="25">
        <v>9.6338481504999976E-7</v>
      </c>
    </row>
    <row r="120" spans="1:23" x14ac:dyDescent="0.25">
      <c r="A120" s="25">
        <v>2988992.0524486811</v>
      </c>
      <c r="B120" s="25">
        <v>4.6829471499999998E-6</v>
      </c>
      <c r="C120" s="25">
        <v>1.1134540000000004E-6</v>
      </c>
      <c r="E120" s="25">
        <v>3182097.1584937191</v>
      </c>
      <c r="F120" s="25">
        <v>5.03780325E-6</v>
      </c>
      <c r="G120" s="25">
        <v>1.0810512500000001E-6</v>
      </c>
      <c r="I120" s="25">
        <v>3737577.552393273</v>
      </c>
      <c r="J120" s="25">
        <v>5.4208506000000004E-6</v>
      </c>
      <c r="K120" s="25">
        <v>9.2215952920000002E-7</v>
      </c>
      <c r="M120" s="25">
        <v>3701113.9673709054</v>
      </c>
      <c r="N120" s="25">
        <v>1.060299925E-5</v>
      </c>
      <c r="O120" s="25">
        <v>9.2459192434999998E-7</v>
      </c>
      <c r="Q120" s="25">
        <v>3035050.1962370528</v>
      </c>
      <c r="R120" s="25">
        <v>7.4261202499999986E-6</v>
      </c>
      <c r="S120" s="25">
        <v>6.3947493640000009E-7</v>
      </c>
      <c r="U120" s="25">
        <v>3680741.0017477022</v>
      </c>
      <c r="V120" s="25">
        <v>8.9166121000000014E-6</v>
      </c>
      <c r="W120" s="25">
        <v>9.6115925875000005E-7</v>
      </c>
    </row>
    <row r="121" spans="1:23" x14ac:dyDescent="0.25">
      <c r="A121" s="25">
        <v>3004491.0771845966</v>
      </c>
      <c r="B121" s="25">
        <v>4.7019813999999995E-6</v>
      </c>
      <c r="C121" s="25">
        <v>1.1112196500000004E-6</v>
      </c>
      <c r="E121" s="25">
        <v>3213725.1543545569</v>
      </c>
      <c r="F121" s="25">
        <v>5.1058911E-6</v>
      </c>
      <c r="G121" s="25">
        <v>1.0812084500000003E-6</v>
      </c>
      <c r="I121" s="25">
        <v>3770176.7347994829</v>
      </c>
      <c r="J121" s="25">
        <v>5.4665984500000013E-6</v>
      </c>
      <c r="K121" s="25">
        <v>9.2316782910000006E-7</v>
      </c>
      <c r="M121" s="25">
        <v>3736402.6140295854</v>
      </c>
      <c r="N121" s="25">
        <v>1.0701589899999997E-5</v>
      </c>
      <c r="O121" s="25">
        <v>9.2509164904999986E-7</v>
      </c>
      <c r="Q121" s="25">
        <v>3062553.2889083717</v>
      </c>
      <c r="R121" s="25">
        <v>7.4782815499999985E-6</v>
      </c>
      <c r="S121" s="25">
        <v>6.4027846645000008E-7</v>
      </c>
      <c r="U121" s="25">
        <v>3713820.9148458075</v>
      </c>
      <c r="V121" s="25">
        <v>8.9785723000000006E-6</v>
      </c>
      <c r="W121" s="25">
        <v>9.5982670975000015E-7</v>
      </c>
    </row>
    <row r="122" spans="1:23" x14ac:dyDescent="0.25">
      <c r="A122" s="25">
        <v>3034349.7943745158</v>
      </c>
      <c r="B122" s="25">
        <v>4.7169750499999998E-6</v>
      </c>
      <c r="C122" s="25">
        <v>1.1086579500000004E-6</v>
      </c>
      <c r="E122" s="25">
        <v>3246824.2197903176</v>
      </c>
      <c r="F122" s="25">
        <v>5.1559745000000005E-6</v>
      </c>
      <c r="G122" s="25">
        <v>1.0809185500000001E-6</v>
      </c>
      <c r="I122" s="25">
        <v>3802786.3389391978</v>
      </c>
      <c r="J122" s="25">
        <v>5.5112795500000006E-6</v>
      </c>
      <c r="K122" s="25">
        <v>9.2380721525000005E-7</v>
      </c>
      <c r="M122" s="25">
        <v>3770252.1664464315</v>
      </c>
      <c r="N122" s="25">
        <v>1.0764753649999998E-5</v>
      </c>
      <c r="O122" s="25">
        <v>9.2548934269999995E-7</v>
      </c>
      <c r="Q122" s="25">
        <v>3088810.4533830485</v>
      </c>
      <c r="R122" s="25">
        <v>7.5260561000000002E-6</v>
      </c>
      <c r="S122" s="25">
        <v>6.4063474679999996E-7</v>
      </c>
      <c r="U122" s="25">
        <v>3746008.694216473</v>
      </c>
      <c r="V122" s="25">
        <v>9.0385903500000001E-6</v>
      </c>
      <c r="W122" s="25">
        <v>9.5923271875000019E-7</v>
      </c>
    </row>
    <row r="123" spans="1:23" x14ac:dyDescent="0.25">
      <c r="A123" s="25">
        <v>3051101.0581950545</v>
      </c>
      <c r="B123" s="25">
        <v>4.7357845000000006E-6</v>
      </c>
      <c r="C123" s="25">
        <v>1.1079517500000003E-6</v>
      </c>
      <c r="E123" s="25">
        <v>3278860.8460886343</v>
      </c>
      <c r="F123" s="25">
        <v>5.2194527500000005E-6</v>
      </c>
      <c r="G123" s="25">
        <v>1.0807329500000002E-6</v>
      </c>
      <c r="I123" s="25">
        <v>3836490.2250970248</v>
      </c>
      <c r="J123" s="25">
        <v>5.5524016000000003E-6</v>
      </c>
      <c r="K123" s="25">
        <v>9.2409583770000011E-7</v>
      </c>
      <c r="M123" s="25">
        <v>3805417.462170097</v>
      </c>
      <c r="N123" s="25">
        <v>1.0858501649999998E-5</v>
      </c>
      <c r="O123" s="25">
        <v>9.2453308574999987E-7</v>
      </c>
      <c r="Q123" s="25">
        <v>3121132.5080050137</v>
      </c>
      <c r="R123" s="25">
        <v>7.5785222999999995E-6</v>
      </c>
      <c r="S123" s="25">
        <v>6.4082358629999999E-7</v>
      </c>
      <c r="U123" s="25">
        <v>3779453.5711121666</v>
      </c>
      <c r="V123" s="25">
        <v>9.1266572000000025E-6</v>
      </c>
      <c r="W123" s="25">
        <v>9.5944867825000013E-7</v>
      </c>
    </row>
    <row r="124" spans="1:23" x14ac:dyDescent="0.25">
      <c r="A124" s="25">
        <v>3080272.07031391</v>
      </c>
      <c r="B124" s="25">
        <v>4.7815808999999998E-6</v>
      </c>
      <c r="C124" s="25">
        <v>1.1100102000000001E-6</v>
      </c>
      <c r="E124" s="25">
        <v>3311806.6751103406</v>
      </c>
      <c r="F124" s="25">
        <v>5.2605864500000007E-6</v>
      </c>
      <c r="G124" s="25">
        <v>1.0799935500000001E-6</v>
      </c>
      <c r="I124" s="25">
        <v>3867619.9430789133</v>
      </c>
      <c r="J124" s="25">
        <v>5.5856242000000001E-6</v>
      </c>
      <c r="K124" s="25">
        <v>9.2542829860000014E-7</v>
      </c>
      <c r="M124" s="25">
        <v>3837087.8147350238</v>
      </c>
      <c r="N124" s="25">
        <v>1.0945480099999999E-5</v>
      </c>
      <c r="O124" s="25">
        <v>9.2524328174999985E-7</v>
      </c>
      <c r="Q124" s="25">
        <v>3139934.6971543315</v>
      </c>
      <c r="R124" s="25">
        <v>7.6280998999999999E-6</v>
      </c>
      <c r="S124" s="25">
        <v>6.4040251580000002E-7</v>
      </c>
      <c r="U124" s="25">
        <v>3806805.5801647832</v>
      </c>
      <c r="V124" s="25">
        <v>9.1969971500000028E-6</v>
      </c>
      <c r="W124" s="25">
        <v>9.5902960015000007E-7</v>
      </c>
    </row>
    <row r="125" spans="1:23" x14ac:dyDescent="0.25">
      <c r="A125" s="25">
        <v>3111003.2491611489</v>
      </c>
      <c r="B125" s="25">
        <v>4.8240410000000004E-6</v>
      </c>
      <c r="C125" s="25">
        <v>1.1109010500000002E-6</v>
      </c>
      <c r="E125" s="25">
        <v>3345345.0182663905</v>
      </c>
      <c r="F125" s="25">
        <v>5.3001605000000008E-6</v>
      </c>
      <c r="G125" s="25">
        <v>1.07985155E-6</v>
      </c>
      <c r="I125" s="25">
        <v>3896779.9534282018</v>
      </c>
      <c r="J125" s="25">
        <v>5.6304622000000007E-6</v>
      </c>
      <c r="K125" s="25">
        <v>9.2431239695000024E-7</v>
      </c>
      <c r="M125" s="25">
        <v>3872129.7595236748</v>
      </c>
      <c r="N125" s="25">
        <v>1.1030731500000002E-5</v>
      </c>
      <c r="O125" s="25">
        <v>9.2520921264999975E-7</v>
      </c>
      <c r="Q125" s="25">
        <v>3158222.0399414008</v>
      </c>
      <c r="R125" s="25">
        <v>7.6745503499999999E-6</v>
      </c>
      <c r="S125" s="25">
        <v>6.3912767420000011E-7</v>
      </c>
      <c r="U125" s="25">
        <v>3839185.9793175096</v>
      </c>
      <c r="V125" s="25">
        <v>9.2586449000000013E-6</v>
      </c>
      <c r="W125" s="25">
        <v>9.5866056700000003E-7</v>
      </c>
    </row>
    <row r="126" spans="1:23" x14ac:dyDescent="0.25">
      <c r="A126" s="25">
        <v>3146445.7209579144</v>
      </c>
      <c r="B126" s="25">
        <v>4.8701600000000001E-6</v>
      </c>
      <c r="C126" s="25">
        <v>1.1100259000000001E-6</v>
      </c>
      <c r="E126" s="25">
        <v>3377902.6483724923</v>
      </c>
      <c r="F126" s="25">
        <v>5.3580297499999999E-6</v>
      </c>
      <c r="G126" s="25">
        <v>1.0799188E-6</v>
      </c>
      <c r="I126" s="25">
        <v>3926638.2199223805</v>
      </c>
      <c r="J126" s="25">
        <v>5.6763228500000007E-6</v>
      </c>
      <c r="K126" s="25">
        <v>9.2483924165000013E-7</v>
      </c>
      <c r="M126" s="25">
        <v>3898321.2747250488</v>
      </c>
      <c r="N126" s="25">
        <v>1.1131628000000002E-5</v>
      </c>
      <c r="O126" s="25">
        <v>9.2604988419999963E-7</v>
      </c>
      <c r="Q126" s="25">
        <v>3186064.9312118036</v>
      </c>
      <c r="R126" s="25">
        <v>7.7252916000000004E-6</v>
      </c>
      <c r="S126" s="25">
        <v>6.3840440990000004E-7</v>
      </c>
      <c r="U126" s="25">
        <v>3873228.9913259181</v>
      </c>
      <c r="V126" s="25">
        <v>9.3142729000000011E-6</v>
      </c>
      <c r="W126" s="25">
        <v>9.5814584984999986E-7</v>
      </c>
    </row>
    <row r="127" spans="1:23" x14ac:dyDescent="0.25">
      <c r="A127" s="25">
        <v>3175072.7275727941</v>
      </c>
      <c r="B127" s="25">
        <v>4.9158454000000008E-6</v>
      </c>
      <c r="C127" s="25">
        <v>1.1067039500000001E-6</v>
      </c>
      <c r="E127" s="25">
        <v>3410153.8056504847</v>
      </c>
      <c r="F127" s="25">
        <v>5.4152348000000003E-6</v>
      </c>
      <c r="G127" s="25">
        <v>1.0804176000000002E-6</v>
      </c>
      <c r="I127" s="25">
        <v>3949659.8292367402</v>
      </c>
      <c r="J127" s="25">
        <v>5.72094695E-6</v>
      </c>
      <c r="K127" s="25">
        <v>9.2600792245000017E-7</v>
      </c>
      <c r="M127" s="25">
        <v>3934010.8119225255</v>
      </c>
      <c r="N127" s="25">
        <v>1.1227129000000002E-5</v>
      </c>
      <c r="O127" s="25">
        <v>9.2472394889999978E-7</v>
      </c>
      <c r="Q127" s="25">
        <v>3199214.107303632</v>
      </c>
      <c r="R127" s="25">
        <v>7.7704257000000007E-6</v>
      </c>
      <c r="S127" s="25">
        <v>6.3707325359999989E-7</v>
      </c>
      <c r="U127" s="25">
        <v>3907799.1732641766</v>
      </c>
      <c r="V127" s="25">
        <v>9.3742162000000011E-6</v>
      </c>
      <c r="W127" s="25">
        <v>9.5763988659999981E-7</v>
      </c>
    </row>
    <row r="128" spans="1:23" x14ac:dyDescent="0.25">
      <c r="A128" s="25">
        <v>3203956.3405574732</v>
      </c>
      <c r="B128" s="25">
        <v>4.964361250000001E-6</v>
      </c>
      <c r="C128" s="25">
        <v>1.1056576999999999E-6</v>
      </c>
      <c r="E128" s="25">
        <v>3435437.8139694687</v>
      </c>
      <c r="F128" s="25">
        <v>5.4479309000000007E-6</v>
      </c>
      <c r="G128" s="25">
        <v>1.0802720500000001E-6</v>
      </c>
      <c r="I128" s="25">
        <v>3979059.5394566623</v>
      </c>
      <c r="J128" s="25">
        <v>5.7609808999999993E-6</v>
      </c>
      <c r="K128" s="25">
        <v>9.2773209420000013E-7</v>
      </c>
      <c r="M128" s="25">
        <v>3969535.8812066494</v>
      </c>
      <c r="N128" s="25">
        <v>1.1305219000000002E-5</v>
      </c>
      <c r="O128" s="25">
        <v>9.2280232869999994E-7</v>
      </c>
      <c r="Q128" s="25">
        <v>3210571.6180548351</v>
      </c>
      <c r="R128" s="25">
        <v>7.7969565500000002E-6</v>
      </c>
      <c r="S128" s="25">
        <v>6.3642049500000008E-7</v>
      </c>
      <c r="U128" s="25">
        <v>3936894.8982386054</v>
      </c>
      <c r="V128" s="25">
        <v>9.4306935500000007E-6</v>
      </c>
      <c r="W128" s="25">
        <v>9.569303215999999E-7</v>
      </c>
    </row>
    <row r="129" spans="1:23" x14ac:dyDescent="0.25">
      <c r="A129" s="25">
        <v>3229339.842658082</v>
      </c>
      <c r="B129" s="25">
        <v>5.0063401500000017E-6</v>
      </c>
      <c r="C129" s="25">
        <v>1.1077891499999998E-6</v>
      </c>
      <c r="E129" s="25">
        <v>3463694.6087211086</v>
      </c>
      <c r="F129" s="25">
        <v>5.4941727000000012E-6</v>
      </c>
      <c r="G129" s="25">
        <v>1.0798968500000002E-6</v>
      </c>
      <c r="I129" s="25">
        <v>4008844.8538163002</v>
      </c>
      <c r="J129" s="25">
        <v>5.8052087999999997E-6</v>
      </c>
      <c r="K129" s="25">
        <v>9.2859708049999993E-7</v>
      </c>
      <c r="M129" s="25">
        <v>4004218.0524348421</v>
      </c>
      <c r="N129" s="25">
        <v>1.1367433500000001E-5</v>
      </c>
      <c r="O129" s="25">
        <v>9.2135037155000014E-7</v>
      </c>
      <c r="Q129" s="25">
        <v>3221661.4086976694</v>
      </c>
      <c r="R129" s="25">
        <v>7.8173822999999996E-6</v>
      </c>
      <c r="S129" s="25">
        <v>6.3633012535000011E-7</v>
      </c>
      <c r="U129" s="25">
        <v>3963081.0507155913</v>
      </c>
      <c r="V129" s="25">
        <v>9.4928895000000015E-6</v>
      </c>
      <c r="W129" s="25">
        <v>9.5610573389999981E-7</v>
      </c>
    </row>
    <row r="130" spans="1:23" x14ac:dyDescent="0.25">
      <c r="A130" s="25">
        <v>3264012.4953454477</v>
      </c>
      <c r="B130" s="25">
        <v>5.0328175500000007E-6</v>
      </c>
      <c r="C130" s="25">
        <v>1.1099557499999997E-6</v>
      </c>
      <c r="E130" s="25">
        <v>3495128.5051241443</v>
      </c>
      <c r="F130" s="25">
        <v>5.5362838000000004E-6</v>
      </c>
      <c r="G130" s="25">
        <v>1.07948705E-6</v>
      </c>
      <c r="I130" s="25">
        <v>4039130.4113842174</v>
      </c>
      <c r="J130" s="25">
        <v>5.8541686999999993E-6</v>
      </c>
      <c r="K130" s="25">
        <v>9.2857614219999989E-7</v>
      </c>
      <c r="M130" s="25">
        <v>4036289.2955385651</v>
      </c>
      <c r="N130" s="25">
        <v>1.1451442500000003E-5</v>
      </c>
      <c r="O130" s="25">
        <v>9.2220641354999999E-7</v>
      </c>
      <c r="Q130" s="25">
        <v>3231258.1448899829</v>
      </c>
      <c r="R130" s="25">
        <v>7.8588134500000012E-6</v>
      </c>
      <c r="S130" s="25">
        <v>6.3656213460000007E-7</v>
      </c>
      <c r="U130" s="25">
        <v>3990463.4734180067</v>
      </c>
      <c r="V130" s="25">
        <v>9.5497713000000001E-6</v>
      </c>
      <c r="W130" s="25">
        <v>9.5363239714999986E-7</v>
      </c>
    </row>
    <row r="131" spans="1:23" x14ac:dyDescent="0.25">
      <c r="A131" s="25">
        <v>3280866.4017139063</v>
      </c>
      <c r="B131" s="25">
        <v>5.0795943000000014E-6</v>
      </c>
      <c r="C131" s="25">
        <v>1.1109128499999998E-6</v>
      </c>
      <c r="E131" s="25">
        <v>3526899.5216381</v>
      </c>
      <c r="F131" s="25">
        <v>5.5761586499999998E-6</v>
      </c>
      <c r="G131" s="25">
        <v>1.0796200000000001E-6</v>
      </c>
      <c r="I131" s="25">
        <v>4074001.5316946963</v>
      </c>
      <c r="J131" s="25">
        <v>5.8934068500000003E-6</v>
      </c>
      <c r="K131" s="25">
        <v>9.285495991499997E-7</v>
      </c>
      <c r="M131" s="25">
        <v>4069172.5989644662</v>
      </c>
      <c r="N131" s="25">
        <v>1.1521990500000003E-5</v>
      </c>
      <c r="O131" s="25">
        <v>9.2524230690000013E-7</v>
      </c>
      <c r="Q131" s="25">
        <v>3237199.4719103314</v>
      </c>
      <c r="R131" s="25">
        <v>7.913325000000001E-6</v>
      </c>
      <c r="S131" s="25">
        <v>6.3700203445000009E-7</v>
      </c>
      <c r="U131" s="25">
        <v>4019853.1970071597</v>
      </c>
      <c r="V131" s="25">
        <v>9.5537111999999997E-6</v>
      </c>
      <c r="W131" s="25">
        <v>9.5157165840000011E-7</v>
      </c>
    </row>
    <row r="132" spans="1:23" x14ac:dyDescent="0.25">
      <c r="A132" s="25">
        <v>3308087.2054222822</v>
      </c>
      <c r="B132" s="25">
        <v>5.1392304E-6</v>
      </c>
      <c r="C132" s="25">
        <v>1.1113393000000001E-6</v>
      </c>
      <c r="E132" s="25">
        <v>3561061.0262113046</v>
      </c>
      <c r="F132" s="25">
        <v>5.6247829000000001E-6</v>
      </c>
      <c r="G132" s="25">
        <v>1.0791536999999999E-6</v>
      </c>
      <c r="I132" s="25">
        <v>4105725.2884864165</v>
      </c>
      <c r="J132" s="25">
        <v>5.9318454999999991E-6</v>
      </c>
      <c r="K132" s="25">
        <v>9.2886936324999971E-7</v>
      </c>
      <c r="M132" s="25">
        <v>4104677.1097594211</v>
      </c>
      <c r="N132" s="25">
        <v>1.1567862500000002E-5</v>
      </c>
      <c r="O132" s="25">
        <v>9.2655307070000006E-7</v>
      </c>
      <c r="Q132" s="25">
        <v>3268337.3798991246</v>
      </c>
      <c r="R132" s="25">
        <v>7.9707302499999992E-6</v>
      </c>
      <c r="S132" s="25">
        <v>6.3714060165000018E-7</v>
      </c>
      <c r="U132" s="25">
        <v>4043869.8424651464</v>
      </c>
      <c r="V132" s="25">
        <v>9.5752423499999999E-6</v>
      </c>
      <c r="W132" s="25">
        <v>9.5018959875000001E-7</v>
      </c>
    </row>
    <row r="133" spans="1:23" x14ac:dyDescent="0.25">
      <c r="A133" s="25">
        <v>3342893.2934219441</v>
      </c>
      <c r="B133" s="25">
        <v>5.1899462499999999E-6</v>
      </c>
      <c r="C133" s="25">
        <v>1.1087365499999999E-6</v>
      </c>
      <c r="E133" s="25">
        <v>3595294.0411110683</v>
      </c>
      <c r="F133" s="25">
        <v>5.6554295999999999E-6</v>
      </c>
      <c r="G133" s="25">
        <v>1.0793322000000001E-6</v>
      </c>
      <c r="I133" s="25">
        <v>4140888.2173350584</v>
      </c>
      <c r="J133" s="25">
        <v>5.9764360999999993E-6</v>
      </c>
      <c r="K133" s="25">
        <v>9.2839446774999984E-7</v>
      </c>
      <c r="M133" s="25">
        <v>4138454.7074641758</v>
      </c>
      <c r="N133" s="25">
        <v>1.1634022000000003E-5</v>
      </c>
      <c r="O133" s="25">
        <v>9.2744430445000001E-7</v>
      </c>
      <c r="Q133" s="25">
        <v>3291793.7801631698</v>
      </c>
      <c r="R133" s="25">
        <v>8.0404214499999998E-6</v>
      </c>
      <c r="S133" s="25">
        <v>6.3724616555000007E-7</v>
      </c>
      <c r="U133" s="25">
        <v>4075834.5884039528</v>
      </c>
      <c r="V133" s="25">
        <v>9.5902279000000018E-6</v>
      </c>
      <c r="W133" s="25">
        <v>9.4884543375000001E-7</v>
      </c>
    </row>
    <row r="134" spans="1:23" x14ac:dyDescent="0.25">
      <c r="A134" s="25">
        <v>3376457.406591774</v>
      </c>
      <c r="B134" s="25">
        <v>5.2311761999999992E-6</v>
      </c>
      <c r="C134" s="25">
        <v>1.1077274499999998E-6</v>
      </c>
      <c r="E134" s="25">
        <v>3630569.0636264021</v>
      </c>
      <c r="F134" s="25">
        <v>5.6901676499999995E-6</v>
      </c>
      <c r="G134" s="25">
        <v>1.0801002500000001E-6</v>
      </c>
      <c r="I134" s="25">
        <v>4176009.4592496767</v>
      </c>
      <c r="J134" s="25">
        <v>6.0219122000000001E-6</v>
      </c>
      <c r="K134" s="25">
        <v>9.2719032235000008E-7</v>
      </c>
      <c r="M134" s="25">
        <v>4168665.4072980992</v>
      </c>
      <c r="N134" s="25">
        <v>1.1716445000000002E-5</v>
      </c>
      <c r="O134" s="25">
        <v>9.2748373960000013E-7</v>
      </c>
      <c r="Q134" s="25">
        <v>3323673.066913601</v>
      </c>
      <c r="R134" s="25">
        <v>8.0983981999999997E-6</v>
      </c>
      <c r="S134" s="25">
        <v>6.3724613425000005E-7</v>
      </c>
      <c r="U134" s="25">
        <v>4117825.7008931804</v>
      </c>
      <c r="V134" s="25">
        <v>9.6302154000000022E-6</v>
      </c>
      <c r="W134" s="25">
        <v>9.4840143550000017E-7</v>
      </c>
    </row>
    <row r="135" spans="1:23" x14ac:dyDescent="0.25">
      <c r="A135" s="25">
        <v>3412762.0757910674</v>
      </c>
      <c r="B135" s="25">
        <v>5.2839141999999993E-6</v>
      </c>
      <c r="C135" s="25">
        <v>1.1074615000000001E-6</v>
      </c>
      <c r="E135" s="25">
        <v>3664945.0991792833</v>
      </c>
      <c r="F135" s="25">
        <v>5.7134259999999997E-6</v>
      </c>
      <c r="G135" s="25">
        <v>1.0799529000000001E-6</v>
      </c>
      <c r="I135" s="25">
        <v>4210484.5536869345</v>
      </c>
      <c r="J135" s="25">
        <v>6.0640794499999999E-6</v>
      </c>
      <c r="K135" s="25">
        <v>9.2749865810000009E-7</v>
      </c>
      <c r="M135" s="25">
        <v>4198876.1071320232</v>
      </c>
      <c r="N135" s="25">
        <v>1.1777555500000002E-5</v>
      </c>
      <c r="O135" s="25">
        <v>9.2624887884999998E-7</v>
      </c>
      <c r="Q135" s="25">
        <v>3356633.5310247545</v>
      </c>
      <c r="R135" s="25">
        <v>8.1464463000000011E-6</v>
      </c>
      <c r="S135" s="25">
        <v>6.3609235210000011E-7</v>
      </c>
      <c r="U135" s="25">
        <v>4161966.0446348749</v>
      </c>
      <c r="V135" s="25">
        <v>9.6431213500000006E-6</v>
      </c>
      <c r="W135" s="25">
        <v>9.4841687984999992E-7</v>
      </c>
    </row>
    <row r="136" spans="1:23" x14ac:dyDescent="0.25">
      <c r="A136" s="25">
        <v>3441471.1964442828</v>
      </c>
      <c r="B136" s="25">
        <v>5.3274367499999997E-6</v>
      </c>
      <c r="C136" s="25">
        <v>1.10976325E-6</v>
      </c>
      <c r="E136" s="25">
        <v>3684763.6753969914</v>
      </c>
      <c r="F136" s="25">
        <v>5.7515484000000001E-6</v>
      </c>
      <c r="G136" s="25">
        <v>1.0789625499999998E-6</v>
      </c>
      <c r="I136" s="25">
        <v>4244949.2263906859</v>
      </c>
      <c r="J136" s="25">
        <v>6.1059907500000002E-6</v>
      </c>
      <c r="K136" s="25">
        <v>9.2787717844999986E-7</v>
      </c>
      <c r="M136" s="25">
        <v>4235501.055586691</v>
      </c>
      <c r="N136" s="25">
        <v>1.1851172000000003E-5</v>
      </c>
      <c r="O136" s="25">
        <v>9.2398617255000008E-7</v>
      </c>
      <c r="Q136" s="25">
        <v>3366219.9702898227</v>
      </c>
      <c r="R136" s="25">
        <v>8.2072497000000003E-6</v>
      </c>
      <c r="S136" s="25">
        <v>6.3400418920000008E-7</v>
      </c>
      <c r="U136" s="25">
        <v>4190149.3601153321</v>
      </c>
      <c r="V136" s="25">
        <v>9.7098849000000007E-6</v>
      </c>
      <c r="W136" s="25">
        <v>9.4744906095000008E-7</v>
      </c>
    </row>
    <row r="137" spans="1:23" x14ac:dyDescent="0.25">
      <c r="A137" s="25">
        <v>3475610.1078824648</v>
      </c>
      <c r="B137" s="25">
        <v>5.3807617000000006E-6</v>
      </c>
      <c r="C137" s="25">
        <v>1.1105039E-6</v>
      </c>
      <c r="E137" s="25">
        <v>3713265.6484111189</v>
      </c>
      <c r="F137" s="25">
        <v>5.7784656999999995E-6</v>
      </c>
      <c r="G137" s="25">
        <v>1.0789899500000001E-6</v>
      </c>
      <c r="I137" s="25">
        <v>4281123.0633893916</v>
      </c>
      <c r="J137" s="25">
        <v>6.1392458999999997E-6</v>
      </c>
      <c r="K137" s="25">
        <v>9.2777432029999996E-7</v>
      </c>
      <c r="M137" s="25">
        <v>4265475.3327951711</v>
      </c>
      <c r="N137" s="25">
        <v>1.1897513500000003E-5</v>
      </c>
      <c r="O137" s="25">
        <v>9.227185757E-7</v>
      </c>
      <c r="Q137" s="25">
        <v>3389336.5719547835</v>
      </c>
      <c r="R137" s="25">
        <v>8.262327000000001E-6</v>
      </c>
      <c r="S137" s="25">
        <v>6.3261984159999988E-7</v>
      </c>
      <c r="U137" s="25">
        <v>4227994.0783486217</v>
      </c>
      <c r="V137" s="25">
        <v>9.7436444500000003E-6</v>
      </c>
      <c r="W137" s="25">
        <v>9.4675418995000021E-7</v>
      </c>
    </row>
    <row r="138" spans="1:23" x14ac:dyDescent="0.25">
      <c r="A138" s="25">
        <v>3510210.9107862865</v>
      </c>
      <c r="B138" s="25">
        <v>5.4356718000000005E-6</v>
      </c>
      <c r="C138" s="25">
        <v>1.1094732499999999E-6</v>
      </c>
      <c r="E138" s="25">
        <v>3745649.6105812918</v>
      </c>
      <c r="F138" s="25">
        <v>5.8176116499999989E-6</v>
      </c>
      <c r="G138" s="25">
        <v>1.0794285E-6</v>
      </c>
      <c r="I138" s="25">
        <v>4316869.6093143597</v>
      </c>
      <c r="J138" s="25">
        <v>6.1604139000000004E-6</v>
      </c>
      <c r="K138" s="25">
        <v>9.2922565494999989E-7</v>
      </c>
      <c r="M138" s="25">
        <v>4300846.2134105274</v>
      </c>
      <c r="N138" s="25">
        <v>1.1987847500000002E-5</v>
      </c>
      <c r="O138" s="25">
        <v>9.2054350204999989E-7</v>
      </c>
      <c r="Q138" s="25">
        <v>3413853.5557250604</v>
      </c>
      <c r="R138" s="25">
        <v>8.2999395999999996E-6</v>
      </c>
      <c r="S138" s="25">
        <v>6.3182174579999999E-7</v>
      </c>
      <c r="U138" s="25">
        <v>4259573.5847233068</v>
      </c>
      <c r="V138" s="25">
        <v>9.809952049999997E-6</v>
      </c>
      <c r="W138" s="25">
        <v>9.4635881839999994E-7</v>
      </c>
    </row>
    <row r="139" spans="1:23" x14ac:dyDescent="0.25">
      <c r="A139" s="25">
        <v>3540357.0271103815</v>
      </c>
      <c r="B139" s="25">
        <v>5.501863599999999E-6</v>
      </c>
      <c r="C139" s="25">
        <v>1.1080956499999999E-6</v>
      </c>
      <c r="E139" s="25">
        <v>3772435.3357580095</v>
      </c>
      <c r="F139" s="25">
        <v>5.8482323E-6</v>
      </c>
      <c r="G139" s="25">
        <v>1.0791591000000003E-6</v>
      </c>
      <c r="I139" s="25">
        <v>4354314.8978007762</v>
      </c>
      <c r="J139" s="25">
        <v>6.1795210999999998E-6</v>
      </c>
      <c r="K139" s="25">
        <v>9.2996889970000003E-7</v>
      </c>
      <c r="M139" s="25">
        <v>4332968.8527371734</v>
      </c>
      <c r="N139" s="25">
        <v>1.2067562500000002E-5</v>
      </c>
      <c r="O139" s="25">
        <v>9.1899294149999987E-7</v>
      </c>
      <c r="Q139" s="25">
        <v>3445609.2793485522</v>
      </c>
      <c r="R139" s="25">
        <v>8.3426941000000008E-6</v>
      </c>
      <c r="S139" s="25">
        <v>6.3093812620000003E-7</v>
      </c>
      <c r="U139" s="25">
        <v>4285415.0491692368</v>
      </c>
      <c r="V139" s="25">
        <v>9.884158949999998E-6</v>
      </c>
      <c r="W139" s="25">
        <v>9.4595161774999999E-7</v>
      </c>
    </row>
    <row r="140" spans="1:23" x14ac:dyDescent="0.25">
      <c r="A140" s="25">
        <v>3565617.3581534862</v>
      </c>
      <c r="B140" s="25">
        <v>5.5562762499999997E-6</v>
      </c>
      <c r="C140" s="25">
        <v>1.10733835E-6</v>
      </c>
      <c r="E140" s="25">
        <v>3806024.7577187442</v>
      </c>
      <c r="F140" s="25">
        <v>5.8876621999999988E-6</v>
      </c>
      <c r="G140" s="25">
        <v>1.0785791999999999E-6</v>
      </c>
      <c r="I140" s="25">
        <v>4390926.4476067275</v>
      </c>
      <c r="J140" s="25">
        <v>6.2119632999999994E-6</v>
      </c>
      <c r="K140" s="25">
        <v>9.298041618000001E-7</v>
      </c>
      <c r="M140" s="25">
        <v>4369408.7747893203</v>
      </c>
      <c r="N140" s="25">
        <v>1.21374255E-5</v>
      </c>
      <c r="O140" s="25">
        <v>9.1671508929999984E-7</v>
      </c>
      <c r="Q140" s="25">
        <v>3480103.9856192064</v>
      </c>
      <c r="R140" s="25">
        <v>8.3971115999999993E-6</v>
      </c>
      <c r="S140" s="25">
        <v>6.2997567615000008E-7</v>
      </c>
      <c r="U140" s="25">
        <v>4315676.6307192957</v>
      </c>
      <c r="V140" s="25">
        <v>9.9658643499999977E-6</v>
      </c>
      <c r="W140" s="25">
        <v>9.4565825169999996E-7</v>
      </c>
    </row>
    <row r="141" spans="1:23" x14ac:dyDescent="0.25">
      <c r="A141" s="25">
        <v>3594285.4217875334</v>
      </c>
      <c r="B141" s="25">
        <v>5.6238646499999999E-6</v>
      </c>
      <c r="C141" s="25">
        <v>1.1076224499999997E-6</v>
      </c>
      <c r="E141" s="25">
        <v>3834945.5769312871</v>
      </c>
      <c r="F141" s="25">
        <v>5.9204487999999984E-6</v>
      </c>
      <c r="G141" s="25">
        <v>1.0782389999999999E-6</v>
      </c>
      <c r="I141" s="25">
        <v>4425266.0595084094</v>
      </c>
      <c r="J141" s="25">
        <v>6.2590766999999997E-6</v>
      </c>
      <c r="K141" s="25">
        <v>9.3013667875000009E-7</v>
      </c>
      <c r="M141" s="25">
        <v>4396905.7540529286</v>
      </c>
      <c r="N141" s="25">
        <v>1.2183701500000001E-5</v>
      </c>
      <c r="O141" s="25">
        <v>9.1553349934999987E-7</v>
      </c>
      <c r="Q141" s="25">
        <v>3513280.685202504</v>
      </c>
      <c r="R141" s="25">
        <v>8.4517636999999993E-6</v>
      </c>
      <c r="S141" s="25">
        <v>6.2933774520000001E-7</v>
      </c>
      <c r="U141" s="25">
        <v>4347458.8947593076</v>
      </c>
      <c r="V141" s="25">
        <v>1.0025702399999996E-5</v>
      </c>
      <c r="W141" s="25">
        <v>9.4518113360000016E-7</v>
      </c>
    </row>
    <row r="142" spans="1:23" x14ac:dyDescent="0.25">
      <c r="A142" s="25">
        <v>3623302.4700845089</v>
      </c>
      <c r="B142" s="25">
        <v>5.6720048999999996E-6</v>
      </c>
      <c r="C142" s="25">
        <v>1.1102441999999998E-6</v>
      </c>
      <c r="E142" s="25">
        <v>3866440.7678999444</v>
      </c>
      <c r="F142" s="25">
        <v>5.9469897999999994E-6</v>
      </c>
      <c r="G142" s="25">
        <v>1.0782684000000001E-6</v>
      </c>
      <c r="I142" s="25">
        <v>4453821.6093143597</v>
      </c>
      <c r="J142" s="25">
        <v>6.303707649999999E-6</v>
      </c>
      <c r="K142" s="25">
        <v>9.2978014259999996E-7</v>
      </c>
      <c r="M142" s="25">
        <v>4427722.9293173393</v>
      </c>
      <c r="N142" s="25">
        <v>1.2307638000000001E-5</v>
      </c>
      <c r="O142" s="25">
        <v>9.1485339055000002E-7</v>
      </c>
      <c r="Q142" s="25">
        <v>3541998.8152887295</v>
      </c>
      <c r="R142" s="25">
        <v>8.5050189999999994E-6</v>
      </c>
      <c r="S142" s="25">
        <v>6.2875884615000003E-7</v>
      </c>
      <c r="U142" s="25">
        <v>4379190.4693829883</v>
      </c>
      <c r="V142" s="25">
        <v>1.0100463049999999E-5</v>
      </c>
      <c r="W142" s="25">
        <v>9.4429232425000019E-7</v>
      </c>
    </row>
    <row r="143" spans="1:23" x14ac:dyDescent="0.25">
      <c r="A143" s="25">
        <v>3656692.0909228749</v>
      </c>
      <c r="B143" s="25">
        <v>5.7074417000000007E-6</v>
      </c>
      <c r="C143" s="25">
        <v>1.1106583499999999E-6</v>
      </c>
      <c r="E143" s="25">
        <v>3889436.4457690488</v>
      </c>
      <c r="F143" s="25">
        <v>5.9815671500000001E-6</v>
      </c>
      <c r="G143" s="25">
        <v>1.0787264000000002E-6</v>
      </c>
      <c r="I143" s="25">
        <v>4488630.1992238034</v>
      </c>
      <c r="J143" s="25">
        <v>6.3505391000000004E-6</v>
      </c>
      <c r="K143" s="25">
        <v>9.3071464560000014E-7</v>
      </c>
      <c r="M143" s="25">
        <v>4461449.1307991715</v>
      </c>
      <c r="N143" s="25">
        <v>1.2410179500000002E-5</v>
      </c>
      <c r="O143" s="25">
        <v>9.171445868000001E-7</v>
      </c>
      <c r="Q143" s="25">
        <v>3574804.8254912081</v>
      </c>
      <c r="R143" s="25">
        <v>8.5506828500000004E-6</v>
      </c>
      <c r="S143" s="25">
        <v>6.2816714024999997E-7</v>
      </c>
      <c r="U143" s="25">
        <v>4407880.679026763</v>
      </c>
      <c r="V143" s="25">
        <v>1.0165182599999999E-5</v>
      </c>
      <c r="W143" s="25">
        <v>9.4348419275000002E-7</v>
      </c>
    </row>
    <row r="144" spans="1:23" x14ac:dyDescent="0.25">
      <c r="A144" s="25">
        <v>3689127.1360655855</v>
      </c>
      <c r="B144" s="25">
        <v>5.759230100000001E-6</v>
      </c>
      <c r="C144" s="25">
        <v>1.10939155E-6</v>
      </c>
      <c r="E144" s="25">
        <v>3914587.6491958518</v>
      </c>
      <c r="F144" s="25">
        <v>6.0143426499999997E-6</v>
      </c>
      <c r="G144" s="25">
        <v>1.0790802500000001E-6</v>
      </c>
      <c r="I144" s="25">
        <v>4514142.6028460544</v>
      </c>
      <c r="J144" s="25">
        <v>6.4072683000000003E-6</v>
      </c>
      <c r="K144" s="25">
        <v>9.305013748E-7</v>
      </c>
      <c r="M144" s="25">
        <v>4495843.4831789974</v>
      </c>
      <c r="N144" s="25">
        <v>1.2504179500000002E-5</v>
      </c>
      <c r="O144" s="25">
        <v>9.1913878465000005E-7</v>
      </c>
      <c r="Q144" s="25">
        <v>3608413.9960187948</v>
      </c>
      <c r="R144" s="25">
        <v>8.5927951499999988E-6</v>
      </c>
      <c r="S144" s="25">
        <v>6.2780519549999989E-7</v>
      </c>
      <c r="U144" s="25">
        <v>4435759.8580092294</v>
      </c>
      <c r="V144" s="25">
        <v>1.0258320899999999E-5</v>
      </c>
      <c r="W144" s="25">
        <v>9.4400604945000003E-7</v>
      </c>
    </row>
    <row r="145" spans="1:23" x14ac:dyDescent="0.25">
      <c r="A145" s="25">
        <v>3717661.764387337</v>
      </c>
      <c r="B145" s="25">
        <v>5.806098700000001E-6</v>
      </c>
      <c r="C145" s="25">
        <v>1.1065589500000001E-6</v>
      </c>
      <c r="E145" s="25">
        <v>3945132.7743973718</v>
      </c>
      <c r="F145" s="25">
        <v>6.0570062500000002E-6</v>
      </c>
      <c r="G145" s="25">
        <v>1.0787783E-6</v>
      </c>
      <c r="I145" s="25">
        <v>4542885.7438551104</v>
      </c>
      <c r="J145" s="25">
        <v>6.4480750500000001E-6</v>
      </c>
      <c r="K145" s="25">
        <v>9.3149779160000016E-7</v>
      </c>
      <c r="M145" s="25">
        <v>4528922.092252004</v>
      </c>
      <c r="N145" s="25">
        <v>1.2587511000000001E-5</v>
      </c>
      <c r="O145" s="25">
        <v>9.1997661970000007E-7</v>
      </c>
      <c r="Q145" s="25">
        <v>3638264.788101967</v>
      </c>
      <c r="R145" s="25">
        <v>8.6450512499999979E-6</v>
      </c>
      <c r="S145" s="25">
        <v>6.2813671199999994E-7</v>
      </c>
      <c r="U145" s="25">
        <v>4468089.5677456241</v>
      </c>
      <c r="V145" s="25">
        <v>1.0345103400000002E-5</v>
      </c>
      <c r="W145" s="25">
        <v>9.4437424129999976E-7</v>
      </c>
    </row>
    <row r="146" spans="1:23" x14ac:dyDescent="0.25">
      <c r="A146" s="25">
        <v>3750230.244842343</v>
      </c>
      <c r="B146" s="25">
        <v>5.8374387000000004E-6</v>
      </c>
      <c r="C146" s="25">
        <v>1.1065682E-6</v>
      </c>
      <c r="E146" s="25">
        <v>3978936.7273377827</v>
      </c>
      <c r="F146" s="25">
        <v>6.0892831499999995E-6</v>
      </c>
      <c r="G146" s="25">
        <v>1.0781749999999998E-6</v>
      </c>
      <c r="I146" s="25">
        <v>4575266.069857697</v>
      </c>
      <c r="J146" s="25">
        <v>6.4875669500000001E-6</v>
      </c>
      <c r="K146" s="25">
        <v>9.3093617575000002E-7</v>
      </c>
      <c r="M146" s="25">
        <v>4560808.3089532061</v>
      </c>
      <c r="N146" s="25">
        <v>1.2681971000000001E-5</v>
      </c>
      <c r="O146" s="25">
        <v>9.2072055510000013E-7</v>
      </c>
      <c r="Q146" s="25">
        <v>3671122.2829406708</v>
      </c>
      <c r="R146" s="25">
        <v>8.6877658000000005E-6</v>
      </c>
      <c r="S146" s="25">
        <v>6.2899193260000001E-7</v>
      </c>
      <c r="U146" s="25">
        <v>4497327.2230857825</v>
      </c>
      <c r="V146" s="25">
        <v>1.0416593450000001E-5</v>
      </c>
      <c r="W146" s="25">
        <v>9.4460128529999983E-7</v>
      </c>
    </row>
    <row r="147" spans="1:23" x14ac:dyDescent="0.25">
      <c r="A147" s="25">
        <v>3780304.5113828941</v>
      </c>
      <c r="B147" s="25">
        <v>5.8758504000000004E-6</v>
      </c>
      <c r="C147" s="25">
        <v>1.1073773500000002E-6</v>
      </c>
      <c r="E147" s="25">
        <v>4009114.0851455722</v>
      </c>
      <c r="F147" s="25">
        <v>6.1360464E-6</v>
      </c>
      <c r="G147" s="25">
        <v>1.0775045499999998E-6</v>
      </c>
      <c r="I147" s="25">
        <v>4605666.2664941782</v>
      </c>
      <c r="J147" s="25">
        <v>6.5294330499999999E-6</v>
      </c>
      <c r="K147" s="25">
        <v>9.3080593040000026E-7</v>
      </c>
      <c r="M147" s="25">
        <v>4588480.0353747513</v>
      </c>
      <c r="N147" s="25">
        <v>1.27239285E-5</v>
      </c>
      <c r="O147" s="25">
        <v>9.2208439640000005E-7</v>
      </c>
      <c r="Q147" s="25">
        <v>3703526.7129805959</v>
      </c>
      <c r="R147" s="25">
        <v>8.7452447999999988E-6</v>
      </c>
      <c r="S147" s="25">
        <v>6.3049588440000002E-7</v>
      </c>
      <c r="U147" s="25">
        <v>4525743.7098813653</v>
      </c>
      <c r="V147" s="25">
        <v>1.04898208E-5</v>
      </c>
      <c r="W147" s="25">
        <v>9.4435943074999962E-7</v>
      </c>
    </row>
    <row r="148" spans="1:23" x14ac:dyDescent="0.25">
      <c r="A148" s="25">
        <v>3801007.5132983522</v>
      </c>
      <c r="B148" s="25">
        <v>5.9038031499999999E-6</v>
      </c>
      <c r="C148" s="25">
        <v>1.1093718500000001E-6</v>
      </c>
      <c r="E148" s="25">
        <v>4040507.11850486</v>
      </c>
      <c r="F148" s="25">
        <v>6.1853524999999993E-6</v>
      </c>
      <c r="G148" s="25">
        <v>1.0782643500000002E-6</v>
      </c>
      <c r="I148" s="25">
        <v>4637806.8926261319</v>
      </c>
      <c r="J148" s="25">
        <v>6.5640539000000005E-6</v>
      </c>
      <c r="K148" s="25">
        <v>9.3051378935000023E-7</v>
      </c>
      <c r="M148" s="25">
        <v>4613808.0940310247</v>
      </c>
      <c r="N148" s="25">
        <v>1.2823151999999998E-5</v>
      </c>
      <c r="O148" s="25">
        <v>9.2188869305000012E-7</v>
      </c>
      <c r="Q148" s="25">
        <v>3734994.1226412281</v>
      </c>
      <c r="R148" s="25">
        <v>8.8225038999999983E-6</v>
      </c>
      <c r="S148" s="25">
        <v>6.3100236209999993E-7</v>
      </c>
      <c r="U148" s="25">
        <v>4558651.2789639421</v>
      </c>
      <c r="V148" s="25">
        <v>1.0544225799999999E-5</v>
      </c>
      <c r="W148" s="25">
        <v>9.4318717164999993E-7</v>
      </c>
    </row>
    <row r="149" spans="1:23" x14ac:dyDescent="0.25">
      <c r="A149" s="25">
        <v>3828115.4102040161</v>
      </c>
      <c r="B149" s="25">
        <v>5.936101E-6</v>
      </c>
      <c r="C149" s="25">
        <v>1.1074911000000001E-6</v>
      </c>
      <c r="E149" s="25">
        <v>4069683.3317408268</v>
      </c>
      <c r="F149" s="25">
        <v>6.2224101499999997E-6</v>
      </c>
      <c r="G149" s="25">
        <v>1.0785637E-6</v>
      </c>
      <c r="I149" s="25">
        <v>4672646.7477360936</v>
      </c>
      <c r="J149" s="25">
        <v>6.5924017500000012E-6</v>
      </c>
      <c r="K149" s="25">
        <v>9.2939511940000022E-7</v>
      </c>
      <c r="M149" s="25">
        <v>4647739.8804045478</v>
      </c>
      <c r="N149" s="25">
        <v>1.2948297999999997E-5</v>
      </c>
      <c r="O149" s="25">
        <v>9.2223697840000001E-7</v>
      </c>
      <c r="Q149" s="25">
        <v>3763073.8432382653</v>
      </c>
      <c r="R149" s="25">
        <v>8.9042760499999989E-6</v>
      </c>
      <c r="S149" s="25">
        <v>6.3094670385000008E-7</v>
      </c>
      <c r="U149" s="25">
        <v>4589044.6529964637</v>
      </c>
      <c r="V149" s="25">
        <v>1.0604062000000002E-5</v>
      </c>
      <c r="W149" s="25">
        <v>9.4155890329999992E-7</v>
      </c>
    </row>
    <row r="150" spans="1:23" x14ac:dyDescent="0.25">
      <c r="A150" s="25">
        <v>3861032.8753219503</v>
      </c>
      <c r="B150" s="25">
        <v>5.97144485E-6</v>
      </c>
      <c r="C150" s="25">
        <v>1.1060390500000003E-6</v>
      </c>
      <c r="E150" s="25">
        <v>4097776.6743174754</v>
      </c>
      <c r="F150" s="25">
        <v>6.2684334999999991E-6</v>
      </c>
      <c r="G150" s="25">
        <v>1.0784994000000001E-6</v>
      </c>
      <c r="I150" s="25">
        <v>4700785.4282018114</v>
      </c>
      <c r="J150" s="25">
        <v>6.6240438000000018E-6</v>
      </c>
      <c r="K150" s="25">
        <v>9.2841300440000012E-7</v>
      </c>
      <c r="M150" s="25">
        <v>4681661.387533485</v>
      </c>
      <c r="N150" s="25">
        <v>1.3051510999999999E-5</v>
      </c>
      <c r="O150" s="25">
        <v>9.206664117999998E-7</v>
      </c>
      <c r="Q150" s="25">
        <v>3796724.2014748319</v>
      </c>
      <c r="R150" s="25">
        <v>8.9754241499999985E-6</v>
      </c>
      <c r="S150" s="25">
        <v>6.300720087E-7</v>
      </c>
      <c r="U150" s="25">
        <v>4616893.4183291318</v>
      </c>
      <c r="V150" s="25">
        <v>1.0667413300000001E-5</v>
      </c>
      <c r="W150" s="25">
        <v>9.4193799489999993E-7</v>
      </c>
    </row>
    <row r="151" spans="1:23" x14ac:dyDescent="0.25">
      <c r="A151" s="25">
        <v>3892000.1320294053</v>
      </c>
      <c r="B151" s="25">
        <v>6.0016351500000009E-6</v>
      </c>
      <c r="C151" s="25">
        <v>1.1043983500000001E-6</v>
      </c>
      <c r="E151" s="25">
        <v>4129925.6739860983</v>
      </c>
      <c r="F151" s="25">
        <v>6.3131819000000008E-6</v>
      </c>
      <c r="G151" s="25">
        <v>1.0778949499999998E-6</v>
      </c>
      <c r="I151" s="25">
        <v>4730122.6080206987</v>
      </c>
      <c r="J151" s="25">
        <v>6.6618039499999996E-6</v>
      </c>
      <c r="K151" s="25">
        <v>9.2826116994999989E-7</v>
      </c>
      <c r="M151" s="25">
        <v>4711707.619454057</v>
      </c>
      <c r="N151" s="25">
        <v>1.3141394500000001E-5</v>
      </c>
      <c r="O151" s="25">
        <v>9.1921174319999989E-7</v>
      </c>
      <c r="Q151" s="25">
        <v>3833648.9825752992</v>
      </c>
      <c r="R151" s="25">
        <v>9.0394266999999976E-6</v>
      </c>
      <c r="S151" s="25">
        <v>6.2940264615000003E-7</v>
      </c>
      <c r="U151" s="25">
        <v>4643393.8451873744</v>
      </c>
      <c r="V151" s="25">
        <v>1.078620675E-5</v>
      </c>
      <c r="W151" s="25">
        <v>9.4215451999999993E-7</v>
      </c>
    </row>
    <row r="152" spans="1:23" x14ac:dyDescent="0.25">
      <c r="A152" s="25">
        <v>3924096.4567639795</v>
      </c>
      <c r="B152" s="25">
        <v>6.0245084500000013E-6</v>
      </c>
      <c r="C152" s="25">
        <v>1.1022684000000002E-6</v>
      </c>
      <c r="E152" s="25">
        <v>4164056.5312764924</v>
      </c>
      <c r="F152" s="25">
        <v>6.34288865E-6</v>
      </c>
      <c r="G152" s="25">
        <v>1.0774849500000001E-6</v>
      </c>
      <c r="I152" s="25">
        <v>4760481.1177231567</v>
      </c>
      <c r="J152" s="25">
        <v>6.7054044999999992E-6</v>
      </c>
      <c r="K152" s="25">
        <v>9.2793354154999994E-7</v>
      </c>
      <c r="M152" s="25">
        <v>4738824.2666680384</v>
      </c>
      <c r="N152" s="25">
        <v>1.32444495E-5</v>
      </c>
      <c r="O152" s="25">
        <v>9.1825799304999987E-7</v>
      </c>
      <c r="Q152" s="25">
        <v>3863190.866841122</v>
      </c>
      <c r="R152" s="25">
        <v>9.1059225999999968E-6</v>
      </c>
      <c r="S152" s="25">
        <v>6.291506336999999E-7</v>
      </c>
      <c r="U152" s="25">
        <v>4672327.3640295416</v>
      </c>
      <c r="V152" s="25">
        <v>1.0882839600000002E-5</v>
      </c>
      <c r="W152" s="25">
        <v>9.4196521440000015E-7</v>
      </c>
    </row>
    <row r="153" spans="1:23" x14ac:dyDescent="0.25">
      <c r="A153" s="25">
        <v>3955166.3560193544</v>
      </c>
      <c r="B153" s="25">
        <v>6.0468684000000002E-6</v>
      </c>
      <c r="C153" s="25">
        <v>1.1044631500000001E-6</v>
      </c>
      <c r="E153" s="25">
        <v>4198371.2722637514</v>
      </c>
      <c r="F153" s="25">
        <v>6.3892334499999997E-6</v>
      </c>
      <c r="G153" s="25">
        <v>1.07770055E-6</v>
      </c>
      <c r="I153" s="25">
        <v>4790266.4320827946</v>
      </c>
      <c r="J153" s="25">
        <v>6.7370741500000007E-6</v>
      </c>
      <c r="K153" s="25">
        <v>9.2853789509999998E-7</v>
      </c>
      <c r="M153" s="25">
        <v>4764090.6498568049</v>
      </c>
      <c r="N153" s="25">
        <v>1.3349140499999996E-5</v>
      </c>
      <c r="O153" s="25">
        <v>9.1792503269999998E-7</v>
      </c>
      <c r="Q153" s="25">
        <v>3893906.6008128719</v>
      </c>
      <c r="R153" s="25">
        <v>9.1695787500000013E-6</v>
      </c>
      <c r="S153" s="25">
        <v>6.2886132060000003E-7</v>
      </c>
      <c r="U153" s="25">
        <v>4701919.8452840215</v>
      </c>
      <c r="V153" s="25">
        <v>1.0982118449999999E-5</v>
      </c>
      <c r="W153" s="25">
        <v>9.418100602999999E-7</v>
      </c>
    </row>
    <row r="154" spans="1:23" x14ac:dyDescent="0.25">
      <c r="A154" s="25">
        <v>3987262.6807539291</v>
      </c>
      <c r="B154" s="25">
        <v>6.0723184500000001E-6</v>
      </c>
      <c r="C154" s="25">
        <v>1.1055632E-6</v>
      </c>
      <c r="E154" s="25">
        <v>4231940.2627026122</v>
      </c>
      <c r="F154" s="25">
        <v>6.4328083499999988E-6</v>
      </c>
      <c r="G154" s="25">
        <v>1.07743455E-6</v>
      </c>
      <c r="I154" s="25">
        <v>4818811.5601552399</v>
      </c>
      <c r="J154" s="25">
        <v>6.7729702499999996E-6</v>
      </c>
      <c r="K154" s="25">
        <v>9.2822158139999987E-7</v>
      </c>
      <c r="M154" s="25">
        <v>4794044.368576115</v>
      </c>
      <c r="N154" s="25">
        <v>1.3433653999999997E-5</v>
      </c>
      <c r="O154" s="25">
        <v>9.1825746155000011E-7</v>
      </c>
      <c r="Q154" s="25">
        <v>3926990.6280509648</v>
      </c>
      <c r="R154" s="25">
        <v>9.2326263500000004E-6</v>
      </c>
      <c r="S154" s="25">
        <v>6.2902948049999998E-7</v>
      </c>
      <c r="U154" s="25">
        <v>4734949.0689657945</v>
      </c>
      <c r="V154" s="25">
        <v>1.1030112949999999E-5</v>
      </c>
      <c r="W154" s="25">
        <v>9.4075642489999978E-7</v>
      </c>
    </row>
    <row r="155" spans="1:23" x14ac:dyDescent="0.25">
      <c r="A155" s="25">
        <v>4019718.2544062231</v>
      </c>
      <c r="B155" s="25">
        <v>6.0999528500000007E-6</v>
      </c>
      <c r="C155" s="25">
        <v>1.1054873500000001E-6</v>
      </c>
      <c r="E155" s="25">
        <v>4264211.8515024791</v>
      </c>
      <c r="F155" s="25">
        <v>6.485879449999999E-6</v>
      </c>
      <c r="G155" s="25">
        <v>1.0773106999999999E-6</v>
      </c>
      <c r="I155" s="25">
        <v>4849524.4087968953</v>
      </c>
      <c r="J155" s="25">
        <v>6.8038693999999993E-6</v>
      </c>
      <c r="K155" s="25">
        <v>9.2830970289999983E-7</v>
      </c>
      <c r="M155" s="25">
        <v>4814284.2011630479</v>
      </c>
      <c r="N155" s="25">
        <v>1.3521051499999997E-5</v>
      </c>
      <c r="O155" s="25">
        <v>9.1950591069999998E-7</v>
      </c>
      <c r="Q155" s="25">
        <v>3954226.0006139143</v>
      </c>
      <c r="R155" s="25">
        <v>9.3153882999999976E-6</v>
      </c>
      <c r="S155" s="25">
        <v>6.2963631524999986E-7</v>
      </c>
      <c r="U155" s="25">
        <v>4766396.7828580169</v>
      </c>
      <c r="V155" s="25">
        <v>1.11299195E-5</v>
      </c>
      <c r="W155" s="25">
        <v>9.4045954594999979E-7</v>
      </c>
    </row>
    <row r="156" spans="1:23" x14ac:dyDescent="0.25">
      <c r="A156" s="25">
        <v>4040780.505239401</v>
      </c>
      <c r="B156" s="25">
        <v>6.1398785000000006E-6</v>
      </c>
      <c r="C156" s="25">
        <v>1.1041265000000001E-6</v>
      </c>
      <c r="E156" s="25">
        <v>4300089.6039130939</v>
      </c>
      <c r="F156" s="25">
        <v>6.5121475499999989E-6</v>
      </c>
      <c r="G156" s="25">
        <v>1.0783055E-6</v>
      </c>
      <c r="I156" s="25">
        <v>4881925.578266494</v>
      </c>
      <c r="J156" s="25">
        <v>6.8269533999999987E-6</v>
      </c>
      <c r="K156" s="25">
        <v>9.288400604999999E-7</v>
      </c>
      <c r="M156" s="25">
        <v>4838553.4976271158</v>
      </c>
      <c r="N156" s="25">
        <v>1.3599044E-5</v>
      </c>
      <c r="O156" s="25">
        <v>9.2020729029999998E-7</v>
      </c>
      <c r="Q156" s="25">
        <v>3988864.8638659981</v>
      </c>
      <c r="R156" s="25">
        <v>9.3397400499999999E-6</v>
      </c>
      <c r="S156" s="25">
        <v>6.3096729535000007E-7</v>
      </c>
      <c r="U156" s="25">
        <v>4795685.1276145065</v>
      </c>
      <c r="V156" s="25">
        <v>1.1181589999999999E-5</v>
      </c>
      <c r="W156" s="25">
        <v>9.4269761915000015E-7</v>
      </c>
    </row>
    <row r="157" spans="1:23" x14ac:dyDescent="0.25">
      <c r="A157" s="25">
        <v>4067303.3396219211</v>
      </c>
      <c r="B157" s="25">
        <v>6.1815537500000012E-6</v>
      </c>
      <c r="C157" s="25">
        <v>1.1028463000000001E-6</v>
      </c>
      <c r="E157" s="25">
        <v>4333862.909570694</v>
      </c>
      <c r="F157" s="25">
        <v>6.5402552999999991E-6</v>
      </c>
      <c r="G157" s="25">
        <v>1.0783372999999999E-6</v>
      </c>
      <c r="I157" s="25">
        <v>4907500.5122897802</v>
      </c>
      <c r="J157" s="25">
        <v>6.8503140499999985E-6</v>
      </c>
      <c r="K157" s="25">
        <v>9.2977626589999988E-7</v>
      </c>
      <c r="M157" s="25">
        <v>4870316.363393303</v>
      </c>
      <c r="N157" s="25">
        <v>1.3728125500000001E-5</v>
      </c>
      <c r="O157" s="25">
        <v>9.1968506979999986E-7</v>
      </c>
      <c r="Q157" s="25">
        <v>4023761.1502992059</v>
      </c>
      <c r="R157" s="25">
        <v>9.4131226999999995E-6</v>
      </c>
      <c r="S157" s="25">
        <v>6.3181041970000002E-7</v>
      </c>
      <c r="U157" s="25">
        <v>4828460.9042146206</v>
      </c>
      <c r="V157" s="25">
        <v>1.1240569999999998E-5</v>
      </c>
      <c r="W157" s="25">
        <v>9.4561567040000017E-7</v>
      </c>
    </row>
    <row r="158" spans="1:23" x14ac:dyDescent="0.25">
      <c r="A158" s="25">
        <v>4089545.9797561788</v>
      </c>
      <c r="B158" s="25">
        <v>6.1924609000000005E-6</v>
      </c>
      <c r="C158" s="25">
        <v>1.103582E-6</v>
      </c>
      <c r="E158" s="25">
        <v>4368504.5549079366</v>
      </c>
      <c r="F158" s="25">
        <v>6.582090150000001E-6</v>
      </c>
      <c r="G158" s="25">
        <v>1.0783684499999998E-6</v>
      </c>
      <c r="I158" s="25">
        <v>4937588.0569210872</v>
      </c>
      <c r="J158" s="25">
        <v>6.8647729499999994E-6</v>
      </c>
      <c r="K158" s="25">
        <v>9.2958595699999995E-7</v>
      </c>
      <c r="M158" s="25">
        <v>4903559.4403796615</v>
      </c>
      <c r="N158" s="25">
        <v>1.38016055E-5</v>
      </c>
      <c r="O158" s="25">
        <v>9.2013621044999985E-7</v>
      </c>
      <c r="Q158" s="25">
        <v>4066287.4598209378</v>
      </c>
      <c r="R158" s="25">
        <v>9.5257171000000024E-6</v>
      </c>
      <c r="S158" s="25">
        <v>6.3275294045000009E-7</v>
      </c>
      <c r="U158" s="25">
        <v>4859715.9983247826</v>
      </c>
      <c r="V158" s="25">
        <v>1.12746405E-5</v>
      </c>
      <c r="W158" s="25">
        <v>9.4777495860000019E-7</v>
      </c>
    </row>
    <row r="159" spans="1:23" x14ac:dyDescent="0.25">
      <c r="A159" s="25">
        <v>4122247.8955234811</v>
      </c>
      <c r="B159" s="25">
        <v>6.2122273000000008E-6</v>
      </c>
      <c r="C159" s="25">
        <v>1.10414585E-6</v>
      </c>
      <c r="E159" s="25">
        <v>4396720.4866158282</v>
      </c>
      <c r="F159" s="25">
        <v>6.6528735000000003E-6</v>
      </c>
      <c r="G159" s="25">
        <v>1.0789225E-6</v>
      </c>
      <c r="I159" s="25">
        <v>4965153.5420439849</v>
      </c>
      <c r="J159" s="25">
        <v>6.8945976499999998E-6</v>
      </c>
      <c r="K159" s="25">
        <v>9.2961387849999996E-7</v>
      </c>
      <c r="M159" s="25">
        <v>4938025.7474715794</v>
      </c>
      <c r="N159" s="25">
        <v>1.3865017499999998E-5</v>
      </c>
      <c r="O159" s="25">
        <v>9.2011565019999994E-7</v>
      </c>
      <c r="Q159" s="25">
        <v>4101317.6063083308</v>
      </c>
      <c r="R159" s="25">
        <v>9.662264650000001E-6</v>
      </c>
      <c r="S159" s="25">
        <v>6.3448256065000003E-7</v>
      </c>
      <c r="U159" s="25">
        <v>4891690.8821468549</v>
      </c>
      <c r="V159" s="25">
        <v>1.1332483000000001E-5</v>
      </c>
      <c r="W159" s="25">
        <v>9.4989883050000015E-7</v>
      </c>
    </row>
    <row r="160" spans="1:23" x14ac:dyDescent="0.25">
      <c r="A160" s="25">
        <v>4156458.6567452066</v>
      </c>
      <c r="B160" s="25">
        <v>6.2391972500000012E-6</v>
      </c>
      <c r="C160" s="25">
        <v>1.1026271500000003E-6</v>
      </c>
      <c r="E160" s="25">
        <v>4426162.3096361561</v>
      </c>
      <c r="F160" s="25">
        <v>6.718937700000001E-6</v>
      </c>
      <c r="G160" s="25">
        <v>1.0790709499999998E-6</v>
      </c>
      <c r="I160" s="25">
        <v>4996720.9728331175</v>
      </c>
      <c r="J160" s="25">
        <v>6.9257090000000001E-6</v>
      </c>
      <c r="K160" s="25">
        <v>9.3057407185E-7</v>
      </c>
      <c r="M160" s="25">
        <v>4968020.5831692284</v>
      </c>
      <c r="N160" s="25">
        <v>1.3961312999999999E-5</v>
      </c>
      <c r="O160" s="25">
        <v>9.2018587169999977E-7</v>
      </c>
      <c r="Q160" s="25">
        <v>4134360.4458374437</v>
      </c>
      <c r="R160" s="25">
        <v>9.7532739999999991E-6</v>
      </c>
      <c r="S160" s="25">
        <v>6.3587826555000015E-7</v>
      </c>
      <c r="U160" s="25">
        <v>4926473.9596337071</v>
      </c>
      <c r="V160" s="25">
        <v>1.1398776000000001E-5</v>
      </c>
      <c r="W160" s="25">
        <v>9.5091462524999974E-7</v>
      </c>
    </row>
    <row r="161" spans="1:23" x14ac:dyDescent="0.25">
      <c r="A161" s="25">
        <v>4191182.6307065324</v>
      </c>
      <c r="B161" s="25">
        <v>6.2647108499999997E-6</v>
      </c>
      <c r="C161" s="25">
        <v>1.1018753999999999E-6</v>
      </c>
      <c r="E161" s="25">
        <v>4461396.4691077424</v>
      </c>
      <c r="F161" s="25">
        <v>6.7762162000000008E-6</v>
      </c>
      <c r="G161" s="25">
        <v>1.0791990999999999E-6</v>
      </c>
      <c r="I161" s="25">
        <v>5031175.2238033637</v>
      </c>
      <c r="J161" s="25">
        <v>6.9588259499999988E-6</v>
      </c>
      <c r="K161" s="25">
        <v>9.2931551594999986E-7</v>
      </c>
      <c r="M161" s="25">
        <v>4990984.415571061</v>
      </c>
      <c r="N161" s="25">
        <v>1.4059953000000001E-5</v>
      </c>
      <c r="O161" s="25">
        <v>9.2193105844999983E-7</v>
      </c>
      <c r="Q161" s="25">
        <v>4169709.7970694304</v>
      </c>
      <c r="R161" s="25">
        <v>9.8312763000000011E-6</v>
      </c>
      <c r="S161" s="25">
        <v>6.3748840655000011E-7</v>
      </c>
      <c r="U161" s="25">
        <v>4958935.4618525645</v>
      </c>
      <c r="V161" s="25">
        <v>1.1508898000000002E-5</v>
      </c>
      <c r="W161" s="25">
        <v>9.5139767779999991E-7</v>
      </c>
    </row>
    <row r="162" spans="1:23" x14ac:dyDescent="0.25">
      <c r="A162" s="25">
        <v>4224541.4587805225</v>
      </c>
      <c r="B162" s="25">
        <v>6.3129285999999997E-6</v>
      </c>
      <c r="C162" s="25">
        <v>1.0997302500000001E-6</v>
      </c>
      <c r="E162" s="25">
        <v>4488090.2524360269</v>
      </c>
      <c r="F162" s="25">
        <v>6.8384200500000001E-6</v>
      </c>
      <c r="G162" s="25">
        <v>1.0800976E-6</v>
      </c>
      <c r="I162" s="25">
        <v>5063680.6106080208</v>
      </c>
      <c r="J162" s="25">
        <v>6.9903619500000003E-6</v>
      </c>
      <c r="K162" s="25">
        <v>9.2898747544999981E-7</v>
      </c>
      <c r="M162" s="25">
        <v>5020249.4249032084</v>
      </c>
      <c r="N162" s="25">
        <v>1.4142972500000001E-5</v>
      </c>
      <c r="O162" s="25">
        <v>9.2266699885E-7</v>
      </c>
      <c r="Q162" s="25">
        <v>4198582.3810643302</v>
      </c>
      <c r="R162" s="25">
        <v>9.9022344000000009E-6</v>
      </c>
      <c r="S162" s="25">
        <v>6.3921113160000001E-7</v>
      </c>
      <c r="U162" s="25">
        <v>4989967.5225308668</v>
      </c>
      <c r="V162" s="25">
        <v>1.1597020000000002E-5</v>
      </c>
      <c r="W162" s="25">
        <v>9.504924861499999E-7</v>
      </c>
    </row>
    <row r="163" spans="1:23" x14ac:dyDescent="0.25">
      <c r="A163" s="25">
        <v>4258054.2506763926</v>
      </c>
      <c r="B163" s="25">
        <v>6.3604748999999995E-6</v>
      </c>
      <c r="C163" s="25">
        <v>1.0989842500000002E-6</v>
      </c>
      <c r="E163" s="25">
        <v>4522936.2129920088</v>
      </c>
      <c r="F163" s="25">
        <v>6.8830444500000001E-6</v>
      </c>
      <c r="G163" s="25">
        <v>1.0800771999999999E-6</v>
      </c>
      <c r="I163" s="25">
        <v>5098405.8266494181</v>
      </c>
      <c r="J163" s="25">
        <v>7.0227348000000006E-6</v>
      </c>
      <c r="K163" s="25">
        <v>9.2770356164999988E-7</v>
      </c>
      <c r="M163" s="25">
        <v>5056802.4186457852</v>
      </c>
      <c r="N163" s="25">
        <v>1.4220911050000001E-5</v>
      </c>
      <c r="O163" s="25">
        <v>9.2204729470000005E-7</v>
      </c>
      <c r="Q163" s="25">
        <v>4232109.1761739571</v>
      </c>
      <c r="R163" s="25">
        <v>9.9951029000000019E-6</v>
      </c>
      <c r="S163" s="25">
        <v>6.4080073225000006E-7</v>
      </c>
      <c r="U163" s="25">
        <v>5023686.1222747518</v>
      </c>
      <c r="V163" s="25">
        <v>1.1689899000000002E-5</v>
      </c>
      <c r="W163" s="25">
        <v>9.5019007065000017E-7</v>
      </c>
    </row>
    <row r="164" spans="1:23" x14ac:dyDescent="0.25">
      <c r="A164" s="25">
        <v>4284802.8986643367</v>
      </c>
      <c r="B164" s="25">
        <v>6.3898790500000005E-6</v>
      </c>
      <c r="C164" s="25">
        <v>1.09872015E-6</v>
      </c>
      <c r="E164" s="25">
        <v>4553900.1843919437</v>
      </c>
      <c r="F164" s="25">
        <v>6.9547800500000002E-6</v>
      </c>
      <c r="G164" s="25">
        <v>1.07948605E-6</v>
      </c>
      <c r="I164" s="25">
        <v>5131265.5523932735</v>
      </c>
      <c r="J164" s="25">
        <v>7.0645645000000013E-6</v>
      </c>
      <c r="K164" s="25">
        <v>9.2621549755E-7</v>
      </c>
      <c r="M164" s="25">
        <v>5083805.9941693367</v>
      </c>
      <c r="N164" s="25">
        <v>1.4321129049999999E-5</v>
      </c>
      <c r="O164" s="25">
        <v>9.2056999110000009E-7</v>
      </c>
      <c r="Q164" s="25">
        <v>4256049.5320185153</v>
      </c>
      <c r="R164" s="25">
        <v>1.0114823799999999E-5</v>
      </c>
      <c r="S164" s="25">
        <v>6.4177200720000008E-7</v>
      </c>
      <c r="U164" s="25">
        <v>5055752.247046221</v>
      </c>
      <c r="V164" s="25">
        <v>1.1769275500000001E-5</v>
      </c>
      <c r="W164" s="25">
        <v>9.476153963E-7</v>
      </c>
    </row>
    <row r="165" spans="1:23" x14ac:dyDescent="0.25">
      <c r="A165" s="25">
        <v>4308790.4621132333</v>
      </c>
      <c r="B165" s="25">
        <v>6.4289316999999998E-6</v>
      </c>
      <c r="C165" s="25">
        <v>1.1011013999999999E-6</v>
      </c>
      <c r="E165" s="25">
        <v>4587806.2949417243</v>
      </c>
      <c r="F165" s="25">
        <v>7.0129046499999999E-6</v>
      </c>
      <c r="G165" s="25">
        <v>1.0797142500000002E-6</v>
      </c>
      <c r="I165" s="25">
        <v>5166240.8900388097</v>
      </c>
      <c r="J165" s="25">
        <v>7.1022785999999992E-6</v>
      </c>
      <c r="K165" s="25">
        <v>9.2474105030000007E-7</v>
      </c>
      <c r="M165" s="25">
        <v>5114818.4750808533</v>
      </c>
      <c r="N165" s="25">
        <v>1.444017205E-5</v>
      </c>
      <c r="O165" s="25">
        <v>9.1850223215000013E-7</v>
      </c>
      <c r="Q165" s="25">
        <v>4286106.2626465876</v>
      </c>
      <c r="R165" s="25">
        <v>1.0242583749999998E-5</v>
      </c>
      <c r="S165" s="25">
        <v>6.4229443235000005E-7</v>
      </c>
      <c r="U165" s="25">
        <v>5086713.3425416583</v>
      </c>
      <c r="V165" s="25">
        <v>1.1840509499999999E-5</v>
      </c>
      <c r="W165" s="25">
        <v>9.4554026194999989E-7</v>
      </c>
    </row>
    <row r="166" spans="1:23" x14ac:dyDescent="0.25">
      <c r="A166" s="25">
        <v>4344571.6543181352</v>
      </c>
      <c r="B166" s="25">
        <v>6.4765060499999995E-6</v>
      </c>
      <c r="C166" s="25">
        <v>1.1014679E-6</v>
      </c>
      <c r="E166" s="25">
        <v>4615858.7744746255</v>
      </c>
      <c r="F166" s="25">
        <v>7.0723729000000006E-6</v>
      </c>
      <c r="G166" s="25">
        <v>1.0801402000000002E-6</v>
      </c>
      <c r="I166" s="25">
        <v>5200288.6934023285</v>
      </c>
      <c r="J166" s="25">
        <v>7.1492452499999997E-6</v>
      </c>
      <c r="K166" s="25">
        <v>9.2565353214999988E-7</v>
      </c>
      <c r="M166" s="25">
        <v>5142058.4732298488</v>
      </c>
      <c r="N166" s="25">
        <v>1.4531275099999999E-5</v>
      </c>
      <c r="O166" s="25">
        <v>9.1655104200000011E-7</v>
      </c>
      <c r="Q166" s="25">
        <v>4317851.6893428341</v>
      </c>
      <c r="R166" s="25">
        <v>1.0401297099999998E-5</v>
      </c>
      <c r="S166" s="25">
        <v>6.4222287219999986E-7</v>
      </c>
      <c r="U166" s="25">
        <v>5107952.2079846654</v>
      </c>
      <c r="V166" s="25">
        <v>1.1898949E-5</v>
      </c>
      <c r="W166" s="25">
        <v>9.4454830164999996E-7</v>
      </c>
    </row>
    <row r="167" spans="1:23" x14ac:dyDescent="0.25">
      <c r="A167" s="25">
        <v>4379860.1622930206</v>
      </c>
      <c r="B167" s="25">
        <v>6.5153328500000005E-6</v>
      </c>
      <c r="C167" s="25">
        <v>1.09958335E-6</v>
      </c>
      <c r="E167" s="25">
        <v>4648968.0556713231</v>
      </c>
      <c r="F167" s="25">
        <v>7.113517899999999E-6</v>
      </c>
      <c r="G167" s="25">
        <v>1.0807337999999999E-6</v>
      </c>
      <c r="I167" s="25">
        <v>5235462.0439844765</v>
      </c>
      <c r="J167" s="25">
        <v>7.1846601999999996E-6</v>
      </c>
      <c r="K167" s="25">
        <v>9.2638414065000016E-7</v>
      </c>
      <c r="M167" s="25">
        <v>5172855.0900050905</v>
      </c>
      <c r="N167" s="25">
        <v>1.46607086E-5</v>
      </c>
      <c r="O167" s="25">
        <v>9.1542111135000003E-7</v>
      </c>
      <c r="Q167" s="25">
        <v>4351100.4674168462</v>
      </c>
      <c r="R167" s="25">
        <v>1.05243478E-5</v>
      </c>
      <c r="S167" s="25">
        <v>6.4125320020000001E-7</v>
      </c>
      <c r="U167" s="25">
        <v>5129839.8979567178</v>
      </c>
      <c r="V167" s="25">
        <v>1.1948268999999999E-5</v>
      </c>
      <c r="W167" s="25">
        <v>9.4383900664999996E-7</v>
      </c>
    </row>
    <row r="168" spans="1:23" x14ac:dyDescent="0.25">
      <c r="A168" s="25">
        <v>4410139.713929411</v>
      </c>
      <c r="B168" s="25">
        <v>6.5513179500000012E-6</v>
      </c>
      <c r="C168" s="25">
        <v>1.0970168E-6</v>
      </c>
      <c r="E168" s="25">
        <v>4685315.7330850381</v>
      </c>
      <c r="F168" s="25">
        <v>7.1639081999999977E-6</v>
      </c>
      <c r="G168" s="25">
        <v>1.0807779499999999E-6</v>
      </c>
      <c r="I168" s="25">
        <v>5271792.2069857698</v>
      </c>
      <c r="J168" s="25">
        <v>7.2250388000000004E-6</v>
      </c>
      <c r="K168" s="25">
        <v>9.2733493210000005E-7</v>
      </c>
      <c r="M168" s="25">
        <v>5197854.212834659</v>
      </c>
      <c r="N168" s="25">
        <v>1.4745746100000001E-5</v>
      </c>
      <c r="O168" s="25">
        <v>9.1548137960000009E-7</v>
      </c>
      <c r="Q168" s="25">
        <v>4383000.348021768</v>
      </c>
      <c r="R168" s="25">
        <v>1.0622153799999999E-5</v>
      </c>
      <c r="S168" s="25">
        <v>6.4083568529999994E-7</v>
      </c>
      <c r="U168" s="25">
        <v>5154819.6423250083</v>
      </c>
      <c r="V168" s="25">
        <v>1.2035568499999999E-5</v>
      </c>
      <c r="W168" s="25">
        <v>9.4319419479999989E-7</v>
      </c>
    </row>
    <row r="169" spans="1:23" x14ac:dyDescent="0.25">
      <c r="A169" s="25">
        <v>4442277.0956831537</v>
      </c>
      <c r="B169" s="25">
        <v>6.5722730000000001E-6</v>
      </c>
      <c r="C169" s="25">
        <v>1.0956055499999997E-6</v>
      </c>
      <c r="E169" s="25">
        <v>4720222.9882066408</v>
      </c>
      <c r="F169" s="25">
        <v>7.2384034499999971E-6</v>
      </c>
      <c r="G169" s="25">
        <v>1.0804082499999999E-6</v>
      </c>
      <c r="I169" s="25">
        <v>5298419.7360931439</v>
      </c>
      <c r="J169" s="25">
        <v>7.2820901500000002E-6</v>
      </c>
      <c r="K169" s="25">
        <v>9.2884777135000023E-7</v>
      </c>
      <c r="M169" s="25">
        <v>5228054.633423999</v>
      </c>
      <c r="N169" s="25">
        <v>1.4815997049999999E-5</v>
      </c>
      <c r="O169" s="25">
        <v>9.1443467055000016E-7</v>
      </c>
      <c r="Q169" s="25">
        <v>4416207.9383868007</v>
      </c>
      <c r="R169" s="25">
        <v>1.0714094449999997E-5</v>
      </c>
      <c r="S169" s="25">
        <v>6.4106542079999998E-7</v>
      </c>
      <c r="U169" s="25">
        <v>5182181.7892608903</v>
      </c>
      <c r="V169" s="25">
        <v>1.2126205999999999E-5</v>
      </c>
      <c r="W169" s="25">
        <v>9.435089481499999E-7</v>
      </c>
    </row>
    <row r="170" spans="1:23" x14ac:dyDescent="0.25">
      <c r="A170" s="25">
        <v>4474722.4050806565</v>
      </c>
      <c r="B170" s="25">
        <v>6.6036632999999994E-6</v>
      </c>
      <c r="C170" s="25">
        <v>1.0963681499999999E-6</v>
      </c>
      <c r="E170" s="25">
        <v>4747458.2068645852</v>
      </c>
      <c r="F170" s="25">
        <v>7.3021204499999985E-6</v>
      </c>
      <c r="G170" s="25">
        <v>1.0796354999999998E-6</v>
      </c>
      <c r="I170" s="25">
        <v>5324870.0957309185</v>
      </c>
      <c r="J170" s="25">
        <v>7.3280686499999998E-6</v>
      </c>
      <c r="K170" s="25">
        <v>9.3034881560000019E-7</v>
      </c>
      <c r="M170" s="25">
        <v>5253094.8732319055</v>
      </c>
      <c r="N170" s="25">
        <v>1.4905263549999997E-5</v>
      </c>
      <c r="O170" s="25">
        <v>9.1542474080000019E-7</v>
      </c>
      <c r="Q170" s="25">
        <v>4450259.8767859209</v>
      </c>
      <c r="R170" s="25">
        <v>1.0823067299999999E-5</v>
      </c>
      <c r="S170" s="25">
        <v>6.4115262144999988E-7</v>
      </c>
      <c r="U170" s="25">
        <v>5214481.0853474867</v>
      </c>
      <c r="V170" s="25">
        <v>1.2253351499999998E-5</v>
      </c>
      <c r="W170" s="25">
        <v>9.4365833834999997E-7</v>
      </c>
    </row>
    <row r="171" spans="1:23" x14ac:dyDescent="0.25">
      <c r="A171" s="25">
        <v>4505658.8690237347</v>
      </c>
      <c r="B171" s="25">
        <v>6.6498487500000003E-6</v>
      </c>
      <c r="C171" s="25">
        <v>1.0993290999999999E-6</v>
      </c>
      <c r="E171" s="25">
        <v>4779535.6962066488</v>
      </c>
      <c r="F171" s="25">
        <v>7.3457647500000003E-6</v>
      </c>
      <c r="G171" s="25">
        <v>1.0795921999999999E-6</v>
      </c>
      <c r="I171" s="25">
        <v>5358438.4993531695</v>
      </c>
      <c r="J171" s="25">
        <v>7.3818614999999984E-6</v>
      </c>
      <c r="K171" s="25">
        <v>9.3098802834999999E-7</v>
      </c>
      <c r="M171" s="25">
        <v>5288044.3048192961</v>
      </c>
      <c r="N171" s="25">
        <v>1.4979175549999999E-5</v>
      </c>
      <c r="O171" s="25">
        <v>9.1644946280000005E-7</v>
      </c>
      <c r="Q171" s="25">
        <v>4484569.2383661661</v>
      </c>
      <c r="R171" s="25">
        <v>1.0932219249999999E-5</v>
      </c>
      <c r="S171" s="25">
        <v>6.4188942019999994E-7</v>
      </c>
      <c r="U171" s="25">
        <v>5249000.5778694134</v>
      </c>
      <c r="V171" s="25">
        <v>1.2332713E-5</v>
      </c>
      <c r="W171" s="25">
        <v>9.4413830145000003E-7</v>
      </c>
    </row>
    <row r="172" spans="1:23" x14ac:dyDescent="0.25">
      <c r="A172" s="25">
        <v>4541286.0974067561</v>
      </c>
      <c r="B172" s="25">
        <v>6.70606805E-6</v>
      </c>
      <c r="C172" s="25">
        <v>1.1009466E-6</v>
      </c>
      <c r="E172" s="25">
        <v>4807159.1137801977</v>
      </c>
      <c r="F172" s="25">
        <v>7.4046475000000002E-6</v>
      </c>
      <c r="G172" s="25">
        <v>1.0811936E-6</v>
      </c>
      <c r="I172" s="25">
        <v>5391819.3117723158</v>
      </c>
      <c r="J172" s="25">
        <v>7.4402378499999985E-6</v>
      </c>
      <c r="K172" s="25">
        <v>9.3143921729999996E-7</v>
      </c>
      <c r="M172" s="25">
        <v>5318008.3027831912</v>
      </c>
      <c r="N172" s="25">
        <v>1.5050701049999998E-5</v>
      </c>
      <c r="O172" s="25">
        <v>9.1645874249999993E-7</v>
      </c>
      <c r="Q172" s="25">
        <v>4517498.8116955841</v>
      </c>
      <c r="R172" s="25">
        <v>1.0993149449999999E-5</v>
      </c>
      <c r="S172" s="25">
        <v>6.4264361579999988E-7</v>
      </c>
      <c r="U172" s="25">
        <v>5282830.6943292283</v>
      </c>
      <c r="V172" s="25">
        <v>1.2433971499999999E-5</v>
      </c>
      <c r="W172" s="25">
        <v>9.4501328649999992E-7</v>
      </c>
    </row>
    <row r="173" spans="1:23" x14ac:dyDescent="0.25">
      <c r="A173" s="25">
        <v>4578576.1350660818</v>
      </c>
      <c r="B173" s="25">
        <v>6.7614297500000007E-6</v>
      </c>
      <c r="C173" s="25">
        <v>1.0996412499999999E-6</v>
      </c>
      <c r="E173" s="25">
        <v>4838112.8694191957</v>
      </c>
      <c r="F173" s="25">
        <v>7.4548957000000005E-6</v>
      </c>
      <c r="G173" s="25">
        <v>1.0811846500000001E-6</v>
      </c>
      <c r="I173" s="25">
        <v>5425554.4631306604</v>
      </c>
      <c r="J173" s="25">
        <v>7.4933362499999999E-6</v>
      </c>
      <c r="K173" s="25">
        <v>9.3078544690000023E-7</v>
      </c>
      <c r="M173" s="25">
        <v>5354766.8814174579</v>
      </c>
      <c r="N173" s="25">
        <v>1.5163629550000001E-5</v>
      </c>
      <c r="O173" s="25">
        <v>9.1469138399999998E-7</v>
      </c>
      <c r="Q173" s="25">
        <v>4549007.4090651972</v>
      </c>
      <c r="R173" s="25">
        <v>1.1069320949999997E-5</v>
      </c>
      <c r="S173" s="25">
        <v>6.4362587574999994E-7</v>
      </c>
      <c r="U173" s="25">
        <v>5314795.4402680341</v>
      </c>
      <c r="V173" s="25">
        <v>1.2499481999999999E-5</v>
      </c>
      <c r="W173" s="25">
        <v>9.4711207630000009E-7</v>
      </c>
    </row>
    <row r="174" spans="1:23" x14ac:dyDescent="0.25">
      <c r="A174" s="25">
        <v>4613618.3009259589</v>
      </c>
      <c r="B174" s="25">
        <v>6.8089415000000012E-6</v>
      </c>
      <c r="C174" s="25">
        <v>1.0985045499999999E-6</v>
      </c>
      <c r="E174" s="25">
        <v>4873193.7924767276</v>
      </c>
      <c r="F174" s="25">
        <v>7.5032713500000003E-6</v>
      </c>
      <c r="G174" s="25">
        <v>1.0810559500000002E-6</v>
      </c>
      <c r="I174" s="25">
        <v>5461874.2043984476</v>
      </c>
      <c r="J174" s="25">
        <v>7.5293641500000009E-6</v>
      </c>
      <c r="K174" s="25">
        <v>9.298993404E-7</v>
      </c>
      <c r="M174" s="25">
        <v>5375119.7856948208</v>
      </c>
      <c r="N174" s="25">
        <v>1.530207955E-5</v>
      </c>
      <c r="O174" s="25">
        <v>9.1258892494999987E-7</v>
      </c>
      <c r="Q174" s="25">
        <v>4583327.0675726868</v>
      </c>
      <c r="R174" s="25">
        <v>1.1179195599999999E-5</v>
      </c>
      <c r="S174" s="25">
        <v>6.4492259065000001E-7</v>
      </c>
      <c r="U174" s="25">
        <v>5347419.1486191535</v>
      </c>
      <c r="V174" s="25">
        <v>1.2595980999999999E-5</v>
      </c>
      <c r="W174" s="25">
        <v>9.488222588999998E-7</v>
      </c>
    </row>
    <row r="175" spans="1:23" x14ac:dyDescent="0.25">
      <c r="A175" s="25">
        <v>4645047.4490990536</v>
      </c>
      <c r="B175" s="25">
        <v>6.8357556499999997E-6</v>
      </c>
      <c r="C175" s="25">
        <v>1.1005983499999998E-6</v>
      </c>
      <c r="E175" s="25">
        <v>4907723.0644436628</v>
      </c>
      <c r="F175" s="25">
        <v>7.5626716500000007E-6</v>
      </c>
      <c r="G175" s="25">
        <v>1.0803219000000001E-6</v>
      </c>
      <c r="I175" s="25">
        <v>5492097.2315653302</v>
      </c>
      <c r="J175" s="25">
        <v>7.5721287499999994E-6</v>
      </c>
      <c r="K175" s="25">
        <v>9.2833101340000011E-7</v>
      </c>
      <c r="M175" s="25">
        <v>5408619.8437957931</v>
      </c>
      <c r="N175" s="25">
        <v>1.5420540550000002E-5</v>
      </c>
      <c r="O175" s="25">
        <v>9.1135988500000004E-7</v>
      </c>
      <c r="Q175" s="25">
        <v>4616977.425809253</v>
      </c>
      <c r="R175" s="25">
        <v>1.1259118599999999E-5</v>
      </c>
      <c r="S175" s="25">
        <v>6.4574113589999998E-7</v>
      </c>
      <c r="U175" s="25">
        <v>5379617.0658730855</v>
      </c>
      <c r="V175" s="25">
        <v>1.2717066000000001E-5</v>
      </c>
      <c r="W175" s="25">
        <v>9.4949427600000017E-7</v>
      </c>
    </row>
    <row r="176" spans="1:23" x14ac:dyDescent="0.25">
      <c r="A176" s="25">
        <v>4664118.4345025839</v>
      </c>
      <c r="B176" s="25">
        <v>6.8625797999999997E-6</v>
      </c>
      <c r="C176" s="25">
        <v>1.1018024E-6</v>
      </c>
      <c r="E176" s="25">
        <v>4941179.681512217</v>
      </c>
      <c r="F176" s="25">
        <v>7.6197016999999999E-6</v>
      </c>
      <c r="G176" s="25">
        <v>1.0799611500000001E-6</v>
      </c>
      <c r="I176" s="25">
        <v>5521486.5200517466</v>
      </c>
      <c r="J176" s="25">
        <v>7.6260155499999994E-6</v>
      </c>
      <c r="K176" s="25">
        <v>9.2702721015000001E-7</v>
      </c>
      <c r="M176" s="25">
        <v>5442860.0075068511</v>
      </c>
      <c r="N176" s="25">
        <v>1.5512067099999998E-5</v>
      </c>
      <c r="O176" s="25">
        <v>9.116890027E-7</v>
      </c>
      <c r="Q176" s="25">
        <v>4645098.3341152696</v>
      </c>
      <c r="R176" s="25">
        <v>1.1391171500000001E-5</v>
      </c>
      <c r="S176" s="25">
        <v>6.4575647509999997E-7</v>
      </c>
      <c r="U176" s="25">
        <v>5412027.8786756117</v>
      </c>
      <c r="V176" s="25">
        <v>1.2835929499999999E-5</v>
      </c>
      <c r="W176" s="25">
        <v>9.4848774389999983E-7</v>
      </c>
    </row>
    <row r="177" spans="1:23" x14ac:dyDescent="0.25">
      <c r="A177" s="25">
        <v>4689707.2216990329</v>
      </c>
      <c r="B177" s="25">
        <v>6.9055971000000022E-6</v>
      </c>
      <c r="C177" s="25">
        <v>1.1027763000000003E-6</v>
      </c>
      <c r="E177" s="25">
        <v>4971081.2137747081</v>
      </c>
      <c r="F177" s="25">
        <v>7.6636043999999996E-6</v>
      </c>
      <c r="G177" s="25">
        <v>1.0804066000000001E-6</v>
      </c>
      <c r="I177" s="25">
        <v>5555888.6623544637</v>
      </c>
      <c r="J177" s="25">
        <v>7.6797907500000003E-6</v>
      </c>
      <c r="K177" s="25">
        <v>9.267039928E-7</v>
      </c>
      <c r="M177" s="25">
        <v>5475506.8883073078</v>
      </c>
      <c r="N177" s="25">
        <v>1.5572454099999999E-5</v>
      </c>
      <c r="O177" s="25">
        <v>9.1376985839999995E-7</v>
      </c>
      <c r="Q177" s="25">
        <v>4678470.675316222</v>
      </c>
      <c r="R177" s="25">
        <v>1.1503896000000001E-5</v>
      </c>
      <c r="S177" s="25">
        <v>6.4578129859999986E-7</v>
      </c>
      <c r="U177" s="25">
        <v>5447723.3656564355</v>
      </c>
      <c r="V177" s="25">
        <v>1.2955891499999997E-5</v>
      </c>
      <c r="W177" s="25">
        <v>9.4735556509999996E-7</v>
      </c>
    </row>
    <row r="178" spans="1:23" x14ac:dyDescent="0.25">
      <c r="A178" s="25">
        <v>4716332.6986294724</v>
      </c>
      <c r="B178" s="25">
        <v>6.9584949500000018E-6</v>
      </c>
      <c r="C178" s="25">
        <v>1.1002824000000002E-6</v>
      </c>
      <c r="E178" s="25">
        <v>5001861.3014777787</v>
      </c>
      <c r="F178" s="25">
        <v>7.7082571500000002E-6</v>
      </c>
      <c r="G178" s="25">
        <v>1.0806201499999999E-6</v>
      </c>
      <c r="I178" s="25">
        <v>5591353.8214747738</v>
      </c>
      <c r="J178" s="25">
        <v>7.7446405500000003E-6</v>
      </c>
      <c r="K178" s="25">
        <v>9.2694340874999991E-7</v>
      </c>
      <c r="M178" s="25">
        <v>5503096.3807721781</v>
      </c>
      <c r="N178" s="25">
        <v>1.5671358599999998E-5</v>
      </c>
      <c r="O178" s="25">
        <v>9.1550450640000009E-7</v>
      </c>
      <c r="Q178" s="25">
        <v>4714273.0913469875</v>
      </c>
      <c r="R178" s="25">
        <v>1.1562842E-5</v>
      </c>
      <c r="S178" s="25">
        <v>6.450091177E-7</v>
      </c>
      <c r="U178" s="25">
        <v>5481198.6562019279</v>
      </c>
      <c r="V178" s="25">
        <v>1.3073860500000001E-5</v>
      </c>
      <c r="W178" s="25">
        <v>9.4505015805000004E-7</v>
      </c>
    </row>
    <row r="179" spans="1:23" x14ac:dyDescent="0.25">
      <c r="A179" s="25">
        <v>4728937.2035140451</v>
      </c>
      <c r="B179" s="25">
        <v>6.9896519500000006E-6</v>
      </c>
      <c r="C179" s="25">
        <v>1.0993571500000002E-6</v>
      </c>
      <c r="E179" s="25">
        <v>5035603.9598525679</v>
      </c>
      <c r="F179" s="25">
        <v>7.7347536000000003E-6</v>
      </c>
      <c r="G179" s="25">
        <v>1.0801053999999997E-6</v>
      </c>
      <c r="I179" s="25">
        <v>5626704.3415265204</v>
      </c>
      <c r="J179" s="25">
        <v>7.8014905000000005E-6</v>
      </c>
      <c r="K179" s="25">
        <v>9.2716302899999982E-7</v>
      </c>
      <c r="M179" s="25">
        <v>5529400.967663981</v>
      </c>
      <c r="N179" s="25">
        <v>1.5775851600000001E-5</v>
      </c>
      <c r="O179" s="25">
        <v>9.1670701185000007E-7</v>
      </c>
      <c r="Q179" s="25">
        <v>4740344.9111312553</v>
      </c>
      <c r="R179" s="25">
        <v>1.1597571500000001E-5</v>
      </c>
      <c r="S179" s="25">
        <v>6.4382480215000006E-7</v>
      </c>
      <c r="U179" s="25">
        <v>5513751.3993701823</v>
      </c>
      <c r="V179" s="25">
        <v>1.3159709E-5</v>
      </c>
      <c r="W179" s="25">
        <v>9.4237302630000007E-7</v>
      </c>
    </row>
    <row r="180" spans="1:23" x14ac:dyDescent="0.25">
      <c r="A180" s="25">
        <v>4741377.4803219456</v>
      </c>
      <c r="B180" s="25">
        <v>7.0275145500000014E-6</v>
      </c>
      <c r="C180" s="25">
        <v>1.10047435E-6</v>
      </c>
      <c r="E180" s="25">
        <v>5072482.8568350049</v>
      </c>
      <c r="F180" s="25">
        <v>7.7673579999999996E-6</v>
      </c>
      <c r="G180" s="25">
        <v>1.0800138499999999E-6</v>
      </c>
      <c r="I180" s="25">
        <v>5664066.2561448906</v>
      </c>
      <c r="J180" s="25">
        <v>7.8379174500000004E-6</v>
      </c>
      <c r="K180" s="25">
        <v>9.2736166549999991E-7</v>
      </c>
      <c r="M180" s="25">
        <v>5563332.7540375041</v>
      </c>
      <c r="N180" s="25">
        <v>1.5866666550000003E-5</v>
      </c>
      <c r="O180" s="25">
        <v>9.1839569054999999E-7</v>
      </c>
      <c r="Q180" s="25">
        <v>4770144.2185782026</v>
      </c>
      <c r="R180" s="25">
        <v>1.168509E-5</v>
      </c>
      <c r="S180" s="25">
        <v>6.4307701560000001E-7</v>
      </c>
      <c r="U180" s="25">
        <v>5546547.4517368292</v>
      </c>
      <c r="V180" s="25">
        <v>1.32372525E-5</v>
      </c>
      <c r="W180" s="25">
        <v>9.4075685705000009E-7</v>
      </c>
    </row>
    <row r="181" spans="1:23" x14ac:dyDescent="0.25">
      <c r="A181" s="25">
        <v>4772262.6229910636</v>
      </c>
      <c r="B181" s="25">
        <v>7.0700627000000009E-6</v>
      </c>
      <c r="C181" s="25">
        <v>1.1011615500000002E-6</v>
      </c>
      <c r="E181" s="25">
        <v>5106317.4570582267</v>
      </c>
      <c r="F181" s="25">
        <v>7.7891288499999982E-6</v>
      </c>
      <c r="G181" s="25">
        <v>1.0792236E-6</v>
      </c>
      <c r="I181" s="25">
        <v>5697916.0465717986</v>
      </c>
      <c r="J181" s="25">
        <v>7.8735439000000022E-6</v>
      </c>
      <c r="K181" s="25">
        <v>9.2873260085000009E-7</v>
      </c>
      <c r="M181" s="25">
        <v>5587283.3939194512</v>
      </c>
      <c r="N181" s="25">
        <v>1.5989183999999995E-5</v>
      </c>
      <c r="O181" s="25">
        <v>9.1853434584999994E-7</v>
      </c>
      <c r="Q181" s="25">
        <v>4804855.160321001</v>
      </c>
      <c r="R181" s="25">
        <v>1.18118265E-5</v>
      </c>
      <c r="S181" s="25">
        <v>6.4221852649999989E-7</v>
      </c>
      <c r="U181" s="25">
        <v>5580266.0514807142</v>
      </c>
      <c r="V181" s="25">
        <v>1.3273958E-5</v>
      </c>
      <c r="W181" s="25">
        <v>9.4030768320000009E-7</v>
      </c>
    </row>
    <row r="182" spans="1:23" x14ac:dyDescent="0.25">
      <c r="A182" s="25">
        <v>4797389.5187218729</v>
      </c>
      <c r="B182" s="25">
        <v>7.1039695000000008E-6</v>
      </c>
      <c r="C182" s="25">
        <v>1.1007997000000001E-6</v>
      </c>
      <c r="E182" s="25">
        <v>5130058.8854757296</v>
      </c>
      <c r="F182" s="25">
        <v>7.8237548999999998E-6</v>
      </c>
      <c r="G182" s="25">
        <v>1.0785372000000002E-6</v>
      </c>
      <c r="I182" s="25">
        <v>5730963.3635187587</v>
      </c>
      <c r="J182" s="25">
        <v>7.9193512500000008E-6</v>
      </c>
      <c r="K182" s="25">
        <v>9.2943838580000002E-7</v>
      </c>
      <c r="M182" s="25">
        <v>5617668.8409113111</v>
      </c>
      <c r="N182" s="25">
        <v>1.6090681499999998E-5</v>
      </c>
      <c r="O182" s="25">
        <v>9.1843715494999992E-7</v>
      </c>
      <c r="Q182" s="25">
        <v>4832976.0686270176</v>
      </c>
      <c r="R182" s="25">
        <v>1.1926374E-5</v>
      </c>
      <c r="S182" s="25">
        <v>6.4147980934999999E-7</v>
      </c>
      <c r="U182" s="25">
        <v>5614674.0272867111</v>
      </c>
      <c r="V182" s="25">
        <v>1.3317170500000001E-5</v>
      </c>
      <c r="W182" s="25">
        <v>9.4050113840000002E-7</v>
      </c>
    </row>
    <row r="183" spans="1:23" x14ac:dyDescent="0.25">
      <c r="A183" s="25">
        <v>4819734.8014040496</v>
      </c>
      <c r="B183" s="25">
        <v>7.1285707499999998E-6</v>
      </c>
      <c r="C183" s="25">
        <v>1.0992938999999999E-6</v>
      </c>
      <c r="E183" s="25">
        <v>5160277.1063272664</v>
      </c>
      <c r="F183" s="25">
        <v>7.8777497999999977E-6</v>
      </c>
      <c r="G183" s="25">
        <v>1.0788815000000002E-6</v>
      </c>
      <c r="I183" s="25">
        <v>5758924.8745148769</v>
      </c>
      <c r="J183" s="25">
        <v>7.9677965500000014E-6</v>
      </c>
      <c r="K183" s="25">
        <v>9.3003671109999993E-7</v>
      </c>
      <c r="M183" s="25">
        <v>5652114.5895140599</v>
      </c>
      <c r="N183" s="25">
        <v>1.6177518499999999E-5</v>
      </c>
      <c r="O183" s="25">
        <v>9.1758825819999992E-7</v>
      </c>
      <c r="Q183" s="25">
        <v>4866029.2050833758</v>
      </c>
      <c r="R183" s="25">
        <v>1.20435045E-5</v>
      </c>
      <c r="S183" s="25">
        <v>6.406651863E-7</v>
      </c>
      <c r="U183" s="25">
        <v>5645533.743949485</v>
      </c>
      <c r="V183" s="25">
        <v>1.3353869500000001E-5</v>
      </c>
      <c r="W183" s="25">
        <v>9.4018980414999999E-7</v>
      </c>
    </row>
    <row r="184" spans="1:23" x14ac:dyDescent="0.25">
      <c r="A184" s="25">
        <v>4852590.6809932319</v>
      </c>
      <c r="B184" s="25">
        <v>7.1539904000000004E-6</v>
      </c>
      <c r="C184" s="25">
        <v>1.09776075E-6</v>
      </c>
      <c r="E184" s="25">
        <v>5195082.2038394995</v>
      </c>
      <c r="F184" s="25">
        <v>7.9195763999999986E-6</v>
      </c>
      <c r="G184" s="25">
        <v>1.0800125000000003E-6</v>
      </c>
      <c r="I184" s="25">
        <v>5792983.0996119017</v>
      </c>
      <c r="J184" s="25">
        <v>8.0012284000000003E-6</v>
      </c>
      <c r="K184" s="25">
        <v>9.2964865529999997E-7</v>
      </c>
      <c r="M184" s="25">
        <v>5682623.3874409348</v>
      </c>
      <c r="N184" s="25">
        <v>1.6282530499999999E-5</v>
      </c>
      <c r="O184" s="25">
        <v>9.1726970200000009E-7</v>
      </c>
      <c r="Q184" s="25">
        <v>4900595.989844745</v>
      </c>
      <c r="R184" s="25">
        <v>1.21402485E-5</v>
      </c>
      <c r="S184" s="25">
        <v>6.4045415794999995E-7</v>
      </c>
      <c r="U184" s="25">
        <v>5676859.8032425111</v>
      </c>
      <c r="V184" s="25">
        <v>1.3414213000000002E-5</v>
      </c>
      <c r="W184" s="25">
        <v>9.4118628920000005E-7</v>
      </c>
    </row>
    <row r="185" spans="1:23" x14ac:dyDescent="0.25">
      <c r="A185" s="25">
        <v>4868017.8559456039</v>
      </c>
      <c r="B185" s="25">
        <v>7.1745709999999997E-6</v>
      </c>
      <c r="C185" s="25">
        <v>1.0970814999999999E-6</v>
      </c>
      <c r="E185" s="25">
        <v>5229907.7328736074</v>
      </c>
      <c r="F185" s="25">
        <v>7.9507342999999994E-6</v>
      </c>
      <c r="G185" s="25">
        <v>1.0802927000000003E-6</v>
      </c>
      <c r="I185" s="25">
        <v>5818214.1164294956</v>
      </c>
      <c r="J185" s="25">
        <v>8.0392941500000004E-6</v>
      </c>
      <c r="K185" s="25">
        <v>9.2982914455000012E-7</v>
      </c>
      <c r="M185" s="25">
        <v>5712977.9966990426</v>
      </c>
      <c r="N185" s="25">
        <v>1.639296255E-5</v>
      </c>
      <c r="O185" s="25">
        <v>9.1840008170000004E-7</v>
      </c>
      <c r="Q185" s="25">
        <v>4931754.491688028</v>
      </c>
      <c r="R185" s="25">
        <v>1.2194203499999999E-5</v>
      </c>
      <c r="S185" s="25">
        <v>6.4056006860000007E-7</v>
      </c>
      <c r="U185" s="25">
        <v>5710598.678752929</v>
      </c>
      <c r="V185" s="25">
        <v>1.3495362000000001E-5</v>
      </c>
      <c r="W185" s="25">
        <v>9.4181896494999975E-7</v>
      </c>
    </row>
    <row r="186" spans="1:23" x14ac:dyDescent="0.25">
      <c r="A186" s="25">
        <v>4898595.0709709628</v>
      </c>
      <c r="B186" s="25">
        <v>7.1949610999999996E-6</v>
      </c>
      <c r="C186" s="25">
        <v>1.0973158999999999E-6</v>
      </c>
      <c r="E186" s="25">
        <v>5262925.0722218724</v>
      </c>
      <c r="F186" s="25">
        <v>7.9776332499999989E-6</v>
      </c>
      <c r="G186" s="25">
        <v>1.0802733000000002E-6</v>
      </c>
      <c r="I186" s="25">
        <v>5848958.2302716691</v>
      </c>
      <c r="J186" s="25">
        <v>8.0684486499999989E-6</v>
      </c>
      <c r="K186" s="25">
        <v>9.2876351235000025E-7</v>
      </c>
      <c r="M186" s="25">
        <v>5743620.4248055164</v>
      </c>
      <c r="N186" s="25">
        <v>1.648848705E-5</v>
      </c>
      <c r="O186" s="25">
        <v>9.198606222E-7</v>
      </c>
      <c r="Q186" s="25">
        <v>4960307.8709383337</v>
      </c>
      <c r="R186" s="25">
        <v>1.2247461999999999E-5</v>
      </c>
      <c r="S186" s="25">
        <v>6.4142709840000003E-7</v>
      </c>
      <c r="U186" s="25">
        <v>5743820.5222167633</v>
      </c>
      <c r="V186" s="25">
        <v>1.3572955499999999E-5</v>
      </c>
      <c r="W186" s="25">
        <v>9.4199237999999983E-7</v>
      </c>
    </row>
    <row r="187" spans="1:23" x14ac:dyDescent="0.25">
      <c r="A187" s="25">
        <v>4910255.2644146709</v>
      </c>
      <c r="B187" s="25">
        <v>7.233283249999999E-6</v>
      </c>
      <c r="C187" s="25">
        <v>1.0988775499999999E-6</v>
      </c>
      <c r="E187" s="25">
        <v>5298506.5675653145</v>
      </c>
      <c r="F187" s="25">
        <v>8.0104735999999997E-6</v>
      </c>
      <c r="G187" s="25">
        <v>1.0794031500000002E-6</v>
      </c>
      <c r="I187" s="25">
        <v>5884079.4721862869</v>
      </c>
      <c r="J187" s="25">
        <v>8.100116599999999E-6</v>
      </c>
      <c r="K187" s="25">
        <v>9.2746145700000007E-7</v>
      </c>
      <c r="M187" s="25">
        <v>5770192.2720565172</v>
      </c>
      <c r="N187" s="25">
        <v>1.6572993999999996E-5</v>
      </c>
      <c r="O187" s="25">
        <v>9.2072543230000008E-7</v>
      </c>
      <c r="Q187" s="25">
        <v>4993381.6012491826</v>
      </c>
      <c r="R187" s="25">
        <v>1.22998145E-5</v>
      </c>
      <c r="S187" s="25">
        <v>6.4312247325000011E-7</v>
      </c>
      <c r="U187" s="25">
        <v>5778897.5983183393</v>
      </c>
      <c r="V187" s="25">
        <v>1.3673963499999998E-5</v>
      </c>
      <c r="W187" s="25">
        <v>9.4269267954999989E-7</v>
      </c>
    </row>
    <row r="188" spans="1:23" x14ac:dyDescent="0.25">
      <c r="A188" s="25">
        <v>4926021.1597751779</v>
      </c>
      <c r="B188" s="25">
        <v>7.2693662999999995E-6</v>
      </c>
      <c r="C188" s="25">
        <v>1.0989195999999999E-6</v>
      </c>
      <c r="E188" s="25">
        <v>5333771.3743197117</v>
      </c>
      <c r="F188" s="25">
        <v>8.0551042499999984E-6</v>
      </c>
      <c r="G188" s="25">
        <v>1.07886125E-6</v>
      </c>
      <c r="I188" s="25">
        <v>5917043.4152652007</v>
      </c>
      <c r="J188" s="25">
        <v>8.1533123499999988E-6</v>
      </c>
      <c r="K188" s="25">
        <v>9.2524563515000011E-7</v>
      </c>
      <c r="M188" s="25">
        <v>5805748.1790743954</v>
      </c>
      <c r="N188" s="25">
        <v>1.6701240050000001E-5</v>
      </c>
      <c r="O188" s="25">
        <v>9.2122117224999998E-7</v>
      </c>
      <c r="Q188" s="25">
        <v>5022872.0008787801</v>
      </c>
      <c r="R188" s="25">
        <v>1.2370328499999999E-5</v>
      </c>
      <c r="S188" s="25">
        <v>6.4469252830000006E-7</v>
      </c>
      <c r="U188" s="25">
        <v>5813285.2983578034</v>
      </c>
      <c r="V188" s="25">
        <v>1.3747735000000003E-5</v>
      </c>
      <c r="W188" s="25">
        <v>9.4487252519999974E-7</v>
      </c>
    </row>
    <row r="189" spans="1:23" x14ac:dyDescent="0.25">
      <c r="A189" s="25">
        <v>4948233.0071450602</v>
      </c>
      <c r="B189" s="25">
        <v>7.3238477499999999E-6</v>
      </c>
      <c r="C189" s="25">
        <v>1.0968758499999999E-6</v>
      </c>
      <c r="E189" s="25">
        <v>5360393.6473214375</v>
      </c>
      <c r="F189" s="25">
        <v>8.0795948499999986E-6</v>
      </c>
      <c r="G189" s="25">
        <v>1.0799725E-6</v>
      </c>
      <c r="I189" s="25">
        <v>5951508.087968952</v>
      </c>
      <c r="J189" s="25">
        <v>8.192769199999999E-6</v>
      </c>
      <c r="K189" s="25">
        <v>9.2396277014999991E-7</v>
      </c>
      <c r="M189" s="25">
        <v>5834396.4337314712</v>
      </c>
      <c r="N189" s="25">
        <v>1.6819046650000001E-5</v>
      </c>
      <c r="O189" s="25">
        <v>9.2195229799999999E-7</v>
      </c>
      <c r="Q189" s="25">
        <v>5049901.4348968305</v>
      </c>
      <c r="R189" s="25">
        <v>1.2436774499999999E-5</v>
      </c>
      <c r="S189" s="25">
        <v>6.4582061155000013E-7</v>
      </c>
      <c r="U189" s="25">
        <v>5842573.643114293</v>
      </c>
      <c r="V189" s="25">
        <v>1.3800220500000002E-5</v>
      </c>
      <c r="W189" s="25">
        <v>9.474419387E-7</v>
      </c>
    </row>
    <row r="190" spans="1:23" x14ac:dyDescent="0.25">
      <c r="A190" s="25">
        <v>4976141.5159244994</v>
      </c>
      <c r="B190" s="25">
        <v>7.365569500000001E-6</v>
      </c>
      <c r="C190" s="25">
        <v>1.0959156500000002E-6</v>
      </c>
      <c r="E190" s="25">
        <v>5384421.1170451753</v>
      </c>
      <c r="F190" s="25">
        <v>8.1169080500000012E-6</v>
      </c>
      <c r="G190" s="25">
        <v>1.0808965499999999E-6</v>
      </c>
      <c r="I190" s="25">
        <v>5987848.6727037514</v>
      </c>
      <c r="J190" s="25">
        <v>8.2352104999999991E-6</v>
      </c>
      <c r="K190" s="25">
        <v>9.2366561549999978E-7</v>
      </c>
      <c r="M190" s="25">
        <v>5868975.812513819</v>
      </c>
      <c r="N190" s="25">
        <v>1.6942305199999999E-5</v>
      </c>
      <c r="O190" s="25">
        <v>9.2048683770000001E-7</v>
      </c>
      <c r="Q190" s="25">
        <v>5080823.1074134791</v>
      </c>
      <c r="R190" s="25">
        <v>1.2507428E-5</v>
      </c>
      <c r="S190" s="25">
        <v>6.4735442605000014E-7</v>
      </c>
      <c r="U190" s="25">
        <v>5874791.8361347578</v>
      </c>
      <c r="V190" s="25">
        <v>1.3860111500000003E-5</v>
      </c>
      <c r="W190" s="25">
        <v>9.4878693074999997E-7</v>
      </c>
    </row>
    <row r="191" spans="1:23" x14ac:dyDescent="0.25">
      <c r="A191" s="25">
        <v>5002736.2000905639</v>
      </c>
      <c r="B191" s="25">
        <v>7.3728372000000002E-6</v>
      </c>
      <c r="C191" s="25">
        <v>1.0939437499999999E-6</v>
      </c>
      <c r="E191" s="25">
        <v>5413985.5291967466</v>
      </c>
      <c r="F191" s="25">
        <v>8.1670879500000015E-6</v>
      </c>
      <c r="G191" s="25">
        <v>1.0810350499999998E-6</v>
      </c>
      <c r="I191" s="25">
        <v>6023001.1798188873</v>
      </c>
      <c r="J191" s="25">
        <v>8.2753941999999989E-6</v>
      </c>
      <c r="K191" s="25">
        <v>9.2354928545E-7</v>
      </c>
      <c r="M191" s="25">
        <v>5892864.7769282581</v>
      </c>
      <c r="N191" s="25">
        <v>1.7103480699999996E-5</v>
      </c>
      <c r="O191" s="25">
        <v>9.1879113600000013E-7</v>
      </c>
      <c r="Q191" s="25">
        <v>5112970.1142722797</v>
      </c>
      <c r="R191" s="25">
        <v>1.2586208500000001E-5</v>
      </c>
      <c r="S191" s="25">
        <v>6.4754711100000005E-7</v>
      </c>
      <c r="U191" s="25">
        <v>5898473.9314449551</v>
      </c>
      <c r="V191" s="25">
        <v>1.3938954499999999E-5</v>
      </c>
      <c r="W191" s="25">
        <v>9.4902505064999991E-7</v>
      </c>
    </row>
    <row r="192" spans="1:23" x14ac:dyDescent="0.25">
      <c r="A192" s="25">
        <v>5036659.5621781135</v>
      </c>
      <c r="B192" s="25">
        <v>7.3983641499999999E-6</v>
      </c>
      <c r="C192" s="25">
        <v>1.0938932999999999E-6</v>
      </c>
      <c r="E192" s="25">
        <v>5445991.5082122516</v>
      </c>
      <c r="F192" s="25">
        <v>8.2223170000000007E-6</v>
      </c>
      <c r="G192" s="25">
        <v>1.0793732E-6</v>
      </c>
      <c r="I192" s="25">
        <v>6057997.3609314365</v>
      </c>
      <c r="J192" s="25">
        <v>8.3109180000000013E-6</v>
      </c>
      <c r="K192" s="25">
        <v>9.2330234630000007E-7</v>
      </c>
      <c r="M192" s="25">
        <v>5921985.8768362226</v>
      </c>
      <c r="N192" s="25">
        <v>1.7238201699999998E-5</v>
      </c>
      <c r="O192" s="25">
        <v>9.1646991225000013E-7</v>
      </c>
      <c r="Q192" s="25">
        <v>5143459.3158446401</v>
      </c>
      <c r="R192" s="25">
        <v>1.2720029499999999E-5</v>
      </c>
      <c r="S192" s="25">
        <v>6.4718460065000002E-7</v>
      </c>
      <c r="U192" s="25">
        <v>5923818.6396108335</v>
      </c>
      <c r="V192" s="25">
        <v>1.40013435E-5</v>
      </c>
      <c r="W192" s="25">
        <v>9.4913156669999998E-7</v>
      </c>
    </row>
    <row r="193" spans="1:23" x14ac:dyDescent="0.25">
      <c r="A193" s="25">
        <v>5066980.1708336724</v>
      </c>
      <c r="B193" s="25">
        <v>7.429693649999999E-6</v>
      </c>
      <c r="C193" s="25">
        <v>1.0936377500000001E-6</v>
      </c>
      <c r="E193" s="25">
        <v>5474636.5018794965</v>
      </c>
      <c r="F193" s="25">
        <v>8.277472349999999E-6</v>
      </c>
      <c r="G193" s="25">
        <v>1.0786700499999999E-6</v>
      </c>
      <c r="I193" s="25">
        <v>6090846.6649417859</v>
      </c>
      <c r="J193" s="25">
        <v>8.3444948000000009E-6</v>
      </c>
      <c r="K193" s="25">
        <v>9.2378755320000016E-7</v>
      </c>
      <c r="M193" s="25">
        <v>5951703.1729300888</v>
      </c>
      <c r="N193" s="25">
        <v>1.7351755199999999E-5</v>
      </c>
      <c r="O193" s="25">
        <v>9.1635840250000006E-7</v>
      </c>
      <c r="Q193" s="25">
        <v>5176378.5922468137</v>
      </c>
      <c r="R193" s="25">
        <v>1.2817979499999999E-5</v>
      </c>
      <c r="S193" s="25">
        <v>6.4653883955000003E-7</v>
      </c>
      <c r="U193" s="25">
        <v>5957750.1349033117</v>
      </c>
      <c r="V193" s="25">
        <v>1.40860735E-5</v>
      </c>
      <c r="W193" s="25">
        <v>9.4627111205000001E-7</v>
      </c>
    </row>
    <row r="194" spans="1:23" x14ac:dyDescent="0.25">
      <c r="A194" s="25">
        <v>5089027.7901268816</v>
      </c>
      <c r="B194" s="25">
        <v>7.47171385E-6</v>
      </c>
      <c r="C194" s="25">
        <v>1.0928165000000001E-6</v>
      </c>
      <c r="E194" s="25">
        <v>5500625.3977031307</v>
      </c>
      <c r="F194" s="25">
        <v>8.3209128499999984E-6</v>
      </c>
      <c r="G194" s="25">
        <v>1.0783233000000001E-6</v>
      </c>
      <c r="I194" s="25">
        <v>6124863.2031047866</v>
      </c>
      <c r="J194" s="25">
        <v>8.3929849999999997E-6</v>
      </c>
      <c r="K194" s="25">
        <v>9.2448050290000014E-7</v>
      </c>
      <c r="M194" s="25">
        <v>5977113.4655430391</v>
      </c>
      <c r="N194" s="25">
        <v>1.7452088749999999E-5</v>
      </c>
      <c r="O194" s="25">
        <v>9.161861726500001E-7</v>
      </c>
      <c r="Q194" s="25">
        <v>5210358.4521552194</v>
      </c>
      <c r="R194" s="25">
        <v>1.2884644499999997E-5</v>
      </c>
      <c r="S194" s="25">
        <v>6.453284556E-7</v>
      </c>
      <c r="U194" s="25">
        <v>5990556.325153226</v>
      </c>
      <c r="V194" s="25">
        <v>1.4188975500000002E-5</v>
      </c>
      <c r="W194" s="25">
        <v>9.4450356024999999E-7</v>
      </c>
    </row>
    <row r="195" spans="1:23" x14ac:dyDescent="0.25">
      <c r="A195" s="25">
        <v>5123495.1577184079</v>
      </c>
      <c r="B195" s="25">
        <v>7.5161323000000006E-6</v>
      </c>
      <c r="C195" s="25">
        <v>1.0926723000000002E-6</v>
      </c>
      <c r="E195" s="25">
        <v>5538188.750668345</v>
      </c>
      <c r="F195" s="25">
        <v>8.3563093500000002E-6</v>
      </c>
      <c r="G195" s="25">
        <v>1.0790019000000003E-6</v>
      </c>
      <c r="I195" s="25">
        <v>6160130.3492884869</v>
      </c>
      <c r="J195" s="25">
        <v>8.4376822500000003E-6</v>
      </c>
      <c r="K195" s="25">
        <v>9.2516664274999999E-7</v>
      </c>
      <c r="M195" s="25">
        <v>6013265.5687468192</v>
      </c>
      <c r="N195" s="25">
        <v>1.7563114200000003E-5</v>
      </c>
      <c r="O195" s="25">
        <v>9.161065321500002E-7</v>
      </c>
      <c r="Q195" s="25">
        <v>5243854.3564831112</v>
      </c>
      <c r="R195" s="25">
        <v>1.2988314000000001E-5</v>
      </c>
      <c r="S195" s="25">
        <v>6.4484582655000005E-7</v>
      </c>
      <c r="U195" s="25">
        <v>6024163.4081811812</v>
      </c>
      <c r="V195" s="25">
        <v>1.4253071499999999E-5</v>
      </c>
      <c r="W195" s="25">
        <v>9.4289571569999991E-7</v>
      </c>
    </row>
    <row r="196" spans="1:23" x14ac:dyDescent="0.25">
      <c r="A196" s="25">
        <v>5144957.7144884737</v>
      </c>
      <c r="B196" s="25">
        <v>7.547280199999999E-6</v>
      </c>
      <c r="C196" s="25">
        <v>1.0919581500000003E-6</v>
      </c>
      <c r="E196" s="25">
        <v>5572993.8481805781</v>
      </c>
      <c r="F196" s="25">
        <v>8.3873668499999993E-6</v>
      </c>
      <c r="G196" s="25">
        <v>1.0795129500000004E-6</v>
      </c>
      <c r="I196" s="25">
        <v>6189248.6727037514</v>
      </c>
      <c r="J196" s="25">
        <v>8.4688608499999987E-6</v>
      </c>
      <c r="K196" s="25">
        <v>9.2683733050000001E-7</v>
      </c>
      <c r="M196" s="25">
        <v>6040680.3140537515</v>
      </c>
      <c r="N196" s="25">
        <v>1.7695242099999999E-5</v>
      </c>
      <c r="O196" s="25">
        <v>9.1566251115000004E-7</v>
      </c>
      <c r="Q196" s="25">
        <v>5277134.0253388593</v>
      </c>
      <c r="R196" s="25">
        <v>1.3052604499999998E-5</v>
      </c>
      <c r="S196" s="25">
        <v>6.4548443679999994E-7</v>
      </c>
      <c r="U196" s="25">
        <v>6059189.794866425</v>
      </c>
      <c r="V196" s="25">
        <v>1.42910015E-5</v>
      </c>
      <c r="W196" s="25">
        <v>9.4164633999999987E-7</v>
      </c>
    </row>
    <row r="197" spans="1:23" x14ac:dyDescent="0.25">
      <c r="A197" s="25">
        <v>5167693.0388527466</v>
      </c>
      <c r="B197" s="25">
        <v>7.5745257500000005E-6</v>
      </c>
      <c r="C197" s="25">
        <v>1.0905522E-6</v>
      </c>
      <c r="E197" s="25">
        <v>5609259.7995067975</v>
      </c>
      <c r="F197" s="25">
        <v>8.430648549999997E-6</v>
      </c>
      <c r="G197" s="25">
        <v>1.0797685500000003E-6</v>
      </c>
      <c r="I197" s="25">
        <v>6221545.6248382926</v>
      </c>
      <c r="J197" s="25">
        <v>8.5029289499999997E-6</v>
      </c>
      <c r="K197" s="25">
        <v>9.2658075064999995E-7</v>
      </c>
      <c r="M197" s="25">
        <v>6075609.1871519731</v>
      </c>
      <c r="N197" s="25">
        <v>1.7853390100000002E-5</v>
      </c>
      <c r="O197" s="25">
        <v>9.1351225535000006E-7</v>
      </c>
      <c r="Q197" s="25">
        <v>5309744.3939236831</v>
      </c>
      <c r="R197" s="25">
        <v>1.3117700000000001E-5</v>
      </c>
      <c r="S197" s="25">
        <v>6.4694016265000006E-7</v>
      </c>
      <c r="U197" s="25">
        <v>6093384.8751238286</v>
      </c>
      <c r="V197" s="25">
        <v>1.4322642999999998E-5</v>
      </c>
      <c r="W197" s="25">
        <v>9.3993311914999986E-7</v>
      </c>
    </row>
    <row r="198" spans="1:23" x14ac:dyDescent="0.25">
      <c r="A198" s="25">
        <v>5198639.7670506174</v>
      </c>
      <c r="B198" s="25">
        <v>7.6187442999999998E-6</v>
      </c>
      <c r="C198" s="25">
        <v>1.0903955E-6</v>
      </c>
      <c r="E198" s="25">
        <v>5648100.1225891309</v>
      </c>
      <c r="F198" s="25">
        <v>8.4804621499999997E-6</v>
      </c>
      <c r="G198" s="25">
        <v>1.0797448500000003E-6</v>
      </c>
      <c r="I198" s="25">
        <v>6254697.159120311</v>
      </c>
      <c r="J198" s="25">
        <v>8.5295640999999969E-6</v>
      </c>
      <c r="K198" s="25">
        <v>9.2668620370000008E-7</v>
      </c>
      <c r="M198" s="25">
        <v>6093155.8576577595</v>
      </c>
      <c r="N198" s="25">
        <v>1.8007484599999999E-5</v>
      </c>
      <c r="O198" s="25">
        <v>9.1255425045000003E-7</v>
      </c>
      <c r="Q198" s="25">
        <v>5339965.8753876742</v>
      </c>
      <c r="R198" s="25">
        <v>1.3193462499999999E-5</v>
      </c>
      <c r="S198" s="25">
        <v>6.4893825714999992E-7</v>
      </c>
      <c r="U198" s="25">
        <v>6125937.618292083</v>
      </c>
      <c r="V198" s="25">
        <v>1.4364462499999999E-5</v>
      </c>
      <c r="W198" s="25">
        <v>9.4062670549999988E-7</v>
      </c>
    </row>
    <row r="199" spans="1:23" x14ac:dyDescent="0.25">
      <c r="A199" s="25">
        <v>5230582.127963312</v>
      </c>
      <c r="B199" s="25">
        <v>7.6521864000000008E-6</v>
      </c>
      <c r="C199" s="25">
        <v>1.0906096000000001E-6</v>
      </c>
      <c r="E199" s="25">
        <v>5682762.1994482474</v>
      </c>
      <c r="F199" s="25">
        <v>8.5318822999999993E-6</v>
      </c>
      <c r="G199" s="25">
        <v>1.0790075000000003E-6</v>
      </c>
      <c r="I199" s="25">
        <v>6285389.1642949553</v>
      </c>
      <c r="J199" s="25">
        <v>8.5736132999999974E-6</v>
      </c>
      <c r="K199" s="25">
        <v>9.2660426955000007E-7</v>
      </c>
      <c r="M199" s="25">
        <v>6119840.7765991911</v>
      </c>
      <c r="N199" s="25">
        <v>1.8177109649999999E-5</v>
      </c>
      <c r="O199" s="25">
        <v>9.1247734414999982E-7</v>
      </c>
      <c r="Q199" s="25">
        <v>5368560.4423469603</v>
      </c>
      <c r="R199" s="25">
        <v>1.3288988499999998E-5</v>
      </c>
      <c r="S199" s="25">
        <v>6.5069048960000001E-7</v>
      </c>
      <c r="U199" s="25">
        <v>6157496.8489002353</v>
      </c>
      <c r="V199" s="25">
        <v>1.4428087000000001E-5</v>
      </c>
      <c r="W199" s="25">
        <v>9.4069874315000005E-7</v>
      </c>
    </row>
    <row r="200" spans="1:23" x14ac:dyDescent="0.25">
      <c r="A200" s="25">
        <v>5266353.0559134213</v>
      </c>
      <c r="B200" s="25">
        <v>7.6759060000000002E-6</v>
      </c>
      <c r="C200" s="25">
        <v>1.0917229500000001E-6</v>
      </c>
      <c r="E200" s="25">
        <v>5713184.7355185235</v>
      </c>
      <c r="F200" s="25">
        <v>8.5772982999999994E-6</v>
      </c>
      <c r="G200" s="25">
        <v>1.0784746500000003E-6</v>
      </c>
      <c r="I200" s="25">
        <v>6317290.0905562742</v>
      </c>
      <c r="J200" s="25">
        <v>8.621371199999999E-6</v>
      </c>
      <c r="K200" s="25">
        <v>9.2653630754999991E-7</v>
      </c>
      <c r="M200" s="25">
        <v>6145456.6541038314</v>
      </c>
      <c r="N200" s="25">
        <v>1.8293641649999998E-5</v>
      </c>
      <c r="O200" s="25">
        <v>9.1228390599999989E-7</v>
      </c>
      <c r="Q200" s="25">
        <v>5400213.1966980016</v>
      </c>
      <c r="R200" s="25">
        <v>1.33683535E-5</v>
      </c>
      <c r="S200" s="25">
        <v>6.5160571415000002E-7</v>
      </c>
      <c r="U200" s="25">
        <v>6188062.5669482853</v>
      </c>
      <c r="V200" s="25">
        <v>1.4467057500000001E-5</v>
      </c>
      <c r="W200" s="25">
        <v>9.4148120705000006E-7</v>
      </c>
    </row>
    <row r="201" spans="1:23" x14ac:dyDescent="0.25">
      <c r="A201" s="25">
        <v>5294066.5438518133</v>
      </c>
      <c r="B201" s="25">
        <v>7.6973417500000009E-6</v>
      </c>
      <c r="C201" s="25">
        <v>1.09361325E-6</v>
      </c>
      <c r="E201" s="25">
        <v>5748194.1482494967</v>
      </c>
      <c r="F201" s="25">
        <v>8.6240048500000004E-6</v>
      </c>
      <c r="G201" s="25">
        <v>1.0788447500000001E-6</v>
      </c>
      <c r="I201" s="25">
        <v>6351098.1940491591</v>
      </c>
      <c r="J201" s="25">
        <v>8.6649406499999988E-6</v>
      </c>
      <c r="K201" s="25">
        <v>9.2614044144999977E-7</v>
      </c>
      <c r="M201" s="25">
        <v>6178843.6405143738</v>
      </c>
      <c r="N201" s="25">
        <v>1.8420842250000002E-5</v>
      </c>
      <c r="O201" s="25">
        <v>9.1112725614999993E-7</v>
      </c>
      <c r="Q201" s="25">
        <v>5434409.2920785518</v>
      </c>
      <c r="R201" s="25">
        <v>1.3408875E-5</v>
      </c>
      <c r="S201" s="25">
        <v>6.523712585499999E-7</v>
      </c>
      <c r="U201" s="25">
        <v>6213093.0007329071</v>
      </c>
      <c r="V201" s="25">
        <v>1.4570625000000001E-5</v>
      </c>
      <c r="W201" s="25">
        <v>9.4141393285000003E-7</v>
      </c>
    </row>
    <row r="202" spans="1:23" x14ac:dyDescent="0.25">
      <c r="A202" s="25">
        <v>5326604.2315424439</v>
      </c>
      <c r="B202" s="25">
        <v>7.7224221000000009E-6</v>
      </c>
      <c r="C202" s="25">
        <v>1.0957327499999997E-6</v>
      </c>
      <c r="E202" s="25">
        <v>5771772.1244920073</v>
      </c>
      <c r="F202" s="25">
        <v>8.6693126999999992E-6</v>
      </c>
      <c r="G202" s="25">
        <v>1.0795082000000001E-6</v>
      </c>
      <c r="I202" s="25">
        <v>6378319.7619663654</v>
      </c>
      <c r="J202" s="25">
        <v>8.6977477499999987E-6</v>
      </c>
      <c r="K202" s="25">
        <v>9.2597665849999988E-7</v>
      </c>
      <c r="M202" s="25">
        <v>6200409.495652711</v>
      </c>
      <c r="N202" s="25">
        <v>1.8513153800000002E-5</v>
      </c>
      <c r="O202" s="25">
        <v>9.1059669675000013E-7</v>
      </c>
      <c r="Q202" s="25">
        <v>5463158.3129465124</v>
      </c>
      <c r="R202" s="25">
        <v>1.3476481000000002E-5</v>
      </c>
      <c r="S202" s="25">
        <v>6.5309350534999993E-7</v>
      </c>
      <c r="U202" s="25">
        <v>6240698.4568671826</v>
      </c>
      <c r="V202" s="25">
        <v>1.4673966950000001E-5</v>
      </c>
      <c r="W202" s="25">
        <v>9.4222461094999994E-7</v>
      </c>
    </row>
    <row r="203" spans="1:23" x14ac:dyDescent="0.25">
      <c r="A203" s="25">
        <v>5360681.5574518731</v>
      </c>
      <c r="B203" s="25">
        <v>7.7687848E-6</v>
      </c>
      <c r="C203" s="25">
        <v>1.09710635E-6</v>
      </c>
      <c r="E203" s="25">
        <v>5792969.8284362061</v>
      </c>
      <c r="F203" s="25">
        <v>8.7208767500000012E-6</v>
      </c>
      <c r="G203" s="25">
        <v>1.0792757999999999E-6</v>
      </c>
      <c r="I203" s="25">
        <v>6411377.5006468305</v>
      </c>
      <c r="J203" s="25">
        <v>8.7336965500000003E-6</v>
      </c>
      <c r="K203" s="25">
        <v>9.2522266749999985E-7</v>
      </c>
      <c r="M203" s="25">
        <v>6232655.485914371</v>
      </c>
      <c r="N203" s="25">
        <v>1.8612377750000002E-5</v>
      </c>
      <c r="O203" s="25">
        <v>9.1076008179999992E-7</v>
      </c>
      <c r="Q203" s="25">
        <v>5493493.0606101975</v>
      </c>
      <c r="R203" s="25">
        <v>1.35087955E-5</v>
      </c>
      <c r="S203" s="25">
        <v>6.5434089440000002E-7</v>
      </c>
      <c r="U203" s="25">
        <v>6271811.6206116145</v>
      </c>
      <c r="V203" s="25">
        <v>1.4778033900000003E-5</v>
      </c>
      <c r="W203" s="25">
        <v>9.4363076935000002E-7</v>
      </c>
    </row>
    <row r="204" spans="1:23" x14ac:dyDescent="0.25">
      <c r="A204" s="25">
        <v>5392100.4413701762</v>
      </c>
      <c r="B204" s="25">
        <v>7.8241468500000014E-6</v>
      </c>
      <c r="C204" s="25">
        <v>1.0980831500000002E-6</v>
      </c>
      <c r="E204" s="25">
        <v>5823913.3683142671</v>
      </c>
      <c r="F204" s="25">
        <v>8.7687353499999993E-6</v>
      </c>
      <c r="G204" s="25">
        <v>1.0783768499999998E-6</v>
      </c>
      <c r="I204" s="25">
        <v>6442538.4838292366</v>
      </c>
      <c r="J204" s="25">
        <v>8.766585950000001E-6</v>
      </c>
      <c r="K204" s="25">
        <v>9.246554440500001E-7</v>
      </c>
      <c r="M204" s="25">
        <v>6265621.0232969476</v>
      </c>
      <c r="N204" s="25">
        <v>1.8711609700000001E-5</v>
      </c>
      <c r="O204" s="25">
        <v>9.1017042795000004E-7</v>
      </c>
      <c r="Q204" s="25">
        <v>5528914.4903328996</v>
      </c>
      <c r="R204" s="25">
        <v>1.3537878499999999E-5</v>
      </c>
      <c r="S204" s="25">
        <v>6.5600552265000003E-7</v>
      </c>
      <c r="U204" s="25">
        <v>6299052.1129483012</v>
      </c>
      <c r="V204" s="25">
        <v>1.4846959450000002E-5</v>
      </c>
      <c r="W204" s="25">
        <v>9.4482061580000003E-7</v>
      </c>
    </row>
    <row r="205" spans="1:23" x14ac:dyDescent="0.25">
      <c r="A205" s="25">
        <v>5419033.8459443757</v>
      </c>
      <c r="B205" s="25">
        <v>7.8784560500000013E-6</v>
      </c>
      <c r="C205" s="25">
        <v>1.09630625E-6</v>
      </c>
      <c r="E205" s="25">
        <v>5852098.6527393488</v>
      </c>
      <c r="F205" s="25">
        <v>8.8101675999999985E-6</v>
      </c>
      <c r="G205" s="25">
        <v>1.0779836499999999E-6</v>
      </c>
      <c r="I205" s="25">
        <v>6473136.6934023285</v>
      </c>
      <c r="J205" s="25">
        <v>8.8056454500000012E-6</v>
      </c>
      <c r="K205" s="25">
        <v>9.2421520030000007E-7</v>
      </c>
      <c r="M205" s="25">
        <v>6301639.4963211287</v>
      </c>
      <c r="N205" s="25">
        <v>1.8812697200000002E-5</v>
      </c>
      <c r="O205" s="25">
        <v>9.0884006174999996E-7</v>
      </c>
      <c r="Q205" s="25">
        <v>5563501.8689487586</v>
      </c>
      <c r="R205" s="25">
        <v>1.3586126E-5</v>
      </c>
      <c r="S205" s="25">
        <v>6.5747906039999999E-7</v>
      </c>
      <c r="U205" s="25">
        <v>6328796.6624517767</v>
      </c>
      <c r="V205" s="25">
        <v>1.4889132950000002E-5</v>
      </c>
      <c r="W205" s="25">
        <v>9.457306050500001E-7</v>
      </c>
    </row>
    <row r="206" spans="1:23" x14ac:dyDescent="0.25">
      <c r="A206" s="25">
        <v>5453798.8769248696</v>
      </c>
      <c r="B206" s="25">
        <v>7.9233066500000011E-6</v>
      </c>
      <c r="C206" s="25">
        <v>1.0944969E-6</v>
      </c>
      <c r="E206" s="25">
        <v>5877903.6648661178</v>
      </c>
      <c r="F206" s="25">
        <v>8.8554070499999982E-6</v>
      </c>
      <c r="G206" s="25">
        <v>1.0781878499999999E-6</v>
      </c>
      <c r="I206" s="25">
        <v>6503526.4683053046</v>
      </c>
      <c r="J206" s="25">
        <v>8.8436558000000012E-6</v>
      </c>
      <c r="K206" s="25">
        <v>9.2364844295000029E-7</v>
      </c>
      <c r="M206" s="25">
        <v>6331644.6112633627</v>
      </c>
      <c r="N206" s="25">
        <v>1.8915772149999997E-5</v>
      </c>
      <c r="O206" s="25">
        <v>9.0703707945000012E-7</v>
      </c>
      <c r="Q206" s="25">
        <v>5598346.6707457416</v>
      </c>
      <c r="R206" s="25">
        <v>1.3643388500000001E-5</v>
      </c>
      <c r="S206" s="25">
        <v>6.5786744875000009E-7</v>
      </c>
      <c r="U206" s="25">
        <v>6362930.9154095817</v>
      </c>
      <c r="V206" s="25">
        <v>1.4960056950000003E-5</v>
      </c>
      <c r="W206" s="25">
        <v>9.4640699060000013E-7</v>
      </c>
    </row>
    <row r="207" spans="1:23" x14ac:dyDescent="0.25">
      <c r="A207" s="25">
        <v>5486090.2225004919</v>
      </c>
      <c r="B207" s="25">
        <v>7.9554739000000026E-6</v>
      </c>
      <c r="C207" s="25">
        <v>1.0938994499999999E-6</v>
      </c>
      <c r="E207" s="25">
        <v>5905649.6715709092</v>
      </c>
      <c r="F207" s="25">
        <v>8.9097166499999996E-6</v>
      </c>
      <c r="G207" s="25">
        <v>1.0792991499999997E-6</v>
      </c>
      <c r="I207" s="25">
        <v>6531873.5834411383</v>
      </c>
      <c r="J207" s="25">
        <v>8.8902074000000006E-6</v>
      </c>
      <c r="K207" s="25">
        <v>9.2358195320000026E-7</v>
      </c>
      <c r="M207" s="25">
        <v>6361094.6469980311</v>
      </c>
      <c r="N207" s="25">
        <v>1.901740975E-5</v>
      </c>
      <c r="O207" s="25">
        <v>9.0523685405000014E-7</v>
      </c>
      <c r="Q207" s="25">
        <v>5632995.8309250697</v>
      </c>
      <c r="R207" s="25">
        <v>1.3732104000000001E-5</v>
      </c>
      <c r="S207" s="25">
        <v>6.5764770915000002E-7</v>
      </c>
      <c r="U207" s="25">
        <v>6395453.2449280377</v>
      </c>
      <c r="V207" s="25">
        <v>1.4993951949999999E-5</v>
      </c>
      <c r="W207" s="25">
        <v>9.4660659625000026E-7</v>
      </c>
    </row>
    <row r="208" spans="1:23" x14ac:dyDescent="0.25">
      <c r="A208" s="25">
        <v>5516975.3651696108</v>
      </c>
      <c r="B208" s="25">
        <v>7.9890944500000003E-6</v>
      </c>
      <c r="C208" s="25">
        <v>1.0953661999999999E-6</v>
      </c>
      <c r="E208" s="25">
        <v>5929901.8880352601</v>
      </c>
      <c r="F208" s="25">
        <v>8.9575044499999984E-6</v>
      </c>
      <c r="G208" s="25">
        <v>1.0802644999999996E-6</v>
      </c>
      <c r="I208" s="25">
        <v>6564285.174644243</v>
      </c>
      <c r="J208" s="25">
        <v>8.9168072000000015E-6</v>
      </c>
      <c r="K208" s="25">
        <v>9.2476660985000023E-7</v>
      </c>
      <c r="M208" s="25">
        <v>6385713.4377779728</v>
      </c>
      <c r="N208" s="25">
        <v>1.909830075E-5</v>
      </c>
      <c r="O208" s="25">
        <v>9.0394891579999999E-7</v>
      </c>
      <c r="Q208" s="25">
        <v>5665760.6534185689</v>
      </c>
      <c r="R208" s="25">
        <v>1.3790796000000001E-5</v>
      </c>
      <c r="S208" s="25">
        <v>6.5762536400000006E-7</v>
      </c>
      <c r="U208" s="25">
        <v>6427154.4059019191</v>
      </c>
      <c r="V208" s="25">
        <v>1.5079025950000001E-5</v>
      </c>
      <c r="W208" s="25">
        <v>9.4478834580000029E-7</v>
      </c>
    </row>
    <row r="209" spans="1:23" x14ac:dyDescent="0.25">
      <c r="A209" s="25">
        <v>5550108.3796381773</v>
      </c>
      <c r="B209" s="25">
        <v>8.0196876500000004E-6</v>
      </c>
      <c r="C209" s="25">
        <v>1.0994146E-6</v>
      </c>
      <c r="E209" s="25">
        <v>5964206.4132615821</v>
      </c>
      <c r="F209" s="25">
        <v>9.0092542499999984E-6</v>
      </c>
      <c r="G209" s="25">
        <v>1.0795614499999999E-6</v>
      </c>
      <c r="I209" s="25">
        <v>6598718.5821474772</v>
      </c>
      <c r="J209" s="25">
        <v>8.9418903499999998E-6</v>
      </c>
      <c r="K209" s="25">
        <v>9.2574395569999997E-7</v>
      </c>
      <c r="M209" s="25">
        <v>6418504.2280026125</v>
      </c>
      <c r="N209" s="25">
        <v>1.9194616200000001E-5</v>
      </c>
      <c r="O209" s="25">
        <v>9.0283989500000015E-7</v>
      </c>
      <c r="Q209" s="25">
        <v>5698824.0868021725</v>
      </c>
      <c r="R209" s="25">
        <v>1.3852935500000001E-5</v>
      </c>
      <c r="S209" s="25">
        <v>6.5702814430000006E-7</v>
      </c>
      <c r="U209" s="25">
        <v>6459615.9081207765</v>
      </c>
      <c r="V209" s="25">
        <v>1.5190923900000001E-5</v>
      </c>
      <c r="W209" s="25">
        <v>9.4291034725000014E-7</v>
      </c>
    </row>
    <row r="210" spans="1:23" x14ac:dyDescent="0.25">
      <c r="A210" s="25">
        <v>5567342.0634339405</v>
      </c>
      <c r="B210" s="25">
        <v>8.0532262000000004E-6</v>
      </c>
      <c r="C210" s="25">
        <v>1.0999315E-6</v>
      </c>
      <c r="E210" s="25">
        <v>5995813.9776005466</v>
      </c>
      <c r="F210" s="25">
        <v>9.0634810499999977E-6</v>
      </c>
      <c r="G210" s="25">
        <v>1.07900795E-6</v>
      </c>
      <c r="I210" s="25">
        <v>6632995.6636481248</v>
      </c>
      <c r="J210" s="25">
        <v>8.9749511000000005E-6</v>
      </c>
      <c r="K210" s="25">
        <v>9.2731504245000005E-7</v>
      </c>
      <c r="M210" s="25">
        <v>6451325.8559610061</v>
      </c>
      <c r="N210" s="25">
        <v>1.9302805699999999E-5</v>
      </c>
      <c r="O210" s="25">
        <v>9.0205372495000014E-7</v>
      </c>
      <c r="Q210" s="25">
        <v>5728633.6911763642</v>
      </c>
      <c r="R210" s="25">
        <v>1.3895677000000002E-5</v>
      </c>
      <c r="S210" s="25">
        <v>6.5678617034999997E-7</v>
      </c>
      <c r="U210" s="25">
        <v>6493902.2293275772</v>
      </c>
      <c r="V210" s="25">
        <v>1.52493589E-5</v>
      </c>
      <c r="W210" s="25">
        <v>9.4198713335E-7</v>
      </c>
    </row>
    <row r="211" spans="1:23" x14ac:dyDescent="0.25">
      <c r="A211" s="25">
        <v>5589492.3252750691</v>
      </c>
      <c r="B211" s="25">
        <v>8.1015730499999974E-6</v>
      </c>
      <c r="C211" s="25">
        <v>1.09700955E-6</v>
      </c>
      <c r="E211" s="25">
        <v>6025327.3109474331</v>
      </c>
      <c r="F211" s="25">
        <v>9.0914164499999984E-6</v>
      </c>
      <c r="G211" s="25">
        <v>1.0790081500000001E-6</v>
      </c>
      <c r="I211" s="25">
        <v>6669555.104786546</v>
      </c>
      <c r="J211" s="25">
        <v>8.9919242499999991E-6</v>
      </c>
      <c r="K211" s="25">
        <v>9.2796283290000004E-7</v>
      </c>
      <c r="M211" s="25">
        <v>6483952.1782722929</v>
      </c>
      <c r="N211" s="25">
        <v>1.9399201199999998E-5</v>
      </c>
      <c r="O211" s="25">
        <v>9.0223926185000003E-7</v>
      </c>
      <c r="Q211" s="25">
        <v>5760512.9779267963</v>
      </c>
      <c r="R211" s="25">
        <v>1.3947789000000002E-5</v>
      </c>
      <c r="S211" s="25">
        <v>6.5759346909999995E-7</v>
      </c>
      <c r="U211" s="25">
        <v>6522217.3372904966</v>
      </c>
      <c r="V211" s="25">
        <v>1.5278489399999999E-5</v>
      </c>
      <c r="W211" s="25">
        <v>9.4169961365000005E-7</v>
      </c>
    </row>
    <row r="212" spans="1:23" x14ac:dyDescent="0.25">
      <c r="A212" s="25">
        <v>5600577.7204504265</v>
      </c>
      <c r="B212" s="25">
        <v>8.1443906999999984E-6</v>
      </c>
      <c r="C212" s="25">
        <v>1.0955557499999999E-6</v>
      </c>
      <c r="E212" s="25">
        <v>6058794.1437769243</v>
      </c>
      <c r="F212" s="25">
        <v>9.1150470999999985E-6</v>
      </c>
      <c r="G212" s="25">
        <v>1.0803639999999999E-6</v>
      </c>
      <c r="I212" s="25">
        <v>6701518.561448901</v>
      </c>
      <c r="J212" s="25">
        <v>9.0146550999999988E-6</v>
      </c>
      <c r="K212" s="25">
        <v>9.2878470060000001E-7</v>
      </c>
      <c r="M212" s="25">
        <v>6519508.0852901712</v>
      </c>
      <c r="N212" s="25">
        <v>1.9518853250000004E-5</v>
      </c>
      <c r="O212" s="25">
        <v>9.0481023565000003E-7</v>
      </c>
      <c r="Q212" s="25">
        <v>5792412.8585317172</v>
      </c>
      <c r="R212" s="25">
        <v>1.3975217499999999E-5</v>
      </c>
      <c r="S212" s="25">
        <v>6.5871404614999986E-7</v>
      </c>
      <c r="U212" s="25">
        <v>6554263.1862954339</v>
      </c>
      <c r="V212" s="25">
        <v>1.5323574399999999E-5</v>
      </c>
      <c r="W212" s="25">
        <v>9.4193666774999999E-7</v>
      </c>
    </row>
    <row r="213" spans="1:23" x14ac:dyDescent="0.25">
      <c r="A213" s="25">
        <v>5622389.2618834199</v>
      </c>
      <c r="B213" s="25">
        <v>8.171480149999999E-6</v>
      </c>
      <c r="C213" s="25">
        <v>1.0957861499999999E-6</v>
      </c>
      <c r="E213" s="25">
        <v>6084476.5667724498</v>
      </c>
      <c r="F213" s="25">
        <v>9.1520267999999988E-6</v>
      </c>
      <c r="G213" s="25">
        <v>1.0810338499999999E-6</v>
      </c>
      <c r="I213" s="25">
        <v>6732523.2186287194</v>
      </c>
      <c r="J213" s="25">
        <v>9.051067549999999E-6</v>
      </c>
      <c r="K213" s="25">
        <v>9.2950263864999995E-7</v>
      </c>
      <c r="M213" s="25">
        <v>6550602.8001583638</v>
      </c>
      <c r="N213" s="25">
        <v>1.9610465749999999E-5</v>
      </c>
      <c r="O213" s="25">
        <v>9.0684820864999996E-7</v>
      </c>
      <c r="Q213" s="25">
        <v>5825404.2134246053</v>
      </c>
      <c r="R213" s="25">
        <v>1.4011337999999998E-5</v>
      </c>
      <c r="S213" s="25">
        <v>6.5980970019999999E-7</v>
      </c>
      <c r="U213" s="25">
        <v>6581300.9209667929</v>
      </c>
      <c r="V213" s="25">
        <v>1.53561819E-5</v>
      </c>
      <c r="W213" s="25">
        <v>9.4427452104999994E-7</v>
      </c>
    </row>
    <row r="214" spans="1:23" x14ac:dyDescent="0.25">
      <c r="A214" s="25">
        <v>5631914.4903303925</v>
      </c>
      <c r="B214" s="25">
        <v>8.1945222500000001E-6</v>
      </c>
      <c r="C214" s="25">
        <v>1.09835115E-6</v>
      </c>
      <c r="E214" s="25">
        <v>6116748.1555723166</v>
      </c>
      <c r="F214" s="25">
        <v>9.1969065999999994E-6</v>
      </c>
      <c r="G214" s="25">
        <v>1.0811565999999998E-6</v>
      </c>
      <c r="I214" s="25">
        <v>6764392.8796895212</v>
      </c>
      <c r="J214" s="25">
        <v>9.0870054999999979E-6</v>
      </c>
      <c r="K214" s="25">
        <v>9.2979806524999992E-7</v>
      </c>
      <c r="M214" s="25">
        <v>6581440.5339119444</v>
      </c>
      <c r="N214" s="25">
        <v>1.9665374199999999E-5</v>
      </c>
      <c r="O214" s="25">
        <v>9.0903852200000008E-7</v>
      </c>
      <c r="Q214" s="25">
        <v>5849694.6647954928</v>
      </c>
      <c r="R214" s="25">
        <v>1.40608745E-5</v>
      </c>
      <c r="S214" s="25">
        <v>6.6090157985E-7</v>
      </c>
      <c r="U214" s="25">
        <v>6612880.4273414779</v>
      </c>
      <c r="V214" s="25">
        <v>1.5372618900000003E-5</v>
      </c>
      <c r="W214" s="25">
        <v>9.4647808459999989E-7</v>
      </c>
    </row>
    <row r="215" spans="1:23" x14ac:dyDescent="0.25">
      <c r="A215" s="25">
        <v>5639951.4018325265</v>
      </c>
      <c r="B215" s="25">
        <v>8.2195804499999992E-6</v>
      </c>
      <c r="C215" s="25">
        <v>1.0967252999999999E-6</v>
      </c>
      <c r="E215" s="25">
        <v>6143983.37423026</v>
      </c>
      <c r="F215" s="25">
        <v>9.2348961500000018E-6</v>
      </c>
      <c r="G215" s="25">
        <v>1.0804394000000001E-6</v>
      </c>
      <c r="I215" s="25">
        <v>6796470.9754204396</v>
      </c>
      <c r="J215" s="25">
        <v>9.1214482499999991E-6</v>
      </c>
      <c r="K215" s="25">
        <v>9.2973826599999976E-7</v>
      </c>
      <c r="M215" s="25">
        <v>6616975.8824406527</v>
      </c>
      <c r="N215" s="25">
        <v>1.9711636200000001E-5</v>
      </c>
      <c r="O215" s="25">
        <v>9.1015440380000003E-7</v>
      </c>
      <c r="Q215" s="25">
        <v>5884148.1833571671</v>
      </c>
      <c r="R215" s="25">
        <v>1.4104222999999999E-5</v>
      </c>
      <c r="S215" s="25">
        <v>6.6181619615000006E-7</v>
      </c>
      <c r="U215" s="25">
        <v>6647369.5062136054</v>
      </c>
      <c r="V215" s="25">
        <v>1.5401087450000001E-5</v>
      </c>
      <c r="W215" s="25">
        <v>9.4834041145000006E-7</v>
      </c>
    </row>
    <row r="216" spans="1:23" x14ac:dyDescent="0.25">
      <c r="A216" s="25">
        <v>5670446.5028195493</v>
      </c>
      <c r="B216" s="25">
        <v>8.2659773499999995E-6</v>
      </c>
      <c r="C216" s="25">
        <v>1.0961235499999999E-6</v>
      </c>
      <c r="E216" s="25">
        <v>6168276.4537383588</v>
      </c>
      <c r="F216" s="25">
        <v>9.2790553500000015E-6</v>
      </c>
      <c r="G216" s="25">
        <v>1.0797116499999999E-6</v>
      </c>
      <c r="I216" s="25">
        <v>6828569.9146183701</v>
      </c>
      <c r="J216" s="25">
        <v>9.1552963499999999E-6</v>
      </c>
      <c r="K216" s="25">
        <v>9.271601838999999E-7</v>
      </c>
      <c r="M216" s="25">
        <v>6638408.1073993901</v>
      </c>
      <c r="N216" s="25">
        <v>1.9772465749999999E-5</v>
      </c>
      <c r="O216" s="25">
        <v>9.0971358874999993E-7</v>
      </c>
      <c r="Q216" s="25">
        <v>5917366.0706494451</v>
      </c>
      <c r="R216" s="25">
        <v>1.4185803499999998E-5</v>
      </c>
      <c r="S216" s="25">
        <v>6.6285942634999997E-7</v>
      </c>
      <c r="U216" s="25">
        <v>6680824.5209925659</v>
      </c>
      <c r="V216" s="25">
        <v>1.5469260000000002E-5</v>
      </c>
      <c r="W216" s="25">
        <v>9.5036355115000007E-7</v>
      </c>
    </row>
    <row r="217" spans="1:23" x14ac:dyDescent="0.25">
      <c r="A217" s="25">
        <v>5701187.9459215803</v>
      </c>
      <c r="B217" s="25">
        <v>8.3044469999999999E-6</v>
      </c>
      <c r="C217" s="25">
        <v>1.0945348499999999E-6</v>
      </c>
      <c r="E217" s="25">
        <v>6188238.0506091844</v>
      </c>
      <c r="F217" s="25">
        <v>9.3303772999999999E-6</v>
      </c>
      <c r="G217" s="25">
        <v>1.0788005999999998E-6</v>
      </c>
      <c r="I217" s="25">
        <v>6866473.7593790432</v>
      </c>
      <c r="J217" s="25">
        <v>9.1878163499999997E-6</v>
      </c>
      <c r="K217" s="25">
        <v>9.2620065564999992E-7</v>
      </c>
      <c r="M217" s="25">
        <v>6674334.0672223112</v>
      </c>
      <c r="N217" s="25">
        <v>1.982265825E-5</v>
      </c>
      <c r="O217" s="25">
        <v>9.0939286964999995E-7</v>
      </c>
      <c r="Q217" s="25">
        <v>5946578.4532434288</v>
      </c>
      <c r="R217" s="25">
        <v>1.4283836049999998E-5</v>
      </c>
      <c r="S217" s="25">
        <v>6.6370597549999991E-7</v>
      </c>
      <c r="U217" s="25">
        <v>6714573.5343862502</v>
      </c>
      <c r="V217" s="25">
        <v>1.5564578999999999E-5</v>
      </c>
      <c r="W217" s="25">
        <v>9.5279168600000013E-7</v>
      </c>
    </row>
    <row r="218" spans="1:23" x14ac:dyDescent="0.25">
      <c r="A218" s="25">
        <v>5723430.5860558376</v>
      </c>
      <c r="B218" s="25">
        <v>8.3292425500000002E-6</v>
      </c>
      <c r="C218" s="25">
        <v>1.09496635E-6</v>
      </c>
      <c r="E218" s="25">
        <v>6209190.5762908962</v>
      </c>
      <c r="F218" s="25">
        <v>9.3650304999999994E-6</v>
      </c>
      <c r="G218" s="25">
        <v>1.0785404500000001E-6</v>
      </c>
      <c r="I218" s="25">
        <v>6899958.789133247</v>
      </c>
      <c r="J218" s="25">
        <v>9.2297000499999999E-6</v>
      </c>
      <c r="K218" s="25">
        <v>9.2535763650000008E-7</v>
      </c>
      <c r="M218" s="25">
        <v>6708111.6649270654</v>
      </c>
      <c r="N218" s="25">
        <v>1.9856371749999996E-5</v>
      </c>
      <c r="O218" s="25">
        <v>9.0733446144999975E-7</v>
      </c>
      <c r="Q218" s="25">
        <v>5980249.4053344857</v>
      </c>
      <c r="R218" s="25">
        <v>1.4393772549999998E-5</v>
      </c>
      <c r="S218" s="25">
        <v>6.6361677965000003E-7</v>
      </c>
      <c r="U218" s="25">
        <v>6743324.5713296225</v>
      </c>
      <c r="V218" s="25">
        <v>1.5633001999999996E-5</v>
      </c>
      <c r="W218" s="25">
        <v>9.5370389494999998E-7</v>
      </c>
    </row>
    <row r="219" spans="1:23" x14ac:dyDescent="0.25">
      <c r="A219" s="25">
        <v>5737718.4287262978</v>
      </c>
      <c r="B219" s="25">
        <v>8.3631526499999989E-6</v>
      </c>
      <c r="C219" s="25">
        <v>1.0953731499999999E-6</v>
      </c>
      <c r="E219" s="25">
        <v>6232380.3536178023</v>
      </c>
      <c r="F219" s="25">
        <v>9.4009910499999998E-6</v>
      </c>
      <c r="G219" s="25">
        <v>1.0791033000000001E-6</v>
      </c>
      <c r="I219" s="25">
        <v>6929900.4294954725</v>
      </c>
      <c r="J219" s="25">
        <v>9.2542790000000014E-6</v>
      </c>
      <c r="K219" s="25">
        <v>9.2480925100000012E-7</v>
      </c>
      <c r="M219" s="25">
        <v>6736739.3610949721</v>
      </c>
      <c r="N219" s="25">
        <v>1.9867898199999998E-5</v>
      </c>
      <c r="O219" s="25">
        <v>9.0534879294999986E-7</v>
      </c>
      <c r="Q219" s="25">
        <v>6013178.9786639037</v>
      </c>
      <c r="R219" s="25">
        <v>1.4478780049999999E-5</v>
      </c>
      <c r="S219" s="25">
        <v>6.6348119390000008E-7</v>
      </c>
      <c r="U219" s="25">
        <v>6778878.1279447172</v>
      </c>
      <c r="V219" s="25">
        <v>1.5688319499999997E-5</v>
      </c>
      <c r="W219" s="25">
        <v>9.5529299255000007E-7</v>
      </c>
    </row>
    <row r="220" spans="1:23" x14ac:dyDescent="0.25">
      <c r="A220" s="25">
        <v>5760966.9658301705</v>
      </c>
      <c r="B220" s="25">
        <v>8.413714949999999E-6</v>
      </c>
      <c r="C220" s="25">
        <v>1.0962448000000001E-6</v>
      </c>
      <c r="E220" s="25">
        <v>6259309.0994476378</v>
      </c>
      <c r="F220" s="25">
        <v>9.4339071499999978E-6</v>
      </c>
      <c r="G220" s="25">
        <v>1.0791756E-6</v>
      </c>
      <c r="I220" s="25">
        <v>6962874.7943078913</v>
      </c>
      <c r="J220" s="25">
        <v>9.2768246500000018E-6</v>
      </c>
      <c r="K220" s="25">
        <v>9.2462496745000007E-7</v>
      </c>
      <c r="M220" s="25">
        <v>6769869.3663909016</v>
      </c>
      <c r="N220" s="25">
        <v>1.9959063799999995E-5</v>
      </c>
      <c r="O220" s="25">
        <v>9.0341539199999983E-7</v>
      </c>
      <c r="Q220" s="25">
        <v>6039508.2216292955</v>
      </c>
      <c r="R220" s="25">
        <v>1.4533359049999996E-5</v>
      </c>
      <c r="S220" s="25">
        <v>6.6384974104999995E-7</v>
      </c>
      <c r="U220" s="25">
        <v>6813022.5187857896</v>
      </c>
      <c r="V220" s="25">
        <v>1.5765005999999999E-5</v>
      </c>
      <c r="W220" s="25">
        <v>9.5556948744999998E-7</v>
      </c>
    </row>
    <row r="221" spans="1:23" x14ac:dyDescent="0.25">
      <c r="A221" s="25">
        <v>5775049.5234047901</v>
      </c>
      <c r="B221" s="25">
        <v>8.4478817499999993E-6</v>
      </c>
      <c r="C221" s="25">
        <v>1.0928425999999999E-6</v>
      </c>
      <c r="E221" s="25">
        <v>6288771.3539898396</v>
      </c>
      <c r="F221" s="25">
        <v>9.4771743999999983E-6</v>
      </c>
      <c r="G221" s="25">
        <v>1.0790334500000002E-6</v>
      </c>
      <c r="I221" s="25">
        <v>6998548.3880983181</v>
      </c>
      <c r="J221" s="25">
        <v>9.2986162999999996E-6</v>
      </c>
      <c r="K221" s="25">
        <v>9.2604255420000015E-7</v>
      </c>
      <c r="M221" s="25">
        <v>6797150.4815182351</v>
      </c>
      <c r="N221" s="25">
        <v>2.0004071199999998E-5</v>
      </c>
      <c r="O221" s="25">
        <v>9.0255961144999988E-7</v>
      </c>
      <c r="Q221" s="25">
        <v>6071150.6790530933</v>
      </c>
      <c r="R221" s="25">
        <v>1.4599416549999997E-5</v>
      </c>
      <c r="S221" s="25">
        <v>6.6401896959999992E-7</v>
      </c>
      <c r="U221" s="25">
        <v>6847308.8399925902</v>
      </c>
      <c r="V221" s="25">
        <v>1.583763255E-5</v>
      </c>
      <c r="W221" s="25">
        <v>9.5493339255000005E-7</v>
      </c>
    </row>
    <row r="222" spans="1:23" x14ac:dyDescent="0.25">
      <c r="A222" s="25">
        <v>5797733.5264951037</v>
      </c>
      <c r="B222" s="25">
        <v>8.4828903499999996E-6</v>
      </c>
      <c r="C222" s="25">
        <v>1.08881685E-6</v>
      </c>
      <c r="E222" s="25">
        <v>6303696.5807187427</v>
      </c>
      <c r="F222" s="25">
        <v>9.5248549999999978E-6</v>
      </c>
      <c r="G222" s="25">
        <v>1.0782411000000001E-6</v>
      </c>
      <c r="I222" s="25">
        <v>7035410.0595084094</v>
      </c>
      <c r="J222" s="25">
        <v>9.3215799500000018E-6</v>
      </c>
      <c r="K222" s="25">
        <v>9.2694615705000005E-7</v>
      </c>
      <c r="M222" s="25">
        <v>6831349.528250955</v>
      </c>
      <c r="N222" s="25">
        <v>2.0117280649999999E-5</v>
      </c>
      <c r="O222" s="25">
        <v>9.0227622994999984E-7</v>
      </c>
      <c r="Q222" s="25">
        <v>6105357.071360888</v>
      </c>
      <c r="R222" s="25">
        <v>1.4676920999999996E-5</v>
      </c>
      <c r="S222" s="25">
        <v>6.6332023320000003E-7</v>
      </c>
      <c r="U222" s="25">
        <v>6880256.9606082318</v>
      </c>
      <c r="V222" s="25">
        <v>1.5907514150000002E-5</v>
      </c>
      <c r="W222" s="25">
        <v>9.5393400849999974E-7</v>
      </c>
    </row>
    <row r="223" spans="1:23" x14ac:dyDescent="0.25">
      <c r="A223" s="25">
        <v>5826144.9837593511</v>
      </c>
      <c r="B223" s="25">
        <v>8.5099584500000022E-6</v>
      </c>
      <c r="C223" s="25">
        <v>1.0861659499999998E-6</v>
      </c>
      <c r="E223" s="25">
        <v>6319428.8525616657</v>
      </c>
      <c r="F223" s="25">
        <v>9.5624686499999982E-6</v>
      </c>
      <c r="G223" s="25">
        <v>1.07859355E-6</v>
      </c>
      <c r="I223" s="25">
        <v>7073324.3260025876</v>
      </c>
      <c r="J223" s="25">
        <v>9.3525784499999996E-6</v>
      </c>
      <c r="K223" s="25">
        <v>9.2844373670000012E-7</v>
      </c>
      <c r="M223" s="25">
        <v>6859442.703700467</v>
      </c>
      <c r="N223" s="25">
        <v>2.0229162149999996E-5</v>
      </c>
      <c r="O223" s="25">
        <v>9.0343011154999984E-7</v>
      </c>
      <c r="Q223" s="25">
        <v>6139233.961996844</v>
      </c>
      <c r="R223" s="25">
        <v>1.4760042499999999E-5</v>
      </c>
      <c r="S223" s="25">
        <v>6.6273660194999999E-7</v>
      </c>
      <c r="U223" s="25">
        <v>6909626.4084308529</v>
      </c>
      <c r="V223" s="25">
        <v>1.5974026700000006E-5</v>
      </c>
      <c r="W223" s="25">
        <v>9.5287970799999999E-7</v>
      </c>
    </row>
    <row r="224" spans="1:23" x14ac:dyDescent="0.25">
      <c r="A224" s="25">
        <v>5858107.8731816299</v>
      </c>
      <c r="B224" s="25">
        <v>8.5342089000000001E-6</v>
      </c>
      <c r="C224" s="25">
        <v>1.0851219499999998E-6</v>
      </c>
      <c r="E224" s="25">
        <v>6352415.5446271198</v>
      </c>
      <c r="F224" s="25">
        <v>9.5943456499999974E-6</v>
      </c>
      <c r="G224" s="25">
        <v>1.0789670000000001E-6</v>
      </c>
      <c r="I224" s="25">
        <v>7109112.5588615788</v>
      </c>
      <c r="J224" s="25">
        <v>9.4073425000000001E-6</v>
      </c>
      <c r="K224" s="25">
        <v>9.3098195454999992E-7</v>
      </c>
      <c r="M224" s="25">
        <v>6891832.6033863099</v>
      </c>
      <c r="N224" s="25">
        <v>2.0334302649999997E-5</v>
      </c>
      <c r="O224" s="25">
        <v>9.0421597749999973E-7</v>
      </c>
      <c r="Q224" s="25">
        <v>6171339.7811466642</v>
      </c>
      <c r="R224" s="25">
        <v>1.48173015E-5</v>
      </c>
      <c r="S224" s="25">
        <v>6.6175493884999997E-7</v>
      </c>
      <c r="U224" s="25">
        <v>6943568.0416065976</v>
      </c>
      <c r="V224" s="25">
        <v>1.6067807150000002E-5</v>
      </c>
      <c r="W224" s="25">
        <v>9.5196164414999994E-7</v>
      </c>
    </row>
    <row r="225" spans="1:23" x14ac:dyDescent="0.25">
      <c r="A225" s="25">
        <v>5892544.4480087794</v>
      </c>
      <c r="B225" s="25">
        <v>8.5399142000000009E-6</v>
      </c>
      <c r="C225" s="25">
        <v>1.0858392000000002E-6</v>
      </c>
      <c r="E225" s="25">
        <v>6387036.7584424876</v>
      </c>
      <c r="F225" s="25">
        <v>9.6417009499999998E-6</v>
      </c>
      <c r="G225" s="25">
        <v>1.0789848999999996E-6</v>
      </c>
      <c r="I225" s="25">
        <v>7146849.6558861583</v>
      </c>
      <c r="J225" s="25">
        <v>9.4437380499999988E-6</v>
      </c>
      <c r="K225" s="25">
        <v>9.3194215924999994E-7</v>
      </c>
      <c r="M225" s="25">
        <v>6919524.8882970251</v>
      </c>
      <c r="N225" s="25">
        <v>2.0414978099999998E-5</v>
      </c>
      <c r="O225" s="25">
        <v>9.0624291714999983E-7</v>
      </c>
      <c r="Q225" s="25">
        <v>6203157.2863336261</v>
      </c>
      <c r="R225" s="25">
        <v>1.4894387E-5</v>
      </c>
      <c r="S225" s="25">
        <v>6.6100818970000005E-7</v>
      </c>
      <c r="U225" s="25">
        <v>6978077.3962452579</v>
      </c>
      <c r="V225" s="25">
        <v>1.6168058650000003E-5</v>
      </c>
      <c r="W225" s="25">
        <v>9.53095875E-7</v>
      </c>
    </row>
    <row r="226" spans="1:23" x14ac:dyDescent="0.25">
      <c r="A226" s="25">
        <v>5928356.4329780573</v>
      </c>
      <c r="B226" s="25">
        <v>8.5647019500000009E-6</v>
      </c>
      <c r="C226" s="25">
        <v>1.0868990999999998E-6</v>
      </c>
      <c r="E226" s="25">
        <v>6421014.3793188278</v>
      </c>
      <c r="F226" s="25">
        <v>9.6864057000000009E-6</v>
      </c>
      <c r="G226" s="25">
        <v>1.0785809999999998E-6</v>
      </c>
      <c r="I226" s="25">
        <v>7182116.8020698577</v>
      </c>
      <c r="J226" s="25">
        <v>9.4849976999999978E-6</v>
      </c>
      <c r="K226" s="25">
        <v>9.3296368384999976E-7</v>
      </c>
      <c r="M226" s="25">
        <v>6945747.2412321521</v>
      </c>
      <c r="N226" s="25">
        <v>2.0521670099999997E-5</v>
      </c>
      <c r="O226" s="25">
        <v>9.082735374499999E-7</v>
      </c>
      <c r="Q226" s="25">
        <v>6235942.702681615</v>
      </c>
      <c r="R226" s="25">
        <v>1.4992011049999999E-5</v>
      </c>
      <c r="S226" s="25">
        <v>6.6095493594999997E-7</v>
      </c>
      <c r="U226" s="25">
        <v>7000188.11964917</v>
      </c>
      <c r="V226" s="25">
        <v>1.6265133150000002E-5</v>
      </c>
      <c r="W226" s="25">
        <v>9.5410730700000004E-7</v>
      </c>
    </row>
    <row r="227" spans="1:23" x14ac:dyDescent="0.25">
      <c r="A227" s="25">
        <v>5964260.796240462</v>
      </c>
      <c r="B227" s="25">
        <v>8.5993279999999991E-6</v>
      </c>
      <c r="C227" s="25">
        <v>1.0873838999999998E-6</v>
      </c>
      <c r="E227" s="25">
        <v>6457872.8447793908</v>
      </c>
      <c r="F227" s="25">
        <v>9.7255037000000015E-6</v>
      </c>
      <c r="G227" s="25">
        <v>1.0773262499999998E-6</v>
      </c>
      <c r="I227" s="25">
        <v>7220218.6597671416</v>
      </c>
      <c r="J227" s="25">
        <v>9.5303440000000013E-6</v>
      </c>
      <c r="K227" s="25">
        <v>9.3402184394999987E-7</v>
      </c>
      <c r="M227" s="25">
        <v>6978609.9861688837</v>
      </c>
      <c r="N227" s="25">
        <v>2.0596037549999996E-5</v>
      </c>
      <c r="O227" s="25">
        <v>9.1041671340000004E-7</v>
      </c>
      <c r="Q227" s="25">
        <v>6271477.3986040112</v>
      </c>
      <c r="R227" s="25">
        <v>1.5063501550000002E-5</v>
      </c>
      <c r="S227" s="25">
        <v>6.6116011230000007E-7</v>
      </c>
      <c r="U227" s="25">
        <v>7026698.6843906799</v>
      </c>
      <c r="V227" s="25">
        <v>1.63981866E-5</v>
      </c>
      <c r="W227" s="25">
        <v>9.5487448285000003E-7</v>
      </c>
    </row>
    <row r="228" spans="1:23" x14ac:dyDescent="0.25">
      <c r="A228" s="25">
        <v>5992189.8335294863</v>
      </c>
      <c r="B228" s="25">
        <v>8.647965699999998E-6</v>
      </c>
      <c r="C228" s="25">
        <v>1.08610465E-6</v>
      </c>
      <c r="E228" s="25">
        <v>6495609.8656805325</v>
      </c>
      <c r="F228" s="25">
        <v>9.7519616499999996E-6</v>
      </c>
      <c r="G228" s="25">
        <v>1.0764025499999999E-6</v>
      </c>
      <c r="I228" s="25">
        <v>7256840.631306598</v>
      </c>
      <c r="J228" s="25">
        <v>9.5778800499999997E-6</v>
      </c>
      <c r="K228" s="25">
        <v>9.3474377239999997E-7</v>
      </c>
      <c r="M228" s="25">
        <v>7004719.2674135817</v>
      </c>
      <c r="N228" s="25">
        <v>2.0671977499999996E-5</v>
      </c>
      <c r="O228" s="25">
        <v>9.1037293259999998E-7</v>
      </c>
      <c r="Q228" s="25">
        <v>6304870.3336594533</v>
      </c>
      <c r="R228" s="25">
        <v>1.5156649550000003E-5</v>
      </c>
      <c r="S228" s="25">
        <v>6.6138181299999992E-7</v>
      </c>
      <c r="U228" s="25">
        <v>7060021.9066871768</v>
      </c>
      <c r="V228" s="25">
        <v>1.6483981600000001E-5</v>
      </c>
      <c r="W228" s="25">
        <v>9.5657798914999997E-7</v>
      </c>
    </row>
    <row r="229" spans="1:23" x14ac:dyDescent="0.25">
      <c r="A229" s="25">
        <v>6019862.2644487098</v>
      </c>
      <c r="B229" s="25">
        <v>8.6880473000000006E-6</v>
      </c>
      <c r="C229" s="25">
        <v>1.0839583999999996E-6</v>
      </c>
      <c r="E229" s="25">
        <v>6520117.4761683065</v>
      </c>
      <c r="F229" s="25">
        <v>9.7347000499999993E-6</v>
      </c>
      <c r="G229" s="25">
        <v>1.07547855E-6</v>
      </c>
      <c r="I229" s="25">
        <v>7289960.9003880983</v>
      </c>
      <c r="J229" s="25">
        <v>9.6222336499999998E-6</v>
      </c>
      <c r="K229" s="25">
        <v>9.3546162234999994E-7</v>
      </c>
      <c r="M229" s="25">
        <v>7036811.0690064738</v>
      </c>
      <c r="N229" s="25">
        <v>2.0763398499999994E-5</v>
      </c>
      <c r="O229" s="25">
        <v>9.1052048675000002E-7</v>
      </c>
      <c r="Q229" s="25">
        <v>6336667.2449919255</v>
      </c>
      <c r="R229" s="25">
        <v>1.5268432000000005E-5</v>
      </c>
      <c r="S229" s="25">
        <v>6.6245393390000001E-7</v>
      </c>
      <c r="U229" s="25">
        <v>7089006.1149456762</v>
      </c>
      <c r="V229" s="25">
        <v>1.6536270200000001E-5</v>
      </c>
      <c r="W229" s="25">
        <v>9.5755492855000002E-7</v>
      </c>
    </row>
    <row r="230" spans="1:23" x14ac:dyDescent="0.25">
      <c r="A230" s="25">
        <v>6047514.1668583499</v>
      </c>
      <c r="B230" s="25">
        <v>8.7399700000000006E-6</v>
      </c>
      <c r="C230" s="25">
        <v>1.0813518499999995E-6</v>
      </c>
      <c r="E230" s="25">
        <v>6545381.0529654166</v>
      </c>
      <c r="F230" s="25">
        <v>9.7545200499999984E-6</v>
      </c>
      <c r="G230" s="25">
        <v>1.0755598500000002E-6</v>
      </c>
      <c r="I230" s="25">
        <v>7318162.1112548513</v>
      </c>
      <c r="J230" s="25">
        <v>9.6578412499999987E-6</v>
      </c>
      <c r="K230" s="25">
        <v>9.346521549999999E-7</v>
      </c>
      <c r="M230" s="25">
        <v>7070598.9459558129</v>
      </c>
      <c r="N230" s="25">
        <v>2.0811228449999994E-5</v>
      </c>
      <c r="O230" s="25">
        <v>9.1059225440000006E-7</v>
      </c>
      <c r="Q230" s="25">
        <v>6364530.7301168181</v>
      </c>
      <c r="R230" s="25">
        <v>1.5353742000000003E-5</v>
      </c>
      <c r="S230" s="25">
        <v>6.6335861964999995E-7</v>
      </c>
      <c r="U230" s="25">
        <v>7119034.525180609</v>
      </c>
      <c r="V230" s="25">
        <v>1.6624473199999999E-5</v>
      </c>
      <c r="W230" s="25">
        <v>9.5838445309999991E-7</v>
      </c>
    </row>
    <row r="231" spans="1:23" x14ac:dyDescent="0.25">
      <c r="A231" s="25">
        <v>6069572.0504063508</v>
      </c>
      <c r="B231" s="25">
        <v>8.7771798499999991E-6</v>
      </c>
      <c r="C231" s="25">
        <v>1.08308685E-6</v>
      </c>
      <c r="E231" s="25">
        <v>6584415.4755055532</v>
      </c>
      <c r="F231" s="25">
        <v>9.7876323499999991E-6</v>
      </c>
      <c r="G231" s="25">
        <v>1.0758393500000002E-6</v>
      </c>
      <c r="I231" s="25">
        <v>7353127.0271668825</v>
      </c>
      <c r="J231" s="25">
        <v>9.7169914499999996E-6</v>
      </c>
      <c r="K231" s="25">
        <v>9.3462342065000001E-7</v>
      </c>
      <c r="M231" s="25">
        <v>7092894.6274596509</v>
      </c>
      <c r="N231" s="25">
        <v>2.0882816449999999E-5</v>
      </c>
      <c r="O231" s="25">
        <v>9.0998107965000011E-7</v>
      </c>
      <c r="Q231" s="25">
        <v>6381314.7215261208</v>
      </c>
      <c r="R231" s="25">
        <v>1.54487805E-5</v>
      </c>
      <c r="S231" s="25">
        <v>6.6475920739999999E-7</v>
      </c>
      <c r="U231" s="25">
        <v>7150583.6179054948</v>
      </c>
      <c r="V231" s="25">
        <v>1.67586297E-5</v>
      </c>
      <c r="W231" s="25">
        <v>9.5751001374999997E-7</v>
      </c>
    </row>
    <row r="232" spans="1:23" x14ac:dyDescent="0.25">
      <c r="A232" s="25">
        <v>6088047.709031946</v>
      </c>
      <c r="B232" s="25">
        <v>8.8203796E-6</v>
      </c>
      <c r="C232" s="25">
        <v>1.08592485E-6</v>
      </c>
      <c r="E232" s="25">
        <v>6612273.8555806521</v>
      </c>
      <c r="F232" s="25">
        <v>9.7630588999999993E-6</v>
      </c>
      <c r="G232" s="25">
        <v>1.0749491499999999E-6</v>
      </c>
      <c r="I232" s="25">
        <v>7396606.4993531695</v>
      </c>
      <c r="J232" s="25">
        <v>9.7924940499999992E-6</v>
      </c>
      <c r="K232" s="25">
        <v>9.3433879715000013E-7</v>
      </c>
      <c r="M232" s="25">
        <v>7123084.7688044058</v>
      </c>
      <c r="N232" s="25">
        <v>2.0937162899999997E-5</v>
      </c>
      <c r="O232" s="25">
        <v>9.1059586680000023E-7</v>
      </c>
      <c r="Q232" s="25">
        <v>6407468.9167283485</v>
      </c>
      <c r="R232" s="25">
        <v>1.5562782000000004E-5</v>
      </c>
      <c r="S232" s="25">
        <v>6.6627302720000001E-7</v>
      </c>
      <c r="U232" s="25">
        <v>7180987.1298212828</v>
      </c>
      <c r="V232" s="25">
        <v>1.68778027E-5</v>
      </c>
      <c r="W232" s="25">
        <v>9.563375130499998E-7</v>
      </c>
    </row>
    <row r="233" spans="1:23" x14ac:dyDescent="0.25">
      <c r="A233" s="25">
        <v>6110926.7329633068</v>
      </c>
      <c r="B233" s="25">
        <v>8.8566541499999993E-6</v>
      </c>
      <c r="C233" s="25">
        <v>1.08635E-6</v>
      </c>
      <c r="E233" s="25">
        <v>6639815.5470667044</v>
      </c>
      <c r="F233" s="25">
        <v>9.7914206499999993E-6</v>
      </c>
      <c r="G233" s="25">
        <v>1.0746170499999999E-6</v>
      </c>
      <c r="I233" s="25">
        <v>7426996.2742561447</v>
      </c>
      <c r="J233" s="25">
        <v>9.851145499999999E-6</v>
      </c>
      <c r="K233" s="25">
        <v>9.3346489215000017E-7</v>
      </c>
      <c r="M233" s="25">
        <v>7146696.1936150631</v>
      </c>
      <c r="N233" s="25">
        <v>2.1002028449999999E-5</v>
      </c>
      <c r="O233" s="25">
        <v>9.1070053825000004E-7</v>
      </c>
      <c r="Q233" s="25">
        <v>6430482.5491208592</v>
      </c>
      <c r="R233" s="25">
        <v>1.5669669050000001E-5</v>
      </c>
      <c r="S233" s="25">
        <v>6.6778989380000002E-7</v>
      </c>
      <c r="U233" s="25">
        <v>7214573.9370827051</v>
      </c>
      <c r="V233" s="25">
        <v>1.6996205649999997E-5</v>
      </c>
      <c r="W233" s="25">
        <v>9.5411311919999988E-7</v>
      </c>
    </row>
    <row r="234" spans="1:23" x14ac:dyDescent="0.25">
      <c r="A234" s="25">
        <v>6136761.8622747632</v>
      </c>
      <c r="B234" s="25">
        <v>8.8998030499999997E-6</v>
      </c>
      <c r="C234" s="25">
        <v>1.0849358E-6</v>
      </c>
      <c r="E234" s="25">
        <v>6672219.9407587517</v>
      </c>
      <c r="F234" s="25">
        <v>9.8234979999999979E-6</v>
      </c>
      <c r="G234" s="25">
        <v>1.0740981000000001E-6</v>
      </c>
      <c r="I234" s="25">
        <v>7456385.562742562</v>
      </c>
      <c r="J234" s="25">
        <v>9.9081146999999971E-6</v>
      </c>
      <c r="K234" s="25">
        <v>9.3221669025000011E-7</v>
      </c>
      <c r="M234" s="25">
        <v>7171376.6598625118</v>
      </c>
      <c r="N234" s="25">
        <v>2.110320145E-5</v>
      </c>
      <c r="O234" s="25">
        <v>9.1078011334999994E-7</v>
      </c>
      <c r="Q234" s="25">
        <v>6462959.0576514993</v>
      </c>
      <c r="R234" s="25">
        <v>1.5768371049999996E-5</v>
      </c>
      <c r="S234" s="25">
        <v>6.6911210015000004E-7</v>
      </c>
      <c r="U234" s="25">
        <v>7244146.142570653</v>
      </c>
      <c r="V234" s="25">
        <v>1.7113498599999999E-5</v>
      </c>
      <c r="W234" s="25">
        <v>9.5234233014999979E-7</v>
      </c>
    </row>
    <row r="235" spans="1:23" x14ac:dyDescent="0.25">
      <c r="A235" s="25">
        <v>6163459.1889887471</v>
      </c>
      <c r="B235" s="25">
        <v>8.9530933499999988E-6</v>
      </c>
      <c r="C235" s="25">
        <v>1.0822283999999999E-6</v>
      </c>
      <c r="E235" s="25">
        <v>6712991.0426581716</v>
      </c>
      <c r="F235" s="25">
        <v>9.8816908999999977E-6</v>
      </c>
      <c r="G235" s="25">
        <v>1.0742342999999999E-6</v>
      </c>
      <c r="I235" s="25">
        <v>7483367.4307891335</v>
      </c>
      <c r="J235" s="25">
        <v>9.9423132499999992E-6</v>
      </c>
      <c r="K235" s="25">
        <v>9.322032894E-7</v>
      </c>
      <c r="M235" s="25">
        <v>7199243.6919311639</v>
      </c>
      <c r="N235" s="25">
        <v>2.1225291499999998E-5</v>
      </c>
      <c r="O235" s="25">
        <v>9.1040035670000001E-7</v>
      </c>
      <c r="Q235" s="25">
        <v>6493365.8838058999</v>
      </c>
      <c r="R235" s="25">
        <v>1.5875067099999998E-5</v>
      </c>
      <c r="S235" s="25">
        <v>6.7043796435000009E-7</v>
      </c>
      <c r="U235" s="25">
        <v>7270048.4343161806</v>
      </c>
      <c r="V235" s="25">
        <v>1.72220146E-5</v>
      </c>
      <c r="W235" s="25">
        <v>9.5135619914999984E-7</v>
      </c>
    </row>
    <row r="236" spans="1:23" x14ac:dyDescent="0.25">
      <c r="A236" s="25">
        <v>6180097.5460065743</v>
      </c>
      <c r="B236" s="25">
        <v>8.9997398499999999E-6</v>
      </c>
      <c r="C236" s="25">
        <v>1.08123225E-6</v>
      </c>
      <c r="E236" s="25">
        <v>6744659.9015627569</v>
      </c>
      <c r="F236" s="25">
        <v>9.9152696499999987E-6</v>
      </c>
      <c r="G236" s="25">
        <v>1.0742965E-6</v>
      </c>
      <c r="I236" s="25">
        <v>7514893.174644243</v>
      </c>
      <c r="J236" s="25">
        <v>1.0007246349999999E-5</v>
      </c>
      <c r="K236" s="25">
        <v>9.3404965175000012E-7</v>
      </c>
      <c r="M236" s="25">
        <v>7226144.4750088695</v>
      </c>
      <c r="N236" s="25">
        <v>2.1325145500000001E-5</v>
      </c>
      <c r="O236" s="25">
        <v>9.1069045139999988E-7</v>
      </c>
      <c r="Q236" s="25">
        <v>6526079.2216631742</v>
      </c>
      <c r="R236" s="25">
        <v>1.5988625600000003E-5</v>
      </c>
      <c r="S236" s="25">
        <v>6.708363088500001E-7</v>
      </c>
      <c r="U236" s="25">
        <v>7303523.7248616731</v>
      </c>
      <c r="V236" s="25">
        <v>1.728685955E-5</v>
      </c>
      <c r="W236" s="25">
        <v>9.5013089944999978E-7</v>
      </c>
    </row>
    <row r="237" spans="1:23" x14ac:dyDescent="0.25">
      <c r="A237" s="25">
        <v>6209063.27302959</v>
      </c>
      <c r="B237" s="25">
        <v>9.0266730499999998E-6</v>
      </c>
      <c r="C237" s="25">
        <v>1.0828963999999999E-6</v>
      </c>
      <c r="E237" s="25">
        <v>6777748.7512375806</v>
      </c>
      <c r="F237" s="25">
        <v>9.9542124999999995E-6</v>
      </c>
      <c r="G237" s="25">
        <v>1.07484505E-6</v>
      </c>
      <c r="I237" s="25">
        <v>7551713.159120311</v>
      </c>
      <c r="J237" s="25">
        <v>1.007503365E-5</v>
      </c>
      <c r="K237" s="25">
        <v>9.3469595005000019E-7</v>
      </c>
      <c r="M237" s="25">
        <v>7252089.2883402146</v>
      </c>
      <c r="N237" s="25">
        <v>2.1408965500000004E-5</v>
      </c>
      <c r="O237" s="25">
        <v>9.1045080805000011E-7</v>
      </c>
      <c r="Q237" s="25">
        <v>6560810.7572604623</v>
      </c>
      <c r="R237" s="25">
        <v>1.6066536100000003E-5</v>
      </c>
      <c r="S237" s="25">
        <v>6.7034280565000018E-7</v>
      </c>
      <c r="U237" s="25">
        <v>7334788.9568551015</v>
      </c>
      <c r="V237" s="25">
        <v>1.7368159549999999E-5</v>
      </c>
      <c r="W237" s="25">
        <v>9.4930094854999999E-7</v>
      </c>
    </row>
    <row r="238" spans="1:23" x14ac:dyDescent="0.25">
      <c r="A238" s="25">
        <v>6243099.5419198517</v>
      </c>
      <c r="B238" s="25">
        <v>9.0837225999999989E-6</v>
      </c>
      <c r="C238" s="25">
        <v>1.0857926499999999E-6</v>
      </c>
      <c r="E238" s="25">
        <v>6799477.6747505013</v>
      </c>
      <c r="F238" s="25">
        <v>9.9867207499999989E-6</v>
      </c>
      <c r="G238" s="25">
        <v>1.0748051000000001E-6</v>
      </c>
      <c r="I238" s="25">
        <v>7578517.8576972838</v>
      </c>
      <c r="J238" s="25">
        <v>1.0133532699999999E-5</v>
      </c>
      <c r="K238" s="25">
        <v>9.3537653064999992E-7</v>
      </c>
      <c r="M238" s="25">
        <v>7286154.7048933366</v>
      </c>
      <c r="N238" s="25">
        <v>2.149677395E-5</v>
      </c>
      <c r="O238" s="25">
        <v>9.1157922095000006E-7</v>
      </c>
      <c r="Q238" s="25">
        <v>6594368.4431518242</v>
      </c>
      <c r="R238" s="25">
        <v>1.6129257149999998E-5</v>
      </c>
      <c r="S238" s="25">
        <v>6.7057793275000011E-7</v>
      </c>
      <c r="U238" s="25">
        <v>7363489.3043821426</v>
      </c>
      <c r="V238" s="25">
        <v>1.7479716000000002E-5</v>
      </c>
      <c r="W238" s="25">
        <v>9.4931595519999996E-7</v>
      </c>
    </row>
    <row r="239" spans="1:23" x14ac:dyDescent="0.25">
      <c r="A239" s="25">
        <v>6272147.3829812026</v>
      </c>
      <c r="B239" s="25">
        <v>9.1271468500000006E-6</v>
      </c>
      <c r="C239" s="25">
        <v>1.0839741999999999E-6</v>
      </c>
      <c r="E239" s="25">
        <v>6827438.2124349698</v>
      </c>
      <c r="F239" s="25">
        <v>1.005203765E-5</v>
      </c>
      <c r="G239" s="25">
        <v>1.0749459000000001E-6</v>
      </c>
      <c r="I239" s="25">
        <v>7613545.3040103493</v>
      </c>
      <c r="J239" s="25">
        <v>1.02130318E-5</v>
      </c>
      <c r="K239" s="25">
        <v>9.3466979074999984E-7</v>
      </c>
      <c r="M239" s="25">
        <v>7311112.7107445672</v>
      </c>
      <c r="N239" s="25">
        <v>2.1618937950000002E-5</v>
      </c>
      <c r="O239" s="25">
        <v>9.1316360050000026E-7</v>
      </c>
      <c r="Q239" s="25">
        <v>6627359.7980447123</v>
      </c>
      <c r="R239" s="25">
        <v>1.61911196E-5</v>
      </c>
      <c r="S239" s="25">
        <v>6.7092975090000007E-7</v>
      </c>
      <c r="U239" s="25">
        <v>7392980.406803959</v>
      </c>
      <c r="V239" s="25">
        <v>1.75388625E-5</v>
      </c>
      <c r="W239" s="25">
        <v>9.4971654215000007E-7</v>
      </c>
    </row>
    <row r="240" spans="1:23" x14ac:dyDescent="0.25">
      <c r="A240" s="25">
        <v>6305465.1540360255</v>
      </c>
      <c r="B240" s="25">
        <v>9.1589447499999987E-6</v>
      </c>
      <c r="C240" s="25">
        <v>1.0813343E-6</v>
      </c>
      <c r="E240" s="25">
        <v>6856277.305560017</v>
      </c>
      <c r="F240" s="25">
        <v>1.011657235E-5</v>
      </c>
      <c r="G240" s="25">
        <v>1.0746847E-6</v>
      </c>
      <c r="I240" s="25">
        <v>7645873.5213454077</v>
      </c>
      <c r="J240" s="25">
        <v>1.0281992649999999E-5</v>
      </c>
      <c r="K240" s="25">
        <v>9.3392899029999989E-7</v>
      </c>
      <c r="M240" s="25">
        <v>7343512.8896749951</v>
      </c>
      <c r="N240" s="25">
        <v>2.1699886400000004E-5</v>
      </c>
      <c r="O240" s="25">
        <v>9.1385493580000012E-7</v>
      </c>
      <c r="Q240" s="25">
        <v>6662544.3984407801</v>
      </c>
      <c r="R240" s="25">
        <v>1.6312188149999997E-5</v>
      </c>
      <c r="S240" s="25">
        <v>6.7115794025E-7</v>
      </c>
      <c r="U240" s="25">
        <v>7422359.9925098456</v>
      </c>
      <c r="V240" s="25">
        <v>1.761061855E-5</v>
      </c>
      <c r="W240" s="25">
        <v>9.5042335309999991E-7</v>
      </c>
    </row>
    <row r="241" spans="1:23" x14ac:dyDescent="0.25">
      <c r="A241" s="25">
        <v>6328877.9192165704</v>
      </c>
      <c r="B241" s="25">
        <v>9.1946281999999998E-6</v>
      </c>
      <c r="C241" s="25">
        <v>1.0818638000000002E-6</v>
      </c>
      <c r="E241" s="25">
        <v>6888804.2883833079</v>
      </c>
      <c r="F241" s="25">
        <v>1.0182582099999999E-5</v>
      </c>
      <c r="G241" s="25">
        <v>1.0743679000000001E-6</v>
      </c>
      <c r="I241" s="25">
        <v>7678535.2341526523</v>
      </c>
      <c r="J241" s="25">
        <v>1.0351801900000002E-5</v>
      </c>
      <c r="K241" s="25">
        <v>9.3259057509999995E-7</v>
      </c>
      <c r="M241" s="25">
        <v>7377434.3968039323</v>
      </c>
      <c r="N241" s="25">
        <v>2.1775599499999997E-5</v>
      </c>
      <c r="O241" s="25">
        <v>9.1587015440000002E-7</v>
      </c>
      <c r="Q241" s="25">
        <v>6695525.4564064229</v>
      </c>
      <c r="R241" s="25">
        <v>1.642212315E-5</v>
      </c>
      <c r="S241" s="25">
        <v>6.7173013750000017E-7</v>
      </c>
      <c r="U241" s="25">
        <v>7454841.7704952359</v>
      </c>
      <c r="V241" s="25">
        <v>1.7644089050000002E-5</v>
      </c>
      <c r="W241" s="25">
        <v>9.510584674499999E-7</v>
      </c>
    </row>
    <row r="242" spans="1:23" x14ac:dyDescent="0.25">
      <c r="A242" s="25">
        <v>6341574.80239427</v>
      </c>
      <c r="B242" s="25">
        <v>9.2280328499999999E-6</v>
      </c>
      <c r="C242" s="25">
        <v>1.0833012499999999E-6</v>
      </c>
      <c r="E242" s="25">
        <v>6921842.0592534468</v>
      </c>
      <c r="F242" s="25">
        <v>1.02397946E-5</v>
      </c>
      <c r="G242" s="25">
        <v>1.0741746000000002E-6</v>
      </c>
      <c r="I242" s="25">
        <v>7715407.3272962486</v>
      </c>
      <c r="J242" s="25">
        <v>1.0397090549999999E-5</v>
      </c>
      <c r="K242" s="25">
        <v>9.3155264555000005E-7</v>
      </c>
      <c r="M242" s="25">
        <v>7407254.4853436444</v>
      </c>
      <c r="N242" s="25">
        <v>2.1810958549999997E-5</v>
      </c>
      <c r="O242" s="25">
        <v>9.1744812484999997E-7</v>
      </c>
      <c r="Q242" s="25">
        <v>6725129.1222357163</v>
      </c>
      <c r="R242" s="25">
        <v>1.6496538199999997E-5</v>
      </c>
      <c r="S242" s="25">
        <v>6.7298251455000014E-7</v>
      </c>
      <c r="U242" s="25">
        <v>7483967.9091194635</v>
      </c>
      <c r="V242" s="25">
        <v>1.7701301499999997E-5</v>
      </c>
      <c r="W242" s="25">
        <v>9.5027754689999993E-7</v>
      </c>
    </row>
    <row r="243" spans="1:23" x14ac:dyDescent="0.25">
      <c r="A243" s="25">
        <v>6371033.2136473013</v>
      </c>
      <c r="B243" s="25">
        <v>9.273898149999998E-6</v>
      </c>
      <c r="C243" s="25">
        <v>1.08713335E-6</v>
      </c>
      <c r="E243" s="25">
        <v>6954675.5149048464</v>
      </c>
      <c r="F243" s="25">
        <v>1.0268822600000001E-5</v>
      </c>
      <c r="G243" s="25">
        <v>1.0738058000000001E-6</v>
      </c>
      <c r="I243" s="25">
        <v>7744817.4592496771</v>
      </c>
      <c r="J243" s="25">
        <v>1.0441715E-5</v>
      </c>
      <c r="K243" s="25">
        <v>9.3064301729999992E-7</v>
      </c>
      <c r="M243" s="25">
        <v>7432572.2647553338</v>
      </c>
      <c r="N243" s="25">
        <v>2.18347291E-5</v>
      </c>
      <c r="O243" s="25">
        <v>9.1755636890000006E-7</v>
      </c>
      <c r="Q243" s="25">
        <v>6756133.1701703249</v>
      </c>
      <c r="R243" s="25">
        <v>1.6566532199999995E-5</v>
      </c>
      <c r="S243" s="25">
        <v>6.7356273520000017E-7</v>
      </c>
      <c r="U243" s="25">
        <v>7517615.5436804844</v>
      </c>
      <c r="V243" s="25">
        <v>1.7786996450000002E-5</v>
      </c>
      <c r="W243" s="25">
        <v>9.4973438245E-7</v>
      </c>
    </row>
    <row r="244" spans="1:23" x14ac:dyDescent="0.25">
      <c r="A244" s="25">
        <v>6401600.1644178685</v>
      </c>
      <c r="B244" s="25">
        <v>9.3079415499999987E-6</v>
      </c>
      <c r="C244" s="25">
        <v>1.0882673000000002E-6</v>
      </c>
      <c r="E244" s="25">
        <v>6991431.8227560399</v>
      </c>
      <c r="F244" s="25">
        <v>1.0295428100000001E-5</v>
      </c>
      <c r="G244" s="25">
        <v>1.0738610999999999E-6</v>
      </c>
      <c r="I244" s="25">
        <v>7780636.9573091855</v>
      </c>
      <c r="J244" s="25">
        <v>1.045908E-5</v>
      </c>
      <c r="K244" s="25">
        <v>9.3132495925000007E-7</v>
      </c>
      <c r="M244" s="25">
        <v>7464777.1380386557</v>
      </c>
      <c r="N244" s="25">
        <v>2.1872981650000006E-5</v>
      </c>
      <c r="O244" s="25">
        <v>9.1787689189999989E-7</v>
      </c>
      <c r="Q244" s="25">
        <v>6783080.2287704153</v>
      </c>
      <c r="R244" s="25">
        <v>1.6685310199999998E-5</v>
      </c>
      <c r="S244" s="25">
        <v>6.7449728365000012E-7</v>
      </c>
      <c r="U244" s="25">
        <v>7549560.0138527574</v>
      </c>
      <c r="V244" s="25">
        <v>1.7852631950000001E-5</v>
      </c>
      <c r="W244" s="25">
        <v>9.5000537489999985E-7</v>
      </c>
    </row>
    <row r="245" spans="1:23" x14ac:dyDescent="0.25">
      <c r="A245" s="25">
        <v>6429611.315745228</v>
      </c>
      <c r="B245" s="25">
        <v>9.3582736499999981E-6</v>
      </c>
      <c r="C245" s="25">
        <v>1.0887769000000001E-6</v>
      </c>
      <c r="E245" s="25">
        <v>7023396.938727797</v>
      </c>
      <c r="F245" s="25">
        <v>1.0374022550000002E-5</v>
      </c>
      <c r="G245" s="25">
        <v>1.07459135E-6</v>
      </c>
      <c r="I245" s="25">
        <v>7809901.1849935316</v>
      </c>
      <c r="J245" s="25">
        <v>1.0503909949999999E-5</v>
      </c>
      <c r="K245" s="25">
        <v>9.3205647434999985E-7</v>
      </c>
      <c r="M245" s="25">
        <v>7495152.3057859316</v>
      </c>
      <c r="N245" s="25">
        <v>2.1917926150000001E-5</v>
      </c>
      <c r="O245" s="25">
        <v>9.1789213164999982E-7</v>
      </c>
      <c r="Q245" s="25">
        <v>6813672.3996152254</v>
      </c>
      <c r="R245" s="25">
        <v>1.6784762149999999E-5</v>
      </c>
      <c r="S245" s="25">
        <v>6.7535301300000015E-7</v>
      </c>
      <c r="U245" s="25">
        <v>7584302.5398065438</v>
      </c>
      <c r="V245" s="25">
        <v>1.79291325E-5</v>
      </c>
      <c r="W245" s="25">
        <v>9.4851384904999988E-7</v>
      </c>
    </row>
    <row r="246" spans="1:23" x14ac:dyDescent="0.25">
      <c r="A246" s="25">
        <v>6440470.8973151613</v>
      </c>
      <c r="B246" s="25">
        <v>9.3995889999999988E-6</v>
      </c>
      <c r="C246" s="25">
        <v>1.0875383000000002E-6</v>
      </c>
      <c r="E246" s="25">
        <v>7056557.2987291794</v>
      </c>
      <c r="F246" s="25">
        <v>1.0409639500000003E-5</v>
      </c>
      <c r="G246" s="25">
        <v>1.0747587499999999E-6</v>
      </c>
      <c r="I246" s="25">
        <v>7839582.2820181111</v>
      </c>
      <c r="J246" s="25">
        <v>1.0541041999999998E-5</v>
      </c>
      <c r="K246" s="25">
        <v>9.3237082409999986E-7</v>
      </c>
      <c r="M246" s="25">
        <v>7531119.3825871907</v>
      </c>
      <c r="N246" s="25">
        <v>2.1973644600000003E-5</v>
      </c>
      <c r="O246" s="25">
        <v>9.1760695674999976E-7</v>
      </c>
      <c r="Q246" s="25">
        <v>6846735.832998828</v>
      </c>
      <c r="R246" s="25">
        <v>1.6807100149999998E-5</v>
      </c>
      <c r="S246" s="25">
        <v>6.7612202205000006E-7</v>
      </c>
      <c r="U246" s="25">
        <v>7618031.2774336953</v>
      </c>
      <c r="V246" s="25">
        <v>1.801896805E-5</v>
      </c>
      <c r="W246" s="25">
        <v>9.4745687979999985E-7</v>
      </c>
    </row>
    <row r="247" spans="1:23" x14ac:dyDescent="0.25">
      <c r="A247" s="25">
        <v>6472238.7658963921</v>
      </c>
      <c r="B247" s="25">
        <v>9.4550961500000001E-6</v>
      </c>
      <c r="C247" s="25">
        <v>1.08593315E-6</v>
      </c>
      <c r="E247" s="25">
        <v>7090034.3473196076</v>
      </c>
      <c r="F247" s="25">
        <v>1.0450886200000002E-5</v>
      </c>
      <c r="G247" s="25">
        <v>1.0751043499999998E-6</v>
      </c>
      <c r="I247" s="25">
        <v>7871618.6908150064</v>
      </c>
      <c r="J247" s="25">
        <v>1.0571392E-5</v>
      </c>
      <c r="K247" s="25">
        <v>9.3207009399999987E-7</v>
      </c>
      <c r="M247" s="25">
        <v>7556056.8299492523</v>
      </c>
      <c r="N247" s="25">
        <v>2.2105636600000002E-5</v>
      </c>
      <c r="O247" s="25">
        <v>9.1572852905000016E-7</v>
      </c>
      <c r="Q247" s="25">
        <v>6879943.4233638607</v>
      </c>
      <c r="R247" s="25">
        <v>1.6856475649999997E-5</v>
      </c>
      <c r="S247" s="25">
        <v>6.7573299135000023E-7</v>
      </c>
      <c r="U247" s="25">
        <v>7648323.2726335535</v>
      </c>
      <c r="V247" s="25">
        <v>1.8095504150000005E-5</v>
      </c>
      <c r="W247" s="25">
        <v>9.4801134184999992E-7</v>
      </c>
    </row>
    <row r="248" spans="1:23" x14ac:dyDescent="0.25">
      <c r="A248" s="25">
        <v>6502261.7111629825</v>
      </c>
      <c r="B248" s="25">
        <v>9.4822009999999998E-6</v>
      </c>
      <c r="C248" s="25">
        <v>1.0868652500000001E-6</v>
      </c>
      <c r="E248" s="25">
        <v>7109842.7077763798</v>
      </c>
      <c r="F248" s="25">
        <v>1.0491115699999999E-5</v>
      </c>
      <c r="G248" s="25">
        <v>1.0754976000000001E-6</v>
      </c>
      <c r="I248" s="25">
        <v>7904269.981888745</v>
      </c>
      <c r="J248" s="25">
        <v>1.0620287500000001E-5</v>
      </c>
      <c r="K248" s="25">
        <v>9.3187615564999988E-7</v>
      </c>
      <c r="M248" s="25">
        <v>7588343.9371892503</v>
      </c>
      <c r="N248" s="25">
        <v>2.2193160100000005E-5</v>
      </c>
      <c r="O248" s="25">
        <v>9.1522436484999991E-7</v>
      </c>
      <c r="Q248" s="25">
        <v>6910762.1266080607</v>
      </c>
      <c r="R248" s="25">
        <v>1.6950962599999996E-5</v>
      </c>
      <c r="S248" s="25">
        <v>6.7551523270000022E-7</v>
      </c>
      <c r="U248" s="25">
        <v>7680784.7748524109</v>
      </c>
      <c r="V248" s="25">
        <v>1.8165603650000001E-5</v>
      </c>
      <c r="W248" s="25">
        <v>9.492050706999998E-7</v>
      </c>
    </row>
    <row r="249" spans="1:23" x14ac:dyDescent="0.25">
      <c r="A249" s="25">
        <v>6529821.2352794949</v>
      </c>
      <c r="B249" s="25">
        <v>9.5188118500000015E-6</v>
      </c>
      <c r="C249" s="25">
        <v>1.0874132000000002E-6</v>
      </c>
      <c r="E249" s="25">
        <v>7141225.5253747301</v>
      </c>
      <c r="F249" s="25">
        <v>1.0587969599999999E-5</v>
      </c>
      <c r="G249" s="25">
        <v>1.0762866499999998E-6</v>
      </c>
      <c r="I249" s="25">
        <v>7936421.0297542047</v>
      </c>
      <c r="J249" s="25">
        <v>1.0668911999999998E-5</v>
      </c>
      <c r="K249" s="25">
        <v>9.3124201900000004E-7</v>
      </c>
      <c r="M249" s="25">
        <v>7622286.0028073573</v>
      </c>
      <c r="N249" s="25">
        <v>2.2273896100000001E-5</v>
      </c>
      <c r="O249" s="25">
        <v>9.1428195495000002E-7</v>
      </c>
      <c r="Q249" s="25">
        <v>6944031.4985365625</v>
      </c>
      <c r="R249" s="25">
        <v>1.7015860149999999E-5</v>
      </c>
      <c r="S249" s="25">
        <v>6.7560384590000026E-7</v>
      </c>
      <c r="U249" s="25">
        <v>7713276.6907210676</v>
      </c>
      <c r="V249" s="25">
        <v>1.8271311100000004E-5</v>
      </c>
      <c r="W249" s="25">
        <v>9.4999475084999992E-7</v>
      </c>
    </row>
    <row r="250" spans="1:23" x14ac:dyDescent="0.25">
      <c r="A250" s="25">
        <v>6556580.1475222306</v>
      </c>
      <c r="B250" s="25">
        <v>9.5515871500000003E-6</v>
      </c>
      <c r="C250" s="25">
        <v>1.0898907000000001E-6</v>
      </c>
      <c r="E250" s="25">
        <v>7173926.1761339493</v>
      </c>
      <c r="F250" s="25">
        <v>1.06532001E-5</v>
      </c>
      <c r="G250" s="25">
        <v>1.0772747999999999E-6</v>
      </c>
      <c r="I250" s="25">
        <v>7971177.5109961191</v>
      </c>
      <c r="J250" s="25">
        <v>1.0724331000000001E-5</v>
      </c>
      <c r="K250" s="25">
        <v>9.3079593460000015E-7</v>
      </c>
      <c r="M250" s="25">
        <v>7656577.5627413383</v>
      </c>
      <c r="N250" s="25">
        <v>2.2408099149999998E-5</v>
      </c>
      <c r="O250" s="25">
        <v>9.1447025730000011E-7</v>
      </c>
      <c r="Q250" s="25">
        <v>6977558.2936461894</v>
      </c>
      <c r="R250" s="25">
        <v>1.7089959599999998E-5</v>
      </c>
      <c r="S250" s="25">
        <v>6.7572204045000018E-7</v>
      </c>
      <c r="U250" s="25">
        <v>7746539.0857179668</v>
      </c>
      <c r="V250" s="25">
        <v>1.832527405E-5</v>
      </c>
      <c r="W250" s="25">
        <v>9.507125524999998E-7</v>
      </c>
    </row>
    <row r="251" spans="1:23" x14ac:dyDescent="0.25">
      <c r="A251" s="25">
        <v>6585237.9469014863</v>
      </c>
      <c r="B251" s="25">
        <v>9.5806387500000004E-6</v>
      </c>
      <c r="C251" s="25">
        <v>1.0891974499999999E-6</v>
      </c>
      <c r="E251" s="25">
        <v>7208874.2942993008</v>
      </c>
      <c r="F251" s="25">
        <v>1.0738465599999999E-5</v>
      </c>
      <c r="G251" s="25">
        <v>1.0775737499999999E-6</v>
      </c>
      <c r="I251" s="25">
        <v>8000608.4864165587</v>
      </c>
      <c r="J251" s="25">
        <v>1.0786676000000002E-5</v>
      </c>
      <c r="K251" s="25">
        <v>9.305041857500001E-7</v>
      </c>
      <c r="M251" s="25">
        <v>7683457.7873298749</v>
      </c>
      <c r="N251" s="25">
        <v>2.2520151149999998E-5</v>
      </c>
      <c r="O251" s="25">
        <v>9.160064421999999E-7</v>
      </c>
      <c r="Q251" s="25">
        <v>7009468.4711783556</v>
      </c>
      <c r="R251" s="25">
        <v>1.7138232549999999E-5</v>
      </c>
      <c r="S251" s="25">
        <v>6.7542917465000014E-7</v>
      </c>
      <c r="U251" s="25">
        <v>7771640.4846854536</v>
      </c>
      <c r="V251" s="25">
        <v>1.8399875050000001E-5</v>
      </c>
      <c r="W251" s="25">
        <v>9.5259380250000001E-7</v>
      </c>
    </row>
    <row r="252" spans="1:23" x14ac:dyDescent="0.25">
      <c r="A252" s="25">
        <v>6616862.1159156291</v>
      </c>
      <c r="B252" s="25">
        <v>9.6306470000000008E-6</v>
      </c>
      <c r="C252" s="25">
        <v>1.0868818E-6</v>
      </c>
      <c r="E252" s="25">
        <v>7244149.316814634</v>
      </c>
      <c r="F252" s="25">
        <v>1.0872808499999999E-5</v>
      </c>
      <c r="G252" s="25">
        <v>1.0780047499999998E-6</v>
      </c>
      <c r="I252" s="25">
        <v>8034552.0724450201</v>
      </c>
      <c r="J252" s="25">
        <v>1.0818841000000001E-5</v>
      </c>
      <c r="K252" s="25">
        <v>9.3162771010000012E-7</v>
      </c>
      <c r="M252" s="25">
        <v>7715590.705901105</v>
      </c>
      <c r="N252" s="25">
        <v>2.26252192E-5</v>
      </c>
      <c r="O252" s="25">
        <v>9.1650775569999999E-7</v>
      </c>
      <c r="Q252" s="25">
        <v>7043746.9419768658</v>
      </c>
      <c r="R252" s="25">
        <v>1.7190748049999998E-5</v>
      </c>
      <c r="S252" s="25">
        <v>6.7506013300000012E-7</v>
      </c>
      <c r="U252" s="25">
        <v>7804233.7793867737</v>
      </c>
      <c r="V252" s="25">
        <v>1.8458986549999999E-5</v>
      </c>
      <c r="W252" s="25">
        <v>9.5407265509999998E-7</v>
      </c>
    </row>
    <row r="253" spans="1:23" x14ac:dyDescent="0.25">
      <c r="A253" s="25">
        <v>6659068.7316203201</v>
      </c>
      <c r="B253" s="25">
        <v>9.7003456499999995E-6</v>
      </c>
      <c r="C253" s="25">
        <v>1.0839557999999999E-6</v>
      </c>
      <c r="E253" s="25">
        <v>7268575.2012149133</v>
      </c>
      <c r="F253" s="25">
        <v>1.0912054499999999E-5</v>
      </c>
      <c r="G253" s="25">
        <v>1.0781326999999999E-6</v>
      </c>
      <c r="I253" s="25">
        <v>8065577.5730918506</v>
      </c>
      <c r="J253" s="25">
        <v>1.08479675E-5</v>
      </c>
      <c r="K253" s="25">
        <v>9.3293009515000001E-7</v>
      </c>
      <c r="M253" s="25">
        <v>7746078.9453388117</v>
      </c>
      <c r="N253" s="25">
        <v>2.2761731149999995E-5</v>
      </c>
      <c r="O253" s="25">
        <v>9.1661522384999999E-7</v>
      </c>
      <c r="Q253" s="25">
        <v>7077139.8770323079</v>
      </c>
      <c r="R253" s="25">
        <v>1.7277555049999998E-5</v>
      </c>
      <c r="S253" s="25">
        <v>6.7552574315000004E-7</v>
      </c>
      <c r="U253" s="25">
        <v>7839260.1660720175</v>
      </c>
      <c r="V253" s="25">
        <v>1.8535288099999997E-5</v>
      </c>
      <c r="W253" s="25">
        <v>9.5595136705000005E-7</v>
      </c>
    </row>
    <row r="254" spans="1:23" x14ac:dyDescent="0.25">
      <c r="A254" s="25">
        <v>6687244.1110243518</v>
      </c>
      <c r="B254" s="25">
        <v>9.7364034000000001E-6</v>
      </c>
      <c r="C254" s="25">
        <v>1.0828747499999999E-6</v>
      </c>
      <c r="E254" s="25">
        <v>7301561.8932803674</v>
      </c>
      <c r="F254" s="25">
        <v>1.0943472999999999E-5</v>
      </c>
      <c r="G254" s="25">
        <v>1.0787402000000001E-6</v>
      </c>
      <c r="I254" s="25">
        <v>8099979.7153945668</v>
      </c>
      <c r="J254" s="25">
        <v>1.0857666E-5</v>
      </c>
      <c r="K254" s="25">
        <v>9.3486597170000005E-7</v>
      </c>
      <c r="M254" s="25">
        <v>7770255.7286016177</v>
      </c>
      <c r="N254" s="25">
        <v>2.2888387099999999E-5</v>
      </c>
      <c r="O254" s="25">
        <v>9.1712516049999982E-7</v>
      </c>
      <c r="Q254" s="25">
        <v>7109183.9146186588</v>
      </c>
      <c r="R254" s="25">
        <v>1.735826905E-5</v>
      </c>
      <c r="S254" s="25">
        <v>6.7567643790000005E-7</v>
      </c>
      <c r="U254" s="25">
        <v>7868994.5776922265</v>
      </c>
      <c r="V254" s="25">
        <v>1.8614212599999998E-5</v>
      </c>
      <c r="W254" s="25">
        <v>9.5696945825000015E-7</v>
      </c>
    </row>
    <row r="255" spans="1:23" x14ac:dyDescent="0.25">
      <c r="A255" s="25">
        <v>6717872.6473236708</v>
      </c>
      <c r="B255" s="25">
        <v>9.802316700000001E-6</v>
      </c>
      <c r="C255" s="25">
        <v>1.0862737499999999E-6</v>
      </c>
      <c r="E255" s="25">
        <v>7333904.9924067929</v>
      </c>
      <c r="F255" s="25">
        <v>1.0945114499999999E-5</v>
      </c>
      <c r="G255" s="25">
        <v>1.0786070500000001E-6</v>
      </c>
      <c r="I255" s="25">
        <v>8129619.1254851231</v>
      </c>
      <c r="J255" s="25">
        <v>1.09054545E-5</v>
      </c>
      <c r="K255" s="25">
        <v>9.3554061215000003E-7</v>
      </c>
      <c r="M255" s="25">
        <v>7803889.416882189</v>
      </c>
      <c r="N255" s="25">
        <v>2.3004467049999999E-5</v>
      </c>
      <c r="O255" s="25">
        <v>9.179554325E-7</v>
      </c>
      <c r="Q255" s="25">
        <v>7135780.87769242</v>
      </c>
      <c r="R255" s="25">
        <v>1.742114795E-5</v>
      </c>
      <c r="S255" s="25">
        <v>6.7534639365000002E-7</v>
      </c>
      <c r="U255" s="25">
        <v>7899418.3653745474</v>
      </c>
      <c r="V255" s="25">
        <v>1.8654652099999996E-5</v>
      </c>
      <c r="W255" s="25">
        <v>9.5804945479999997E-7</v>
      </c>
    </row>
    <row r="256" spans="1:23" x14ac:dyDescent="0.25">
      <c r="A256" s="25">
        <v>6749599.458885733</v>
      </c>
      <c r="B256" s="25">
        <v>9.84692175E-6</v>
      </c>
      <c r="C256" s="25">
        <v>1.0876620999999999E-6</v>
      </c>
      <c r="E256" s="25">
        <v>7361916.6088959454</v>
      </c>
      <c r="F256" s="25">
        <v>1.0994282E-5</v>
      </c>
      <c r="G256" s="25">
        <v>1.0792059E-6</v>
      </c>
      <c r="I256" s="25">
        <v>8149806.0232858993</v>
      </c>
      <c r="J256" s="25">
        <v>1.0910015500000001E-5</v>
      </c>
      <c r="K256" s="25">
        <v>9.3496957735000006E-7</v>
      </c>
      <c r="M256" s="25">
        <v>7840195.7087547369</v>
      </c>
      <c r="N256" s="25">
        <v>2.3113799049999995E-5</v>
      </c>
      <c r="O256" s="25">
        <v>9.1943992115000023E-7</v>
      </c>
      <c r="Q256" s="25">
        <v>7167804.3214242812</v>
      </c>
      <c r="R256" s="25">
        <v>1.7463246000000002E-5</v>
      </c>
      <c r="S256" s="25">
        <v>6.7547505299999996E-7</v>
      </c>
      <c r="U256" s="25">
        <v>7931464.2143794848</v>
      </c>
      <c r="V256" s="25">
        <v>1.8715644649999997E-5</v>
      </c>
      <c r="W256" s="25">
        <v>9.5892832794999996E-7</v>
      </c>
    </row>
    <row r="257" spans="1:23" x14ac:dyDescent="0.25">
      <c r="A257" s="25">
        <v>6783255.9503486911</v>
      </c>
      <c r="B257" s="25">
        <v>9.8897086499999985E-6</v>
      </c>
      <c r="C257" s="25">
        <v>1.0872041E-6</v>
      </c>
      <c r="E257" s="25">
        <v>7384340.2041525794</v>
      </c>
      <c r="F257" s="25">
        <v>1.1037209000000001E-5</v>
      </c>
      <c r="G257" s="25">
        <v>1.0792261E-6</v>
      </c>
      <c r="I257" s="25">
        <v>8182040.4450194053</v>
      </c>
      <c r="J257" s="25">
        <v>1.0934345499999999E-5</v>
      </c>
      <c r="K257" s="25">
        <v>9.3443543395000018E-7</v>
      </c>
      <c r="M257" s="25">
        <v>7856735.0132912407</v>
      </c>
      <c r="N257" s="25">
        <v>2.3230741099999998E-5</v>
      </c>
      <c r="O257" s="25">
        <v>9.2103806535000012E-7</v>
      </c>
      <c r="Q257" s="25">
        <v>7199024.6048310343</v>
      </c>
      <c r="R257" s="25">
        <v>1.7561447499999998E-5</v>
      </c>
      <c r="S257" s="25">
        <v>6.7605944314999992E-7</v>
      </c>
      <c r="U257" s="25">
        <v>7962222.5522095952</v>
      </c>
      <c r="V257" s="25">
        <v>1.8766457649999995E-5</v>
      </c>
      <c r="W257" s="25">
        <v>9.5945949845000015E-7</v>
      </c>
    </row>
    <row r="258" spans="1:23" x14ac:dyDescent="0.25">
      <c r="A258" s="25">
        <v>6813422.5951823704</v>
      </c>
      <c r="B258" s="25">
        <v>9.9229046499999992E-6</v>
      </c>
      <c r="C258" s="25">
        <v>1.0825848499999999E-6</v>
      </c>
      <c r="E258" s="25">
        <v>7419891.0522132115</v>
      </c>
      <c r="F258" s="25">
        <v>1.1102757499999999E-5</v>
      </c>
      <c r="G258" s="25">
        <v>1.0798484E-6</v>
      </c>
      <c r="I258" s="25">
        <v>8213086.789133247</v>
      </c>
      <c r="J258" s="25">
        <v>1.0986460000000001E-5</v>
      </c>
      <c r="K258" s="25">
        <v>9.3468000275000025E-7</v>
      </c>
      <c r="M258" s="25">
        <v>7865986.3334173141</v>
      </c>
      <c r="N258" s="25">
        <v>2.33719812E-5</v>
      </c>
      <c r="O258" s="25">
        <v>9.2189369524999999E-7</v>
      </c>
      <c r="Q258" s="25">
        <v>7232551.3999406612</v>
      </c>
      <c r="R258" s="25">
        <v>1.7689489399999997E-5</v>
      </c>
      <c r="S258" s="25">
        <v>6.7614596170000003E-7</v>
      </c>
      <c r="U258" s="25">
        <v>7993761.5070512146</v>
      </c>
      <c r="V258" s="25">
        <v>1.8799150149999995E-5</v>
      </c>
      <c r="W258" s="25">
        <v>9.5940242200000018E-7</v>
      </c>
    </row>
    <row r="259" spans="1:23" x14ac:dyDescent="0.25">
      <c r="A259" s="25">
        <v>6830276.501550829</v>
      </c>
      <c r="B259" s="25">
        <v>9.9952404999999996E-6</v>
      </c>
      <c r="C259" s="25">
        <v>1.0832855999999999E-6</v>
      </c>
      <c r="E259" s="25">
        <v>7438943.4463606477</v>
      </c>
      <c r="F259" s="25">
        <v>1.11290995E-5</v>
      </c>
      <c r="G259" s="25">
        <v>1.0800268000000001E-6</v>
      </c>
      <c r="I259" s="25">
        <v>8244226.9288486419</v>
      </c>
      <c r="J259" s="25">
        <v>1.1018727000000001E-5</v>
      </c>
      <c r="K259" s="25">
        <v>9.3556225240000036E-7</v>
      </c>
      <c r="M259" s="25">
        <v>7892938.5127179436</v>
      </c>
      <c r="N259" s="25">
        <v>2.3487377250000004E-5</v>
      </c>
      <c r="O259" s="25">
        <v>9.2117386429999993E-7</v>
      </c>
      <c r="Q259" s="25">
        <v>7267210.8570472347</v>
      </c>
      <c r="R259" s="25">
        <v>1.7813314950000003E-5</v>
      </c>
      <c r="S259" s="25">
        <v>6.7571711220000001E-7</v>
      </c>
      <c r="U259" s="25">
        <v>8024753.0161964511</v>
      </c>
      <c r="V259" s="25">
        <v>1.8895678099999994E-5</v>
      </c>
      <c r="W259" s="25">
        <v>9.5775082505000013E-7</v>
      </c>
    </row>
    <row r="260" spans="1:23" x14ac:dyDescent="0.25">
      <c r="A260" s="25">
        <v>6850609.9902937757</v>
      </c>
      <c r="B260" s="25">
        <v>1.0037474100000001E-5</v>
      </c>
      <c r="C260" s="25">
        <v>1.0840930499999999E-6</v>
      </c>
      <c r="E260" s="25">
        <v>7466239.9595842138</v>
      </c>
      <c r="F260" s="25">
        <v>1.1178176500000002E-5</v>
      </c>
      <c r="G260" s="25">
        <v>1.08066255E-6</v>
      </c>
      <c r="I260" s="25">
        <v>8277941.2367399745</v>
      </c>
      <c r="J260" s="25">
        <v>1.1054702500000001E-5</v>
      </c>
      <c r="K260" s="25">
        <v>9.3536168325000018E-7</v>
      </c>
      <c r="M260" s="25">
        <v>7917392.8355845325</v>
      </c>
      <c r="N260" s="25">
        <v>2.359876225E-5</v>
      </c>
      <c r="O260" s="25">
        <v>9.2021614364999996E-7</v>
      </c>
      <c r="Q260" s="25">
        <v>7299151.925361136</v>
      </c>
      <c r="R260" s="25">
        <v>1.7905822899999999E-5</v>
      </c>
      <c r="S260" s="25">
        <v>6.7591721240000001E-7</v>
      </c>
      <c r="U260" s="25">
        <v>8051679.2341518803</v>
      </c>
      <c r="V260" s="25">
        <v>1.8952891599999998E-5</v>
      </c>
      <c r="W260" s="25">
        <v>9.5678013559999995E-7</v>
      </c>
    </row>
    <row r="261" spans="1:23" x14ac:dyDescent="0.25">
      <c r="A261" s="25">
        <v>6874412.7971564159</v>
      </c>
      <c r="B261" s="25">
        <v>1.0114486200000001E-5</v>
      </c>
      <c r="C261" s="25">
        <v>1.08433235E-6</v>
      </c>
      <c r="E261" s="25">
        <v>7484199.2673113951</v>
      </c>
      <c r="F261" s="25">
        <v>1.1187527E-5</v>
      </c>
      <c r="G261" s="25">
        <v>1.0812957E-6</v>
      </c>
      <c r="I261" s="25">
        <v>8311374.15782665</v>
      </c>
      <c r="J261" s="25">
        <v>1.1087764000000001E-5</v>
      </c>
      <c r="K261" s="25">
        <v>9.3543076790000034E-7</v>
      </c>
      <c r="M261" s="25">
        <v>7944581.437510605</v>
      </c>
      <c r="N261" s="25">
        <v>2.3745034700000001E-5</v>
      </c>
      <c r="O261" s="25">
        <v>9.1760219049999986E-7</v>
      </c>
      <c r="Q261" s="25">
        <v>7334037.9148670994</v>
      </c>
      <c r="R261" s="25">
        <v>1.80222804E-5</v>
      </c>
      <c r="S261" s="25">
        <v>6.7608455090000008E-7</v>
      </c>
      <c r="U261" s="25">
        <v>8078524.3490411788</v>
      </c>
      <c r="V261" s="25">
        <v>1.9040048549999999E-5</v>
      </c>
      <c r="W261" s="25">
        <v>9.5621253419999993E-7</v>
      </c>
    </row>
    <row r="262" spans="1:23" x14ac:dyDescent="0.25">
      <c r="A262" s="25">
        <v>6901294.8804566562</v>
      </c>
      <c r="B262" s="25">
        <v>1.0163697749999999E-5</v>
      </c>
      <c r="C262" s="25">
        <v>1.0819823000000001E-6</v>
      </c>
      <c r="E262" s="25">
        <v>7513876.0528332731</v>
      </c>
      <c r="F262" s="25">
        <v>1.1184184500000001E-5</v>
      </c>
      <c r="G262" s="25">
        <v>1.0813138000000002E-6</v>
      </c>
      <c r="I262" s="25">
        <v>8345380.2742561456</v>
      </c>
      <c r="J262" s="25">
        <v>1.1161579500000001E-5</v>
      </c>
      <c r="K262" s="25">
        <v>9.3636820400000033E-7</v>
      </c>
      <c r="M262" s="25">
        <v>7971050.4923157608</v>
      </c>
      <c r="N262" s="25">
        <v>2.3875303600000003E-5</v>
      </c>
      <c r="O262" s="25">
        <v>9.1549811999999992E-7</v>
      </c>
      <c r="Q262" s="25">
        <v>7367770.6485216254</v>
      </c>
      <c r="R262" s="25">
        <v>1.8122398400000002E-5</v>
      </c>
      <c r="S262" s="25">
        <v>6.7625354355000012E-7</v>
      </c>
      <c r="U262" s="25">
        <v>8107711.314965005</v>
      </c>
      <c r="V262" s="25">
        <v>1.9151840550000002E-5</v>
      </c>
      <c r="W262" s="25">
        <v>9.5693012549999996E-7</v>
      </c>
    </row>
    <row r="263" spans="1:23" x14ac:dyDescent="0.25">
      <c r="A263" s="25">
        <v>6926596.2685189284</v>
      </c>
      <c r="B263" s="25">
        <v>1.021253035E-5</v>
      </c>
      <c r="C263" s="25">
        <v>1.0794549500000003E-6</v>
      </c>
      <c r="E263" s="25">
        <v>7545595.9905425431</v>
      </c>
      <c r="F263" s="25">
        <v>1.1256913999999999E-5</v>
      </c>
      <c r="G263" s="25">
        <v>1.0811709000000002E-6</v>
      </c>
      <c r="I263" s="25">
        <v>8378427.5912031047</v>
      </c>
      <c r="J263" s="25">
        <v>1.1212482000000001E-5</v>
      </c>
      <c r="K263" s="25">
        <v>9.3785188824999999E-7</v>
      </c>
      <c r="M263" s="25">
        <v>7995134.7623773068</v>
      </c>
      <c r="N263" s="25">
        <v>2.4037535100000002E-5</v>
      </c>
      <c r="O263" s="25">
        <v>9.1481080350000008E-7</v>
      </c>
      <c r="Q263" s="25">
        <v>7396612.3417347902</v>
      </c>
      <c r="R263" s="25">
        <v>1.8232216450000001E-5</v>
      </c>
      <c r="S263" s="25">
        <v>6.7659161980000017E-7</v>
      </c>
      <c r="U263" s="25">
        <v>8137557.2433011439</v>
      </c>
      <c r="V263" s="25">
        <v>1.9237877550000002E-5</v>
      </c>
      <c r="W263" s="25">
        <v>9.573493343500001E-7</v>
      </c>
    </row>
    <row r="264" spans="1:23" x14ac:dyDescent="0.25">
      <c r="A264" s="25">
        <v>6948633.6235573459</v>
      </c>
      <c r="B264" s="25">
        <v>1.0271536350000001E-5</v>
      </c>
      <c r="C264" s="25">
        <v>1.0794021000000002E-6</v>
      </c>
      <c r="E264" s="25">
        <v>7565016.1520837108</v>
      </c>
      <c r="F264" s="25">
        <v>1.1325041999999999E-5</v>
      </c>
      <c r="G264" s="25">
        <v>1.0811373000000003E-6</v>
      </c>
      <c r="I264" s="25">
        <v>8409546.8874514885</v>
      </c>
      <c r="J264" s="25">
        <v>1.1287359000000001E-5</v>
      </c>
      <c r="K264" s="25">
        <v>9.3796459740000005E-7</v>
      </c>
      <c r="M264" s="25">
        <v>8020771.1983711161</v>
      </c>
      <c r="N264" s="25">
        <v>2.4203178650000001E-5</v>
      </c>
      <c r="O264" s="25">
        <v>9.1560640385000011E-7</v>
      </c>
      <c r="Q264" s="25">
        <v>7432672.1809466807</v>
      </c>
      <c r="R264" s="25">
        <v>1.8326036449999998E-5</v>
      </c>
      <c r="S264" s="25">
        <v>6.7685069505000005E-7</v>
      </c>
      <c r="U264" s="25">
        <v>8173323.6954648318</v>
      </c>
      <c r="V264" s="25">
        <v>1.9311833550000008E-5</v>
      </c>
      <c r="W264" s="25">
        <v>9.5726572334999993E-7</v>
      </c>
    </row>
    <row r="265" spans="1:23" x14ac:dyDescent="0.25">
      <c r="A265" s="25">
        <v>6968156.2361717243</v>
      </c>
      <c r="B265" s="25">
        <v>1.033160865E-5</v>
      </c>
      <c r="C265" s="25">
        <v>1.0813079E-6</v>
      </c>
      <c r="E265" s="25">
        <v>7589176.4266996281</v>
      </c>
      <c r="F265" s="25">
        <v>1.1322284499999999E-5</v>
      </c>
      <c r="G265" s="25">
        <v>1.0804312500000001E-6</v>
      </c>
      <c r="I265" s="25">
        <v>8442396.1914618369</v>
      </c>
      <c r="J265" s="25">
        <v>1.1341304E-5</v>
      </c>
      <c r="K265" s="25">
        <v>9.3758727079999987E-7</v>
      </c>
      <c r="M265" s="25">
        <v>8053068.584855699</v>
      </c>
      <c r="N265" s="25">
        <v>2.43609886E-5</v>
      </c>
      <c r="O265" s="25">
        <v>9.1609188075000022E-7</v>
      </c>
      <c r="Q265" s="25">
        <v>7459361.8163656462</v>
      </c>
      <c r="R265" s="25">
        <v>1.8400153549999999E-5</v>
      </c>
      <c r="S265" s="25">
        <v>6.7703290665000014E-7</v>
      </c>
      <c r="U265" s="25">
        <v>8203534.5875985594</v>
      </c>
      <c r="V265" s="25">
        <v>1.937511200000001E-5</v>
      </c>
      <c r="W265" s="25">
        <v>9.5725989404999985E-7</v>
      </c>
    </row>
    <row r="266" spans="1:23" x14ac:dyDescent="0.25">
      <c r="A266" s="25">
        <v>6980493.8704317044</v>
      </c>
      <c r="B266" s="25">
        <v>1.037366335E-5</v>
      </c>
      <c r="C266" s="25">
        <v>1.0826828500000003E-6</v>
      </c>
      <c r="E266" s="25">
        <v>7623092.7530103456</v>
      </c>
      <c r="F266" s="25">
        <v>1.1379055999999999E-5</v>
      </c>
      <c r="G266" s="25">
        <v>1.0801525999999998E-6</v>
      </c>
      <c r="I266" s="25">
        <v>8477840.5071151368</v>
      </c>
      <c r="J266" s="25">
        <v>1.1408522000000001E-5</v>
      </c>
      <c r="K266" s="25">
        <v>9.3758324629999994E-7</v>
      </c>
      <c r="M266" s="25">
        <v>8079702.1075742077</v>
      </c>
      <c r="N266" s="25">
        <v>2.4502774200000001E-5</v>
      </c>
      <c r="O266" s="25">
        <v>9.1674685620000013E-7</v>
      </c>
      <c r="Q266" s="25">
        <v>7492394.3589675147</v>
      </c>
      <c r="R266" s="25">
        <v>1.8515948499999996E-5</v>
      </c>
      <c r="S266" s="25">
        <v>6.7710597600000013E-7</v>
      </c>
      <c r="U266" s="25">
        <v>8231332.6635148954</v>
      </c>
      <c r="V266" s="25">
        <v>1.9436366900000007E-5</v>
      </c>
      <c r="W266" s="25">
        <v>9.5691861184999985E-7</v>
      </c>
    </row>
    <row r="267" spans="1:23" x14ac:dyDescent="0.25">
      <c r="A267" s="25">
        <v>7005589.9733981369</v>
      </c>
      <c r="B267" s="25">
        <v>1.0410380349999999E-5</v>
      </c>
      <c r="C267" s="25">
        <v>1.0826006500000003E-6</v>
      </c>
      <c r="E267" s="25">
        <v>7658725.3271584734</v>
      </c>
      <c r="F267" s="25">
        <v>1.1464892999999998E-5</v>
      </c>
      <c r="G267" s="25">
        <v>1.0803387E-6</v>
      </c>
      <c r="I267" s="25">
        <v>8507552.8693402335</v>
      </c>
      <c r="J267" s="25">
        <v>1.1482839000000001E-5</v>
      </c>
      <c r="K267" s="25">
        <v>9.3815689305000002E-7</v>
      </c>
      <c r="M267" s="25">
        <v>8106931.8264786191</v>
      </c>
      <c r="N267" s="25">
        <v>2.4611387200000001E-5</v>
      </c>
      <c r="O267" s="25">
        <v>9.1915412385000005E-7</v>
      </c>
      <c r="Q267" s="25">
        <v>7526343.3280941853</v>
      </c>
      <c r="R267" s="25">
        <v>1.8620899E-5</v>
      </c>
      <c r="S267" s="25">
        <v>6.783980667E-7</v>
      </c>
      <c r="U267" s="25">
        <v>8264797.8161771214</v>
      </c>
      <c r="V267" s="25">
        <v>1.9486648300000007E-5</v>
      </c>
      <c r="W267" s="25">
        <v>9.5542964679999992E-7</v>
      </c>
    </row>
    <row r="268" spans="1:23" x14ac:dyDescent="0.25">
      <c r="A268" s="25">
        <v>7040847.6886086473</v>
      </c>
      <c r="B268" s="25">
        <v>1.0458194349999998E-5</v>
      </c>
      <c r="C268" s="25">
        <v>1.0806868000000003E-6</v>
      </c>
      <c r="E268" s="25">
        <v>7691926.5502036037</v>
      </c>
      <c r="F268" s="25">
        <v>1.1563524999999999E-5</v>
      </c>
      <c r="G268" s="25">
        <v>1.0806755999999999E-6</v>
      </c>
      <c r="I268" s="25">
        <v>8539881.0866752919</v>
      </c>
      <c r="J268" s="25">
        <v>1.1518573E-5</v>
      </c>
      <c r="K268" s="25">
        <v>9.3826510300000013E-7</v>
      </c>
      <c r="M268" s="25">
        <v>8129073.3193136891</v>
      </c>
      <c r="N268" s="25">
        <v>2.4727071649999995E-5</v>
      </c>
      <c r="O268" s="25">
        <v>9.2153713354999999E-7</v>
      </c>
      <c r="Q268" s="25">
        <v>7561600.0069809668</v>
      </c>
      <c r="R268" s="25">
        <v>1.8702958099999997E-5</v>
      </c>
      <c r="S268" s="25">
        <v>6.7996133180000003E-7</v>
      </c>
      <c r="U268" s="25">
        <v>8297664.8337266333</v>
      </c>
      <c r="V268" s="25">
        <v>1.9539083300000006E-5</v>
      </c>
      <c r="W268" s="25">
        <v>9.5476377164999988E-7</v>
      </c>
    </row>
    <row r="269" spans="1:23" x14ac:dyDescent="0.25">
      <c r="A269" s="25">
        <v>7074668.4081482766</v>
      </c>
      <c r="B269" s="25">
        <v>1.0520509849999999E-5</v>
      </c>
      <c r="C269" s="25">
        <v>1.0803308500000002E-6</v>
      </c>
      <c r="E269" s="25">
        <v>7727130.0623923792</v>
      </c>
      <c r="F269" s="25">
        <v>1.1638046E-5</v>
      </c>
      <c r="G269" s="25">
        <v>1.0813428499999999E-6</v>
      </c>
      <c r="I269" s="25">
        <v>8572459.4256144892</v>
      </c>
      <c r="J269" s="25">
        <v>1.1577782E-5</v>
      </c>
      <c r="K269" s="25">
        <v>9.3892527960000016E-7</v>
      </c>
      <c r="M269" s="25">
        <v>8163354.6000030851</v>
      </c>
      <c r="N269" s="25">
        <v>2.4837828199999994E-5</v>
      </c>
      <c r="O269" s="25">
        <v>9.2372009419999992E-7</v>
      </c>
      <c r="Q269" s="25">
        <v>7593613.1537855836</v>
      </c>
      <c r="R269" s="25">
        <v>1.8821526549999998E-5</v>
      </c>
      <c r="S269" s="25">
        <v>6.8145597830000005E-7</v>
      </c>
      <c r="U269" s="25">
        <v>8326000.2174560856</v>
      </c>
      <c r="V269" s="25">
        <v>1.9550716300000001E-5</v>
      </c>
      <c r="W269" s="25">
        <v>9.5383188635000007E-7</v>
      </c>
    </row>
    <row r="270" spans="1:23" x14ac:dyDescent="0.25">
      <c r="A270" s="25">
        <v>7104249.9904588116</v>
      </c>
      <c r="B270" s="25">
        <v>1.0530194849999998E-5</v>
      </c>
      <c r="C270" s="25">
        <v>1.0802081000000002E-6</v>
      </c>
      <c r="E270" s="25">
        <v>7752996.3690847699</v>
      </c>
      <c r="F270" s="25">
        <v>1.1670289999999998E-5</v>
      </c>
      <c r="G270" s="25">
        <v>1.0808971499999997E-6</v>
      </c>
      <c r="I270" s="25">
        <v>8605673.4902975429</v>
      </c>
      <c r="J270" s="25">
        <v>1.1607310000000001E-5</v>
      </c>
      <c r="K270" s="25">
        <v>9.384923430500001E-7</v>
      </c>
      <c r="M270" s="25">
        <v>8184920.4551414223</v>
      </c>
      <c r="N270" s="25">
        <v>2.4935862599999999E-5</v>
      </c>
      <c r="O270" s="25">
        <v>9.2497155894999996E-7</v>
      </c>
      <c r="Q270" s="25">
        <v>7627314.9966583746</v>
      </c>
      <c r="R270" s="25">
        <v>1.8953102050000001E-5</v>
      </c>
      <c r="S270" s="25">
        <v>6.8220434180000004E-7</v>
      </c>
      <c r="U270" s="25">
        <v>8360874.5358923348</v>
      </c>
      <c r="V270" s="25">
        <v>1.9610726300000001E-5</v>
      </c>
      <c r="W270" s="25">
        <v>9.5341736709999992E-7</v>
      </c>
    </row>
    <row r="271" spans="1:23" x14ac:dyDescent="0.25">
      <c r="A271" s="25">
        <v>7127847.512225613</v>
      </c>
      <c r="B271" s="25">
        <v>1.05577535E-5</v>
      </c>
      <c r="C271" s="25">
        <v>1.0806356000000003E-6</v>
      </c>
      <c r="E271" s="25">
        <v>7788445.0595360314</v>
      </c>
      <c r="F271" s="25">
        <v>1.1692605999999999E-5</v>
      </c>
      <c r="G271" s="25">
        <v>1.0805809499999996E-6</v>
      </c>
      <c r="I271" s="25">
        <v>8640523.7671410087</v>
      </c>
      <c r="J271" s="25">
        <v>1.1606967000000001E-5</v>
      </c>
      <c r="K271" s="25">
        <v>9.3866662784999997E-7</v>
      </c>
      <c r="M271" s="25">
        <v>8210022.3704168359</v>
      </c>
      <c r="N271" s="25">
        <v>2.4993862050000003E-5</v>
      </c>
      <c r="O271" s="25">
        <v>9.2454447725000006E-7</v>
      </c>
      <c r="Q271" s="25">
        <v>7659997.4437339138</v>
      </c>
      <c r="R271" s="25">
        <v>1.908720905E-5</v>
      </c>
      <c r="S271" s="25">
        <v>6.8277802545000008E-7</v>
      </c>
      <c r="U271" s="25">
        <v>8395221.6843987331</v>
      </c>
      <c r="V271" s="25">
        <v>1.9631341849999997E-5</v>
      </c>
      <c r="W271" s="25">
        <v>9.5472722135000005E-7</v>
      </c>
    </row>
    <row r="272" spans="1:23" x14ac:dyDescent="0.25">
      <c r="A272" s="25">
        <v>7137567.7615136346</v>
      </c>
      <c r="B272" s="25">
        <v>1.05548485E-5</v>
      </c>
      <c r="C272" s="25">
        <v>1.0788855500000001E-6</v>
      </c>
      <c r="E272" s="25">
        <v>7825303.5249965945</v>
      </c>
      <c r="F272" s="25">
        <v>1.1720480999999999E-5</v>
      </c>
      <c r="G272" s="25">
        <v>1.0803121499999997E-6</v>
      </c>
      <c r="I272" s="25">
        <v>8674644.5226390697</v>
      </c>
      <c r="J272" s="25">
        <v>1.1632656000000001E-5</v>
      </c>
      <c r="K272" s="25">
        <v>9.3707575964999989E-7</v>
      </c>
      <c r="M272" s="25">
        <v>8243337.4021152873</v>
      </c>
      <c r="N272" s="25">
        <v>2.5074019549999997E-5</v>
      </c>
      <c r="O272" s="25">
        <v>9.2233035219999997E-7</v>
      </c>
      <c r="Q272" s="25">
        <v>7693102.0648264969</v>
      </c>
      <c r="R272" s="25">
        <v>1.921861755E-5</v>
      </c>
      <c r="S272" s="25">
        <v>6.8340655730000007E-7</v>
      </c>
      <c r="U272" s="25">
        <v>8427774.4275669884</v>
      </c>
      <c r="V272" s="25">
        <v>1.9685447899999999E-5</v>
      </c>
      <c r="W272" s="25">
        <v>9.5558781369999984E-7</v>
      </c>
    </row>
    <row r="273" spans="1:23" x14ac:dyDescent="0.25">
      <c r="A273" s="25">
        <v>7160775.2415983398</v>
      </c>
      <c r="B273" s="25">
        <v>1.0578299000000001E-5</v>
      </c>
      <c r="C273" s="25">
        <v>1.0802944000000001E-6</v>
      </c>
      <c r="E273" s="25">
        <v>7862294.7953493381</v>
      </c>
      <c r="F273" s="25">
        <v>1.1814204999999998E-5</v>
      </c>
      <c r="G273" s="25">
        <v>1.0802624499999998E-6</v>
      </c>
      <c r="I273" s="25">
        <v>8706441.2315653302</v>
      </c>
      <c r="J273" s="25">
        <v>1.1687557500000002E-5</v>
      </c>
      <c r="K273" s="25">
        <v>9.3596027574999973E-7</v>
      </c>
      <c r="M273" s="25">
        <v>8261696.1329432521</v>
      </c>
      <c r="N273" s="25">
        <v>2.5114048500000003E-5</v>
      </c>
      <c r="O273" s="25">
        <v>9.2023789479999977E-7</v>
      </c>
      <c r="Q273" s="25">
        <v>7727988.0543324593</v>
      </c>
      <c r="R273" s="25">
        <v>1.932336805E-5</v>
      </c>
      <c r="S273" s="25">
        <v>6.8331264060000001E-7</v>
      </c>
      <c r="U273" s="25">
        <v>8457072.9102067444</v>
      </c>
      <c r="V273" s="25">
        <v>1.9739600899999994E-5</v>
      </c>
      <c r="W273" s="25">
        <v>9.5585576220000001E-7</v>
      </c>
    </row>
    <row r="274" spans="1:23" x14ac:dyDescent="0.25">
      <c r="A274" s="25">
        <v>7178799.2730130861</v>
      </c>
      <c r="B274" s="25">
        <v>1.0594994000000001E-5</v>
      </c>
      <c r="C274" s="25">
        <v>1.0810730000000002E-6</v>
      </c>
      <c r="E274" s="25">
        <v>7897641.328191231</v>
      </c>
      <c r="F274" s="25">
        <v>1.1908309999999998E-5</v>
      </c>
      <c r="G274" s="25">
        <v>1.0801843000000001E-6</v>
      </c>
      <c r="I274" s="25">
        <v>8740780.843467012</v>
      </c>
      <c r="J274" s="25">
        <v>1.1756118999999999E-5</v>
      </c>
      <c r="K274" s="25">
        <v>9.355812807999998E-7</v>
      </c>
      <c r="M274" s="25">
        <v>8287692.3424975192</v>
      </c>
      <c r="N274" s="25">
        <v>2.5150822000000003E-5</v>
      </c>
      <c r="O274" s="25">
        <v>9.1759876854999997E-7</v>
      </c>
      <c r="Q274" s="25">
        <v>7759857.0441556461</v>
      </c>
      <c r="R274" s="25">
        <v>1.9456562549999999E-5</v>
      </c>
      <c r="S274" s="25">
        <v>6.8362778334999994E-7</v>
      </c>
      <c r="U274" s="25">
        <v>8488642.2786981631</v>
      </c>
      <c r="V274" s="25">
        <v>1.9781549899999995E-5</v>
      </c>
      <c r="W274" s="25">
        <v>9.560574312999999E-7</v>
      </c>
    </row>
    <row r="275" spans="1:23" x14ac:dyDescent="0.25">
      <c r="A275" s="25">
        <v>7199296.989832704</v>
      </c>
      <c r="B275" s="25">
        <v>1.0598758500000001E-5</v>
      </c>
      <c r="C275" s="25">
        <v>1.0808883E-6</v>
      </c>
      <c r="E275" s="25">
        <v>7933284.1181002958</v>
      </c>
      <c r="F275" s="25">
        <v>1.19857385E-5</v>
      </c>
      <c r="G275" s="25">
        <v>1.0815879499999999E-6</v>
      </c>
      <c r="I275" s="25">
        <v>8774151.2341526523</v>
      </c>
      <c r="J275" s="25">
        <v>1.1804032E-5</v>
      </c>
      <c r="K275" s="25">
        <v>9.3541775080000005E-7</v>
      </c>
      <c r="M275" s="25">
        <v>8314623.9633089798</v>
      </c>
      <c r="N275" s="25">
        <v>2.5199898549999997E-5</v>
      </c>
      <c r="O275" s="25">
        <v>9.1538209689999984E-7</v>
      </c>
      <c r="Q275" s="25">
        <v>7793054.3375934344</v>
      </c>
      <c r="R275" s="25">
        <v>1.96018791E-5</v>
      </c>
      <c r="S275" s="25">
        <v>6.8422900764999999E-7</v>
      </c>
      <c r="U275" s="25">
        <v>8516288.2863655034</v>
      </c>
      <c r="V275" s="25">
        <v>1.9863019349999999E-5</v>
      </c>
      <c r="W275" s="25">
        <v>9.5599439760000017E-7</v>
      </c>
    </row>
    <row r="276" spans="1:23" x14ac:dyDescent="0.25">
      <c r="A276" s="25">
        <v>7229525.2201951351</v>
      </c>
      <c r="B276" s="25">
        <v>1.0602775000000001E-5</v>
      </c>
      <c r="C276" s="25">
        <v>1.08140025E-6</v>
      </c>
      <c r="E276" s="25">
        <v>7969478.5590999555</v>
      </c>
      <c r="F276" s="25">
        <v>1.2052790999999998E-5</v>
      </c>
      <c r="G276" s="25">
        <v>1.081649E-6</v>
      </c>
      <c r="I276" s="25">
        <v>8807813.4333764557</v>
      </c>
      <c r="J276" s="25">
        <v>1.19052485E-5</v>
      </c>
      <c r="K276" s="25">
        <v>9.3603976274999997E-7</v>
      </c>
      <c r="M276" s="25">
        <v>8335922.5580881182</v>
      </c>
      <c r="N276" s="25">
        <v>2.52968476E-5</v>
      </c>
      <c r="O276" s="25">
        <v>9.143564426499998E-7</v>
      </c>
      <c r="Q276" s="25">
        <v>7825427.8768516239</v>
      </c>
      <c r="R276" s="25">
        <v>1.9753587099999999E-5</v>
      </c>
      <c r="S276" s="25">
        <v>6.8455489670000004E-7</v>
      </c>
      <c r="U276" s="25">
        <v>8548820.753767224</v>
      </c>
      <c r="V276" s="25">
        <v>1.9945464850000001E-5</v>
      </c>
      <c r="W276" s="25">
        <v>9.5606956735000002E-7</v>
      </c>
    </row>
    <row r="277" spans="1:23" x14ac:dyDescent="0.25">
      <c r="A277" s="25">
        <v>7260461.6841382133</v>
      </c>
      <c r="B277" s="25">
        <v>1.0621062000000002E-5</v>
      </c>
      <c r="C277" s="25">
        <v>1.0830212999999998E-6</v>
      </c>
      <c r="E277" s="25">
        <v>7992269.9217503211</v>
      </c>
      <c r="F277" s="25">
        <v>1.2103755999999999E-5</v>
      </c>
      <c r="G277" s="25">
        <v>1.0814875500000001E-6</v>
      </c>
      <c r="I277" s="25">
        <v>8844226.9702457953</v>
      </c>
      <c r="J277" s="25">
        <v>1.1944219E-5</v>
      </c>
      <c r="K277" s="25">
        <v>9.3783455674999985E-7</v>
      </c>
      <c r="M277" s="25">
        <v>8365372.5938227875</v>
      </c>
      <c r="N277" s="25">
        <v>2.5391251600000008E-5</v>
      </c>
      <c r="O277" s="25">
        <v>9.1541759845000007E-7</v>
      </c>
      <c r="Q277" s="25">
        <v>7859387.1429055398</v>
      </c>
      <c r="R277" s="25">
        <v>1.9844882550000002E-5</v>
      </c>
      <c r="S277" s="25">
        <v>6.8416348994999992E-7</v>
      </c>
      <c r="U277" s="25">
        <v>8579183.7141499482</v>
      </c>
      <c r="V277" s="25">
        <v>2.0000406849999998E-5</v>
      </c>
      <c r="W277" s="25">
        <v>9.558626516000002E-7</v>
      </c>
    </row>
    <row r="278" spans="1:23" x14ac:dyDescent="0.25">
      <c r="A278" s="25">
        <v>7297259.0375675224</v>
      </c>
      <c r="B278" s="25">
        <v>1.0679105000000001E-5</v>
      </c>
      <c r="C278" s="25">
        <v>1.0855528499999999E-6</v>
      </c>
      <c r="E278" s="25">
        <v>8025828.6964282449</v>
      </c>
      <c r="F278" s="25">
        <v>1.2136703499999998E-5</v>
      </c>
      <c r="G278" s="25">
        <v>1.0810933000000002E-6</v>
      </c>
      <c r="I278" s="25">
        <v>8880067.3117723167</v>
      </c>
      <c r="J278" s="25">
        <v>1.1964547000000001E-5</v>
      </c>
      <c r="K278" s="25">
        <v>9.3830860810000004E-7</v>
      </c>
      <c r="M278" s="25">
        <v>8387750.5092833014</v>
      </c>
      <c r="N278" s="25">
        <v>2.5476621600000003E-5</v>
      </c>
      <c r="O278" s="25">
        <v>9.1679233379999984E-7</v>
      </c>
      <c r="Q278" s="25">
        <v>7891503.2589826053</v>
      </c>
      <c r="R278" s="25">
        <v>1.994451265E-5</v>
      </c>
      <c r="S278" s="25">
        <v>6.8406611144999995E-7</v>
      </c>
      <c r="U278" s="25">
        <v>8611209.2873883527</v>
      </c>
      <c r="V278" s="25">
        <v>2.0057310850000001E-5</v>
      </c>
      <c r="W278" s="25">
        <v>9.5522939035000002E-7</v>
      </c>
    </row>
    <row r="279" spans="1:23" x14ac:dyDescent="0.25">
      <c r="A279" s="25">
        <v>7333881.8986653676</v>
      </c>
      <c r="B279" s="25">
        <v>1.07052955E-5</v>
      </c>
      <c r="C279" s="25">
        <v>1.0847748999999998E-6</v>
      </c>
      <c r="E279" s="25">
        <v>8061287.6026404435</v>
      </c>
      <c r="F279" s="25">
        <v>1.2195485999999999E-5</v>
      </c>
      <c r="G279" s="25">
        <v>1.0802757E-6</v>
      </c>
      <c r="I279" s="25">
        <v>8915198.9754204396</v>
      </c>
      <c r="J279" s="25">
        <v>1.1984229000000001E-5</v>
      </c>
      <c r="K279" s="25">
        <v>9.3903087764999997E-7</v>
      </c>
      <c r="M279" s="25">
        <v>8422268.2125981413</v>
      </c>
      <c r="N279" s="25">
        <v>2.5536080499999998E-5</v>
      </c>
      <c r="O279" s="25">
        <v>9.1839760330000007E-7</v>
      </c>
      <c r="Q279" s="25">
        <v>7925864.1051990753</v>
      </c>
      <c r="R279" s="25">
        <v>2.0043789150000003E-5</v>
      </c>
      <c r="S279" s="25">
        <v>6.8479105829999986E-7</v>
      </c>
      <c r="U279" s="25">
        <v>8645333.4024628904</v>
      </c>
      <c r="V279" s="25">
        <v>2.0110394900000001E-5</v>
      </c>
      <c r="W279" s="25">
        <v>9.5544883725000009E-7</v>
      </c>
    </row>
    <row r="280" spans="1:23" x14ac:dyDescent="0.25">
      <c r="A280" s="25">
        <v>7351567.2096719788</v>
      </c>
      <c r="B280" s="25">
        <v>1.07457125E-5</v>
      </c>
      <c r="C280" s="25">
        <v>1.0842121500000002E-6</v>
      </c>
      <c r="E280" s="25">
        <v>8083537.5299611492</v>
      </c>
      <c r="F280" s="25">
        <v>1.2235353999999997E-5</v>
      </c>
      <c r="G280" s="25">
        <v>1.0796031E-6</v>
      </c>
      <c r="I280" s="25">
        <v>8944181.8163001295</v>
      </c>
      <c r="J280" s="25">
        <v>1.2064471000000002E-5</v>
      </c>
      <c r="K280" s="25">
        <v>9.3911008609999996E-7</v>
      </c>
      <c r="M280" s="25">
        <v>8449590.4447038136</v>
      </c>
      <c r="N280" s="25">
        <v>2.5610157499999998E-5</v>
      </c>
      <c r="O280" s="25">
        <v>9.1989063835000005E-7</v>
      </c>
      <c r="Q280" s="25">
        <v>7959390.9003087021</v>
      </c>
      <c r="R280" s="25">
        <v>2.0146187650000004E-5</v>
      </c>
      <c r="S280" s="25">
        <v>6.8537069634999988E-7</v>
      </c>
      <c r="U280" s="25">
        <v>8673891.8196242023</v>
      </c>
      <c r="V280" s="25">
        <v>2.0208208300000001E-5</v>
      </c>
      <c r="W280" s="25">
        <v>9.5607052514999996E-7</v>
      </c>
    </row>
    <row r="281" spans="1:23" x14ac:dyDescent="0.25">
      <c r="A281" s="25">
        <v>7386475.9402195606</v>
      </c>
      <c r="B281" s="25">
        <v>1.07387945E-5</v>
      </c>
      <c r="C281" s="25">
        <v>1.0840765E-6</v>
      </c>
      <c r="E281" s="25">
        <v>8113224.531243965</v>
      </c>
      <c r="F281" s="25">
        <v>1.2333461499999999E-5</v>
      </c>
      <c r="G281" s="25">
        <v>1.0794542000000001E-6</v>
      </c>
      <c r="I281" s="25">
        <v>8977239.5549805947</v>
      </c>
      <c r="J281" s="25">
        <v>1.2139523000000001E-5</v>
      </c>
      <c r="K281" s="25">
        <v>9.3969698015000004E-7</v>
      </c>
      <c r="M281" s="25">
        <v>8477416.3597941268</v>
      </c>
      <c r="N281" s="25">
        <v>2.5669427450000001E-5</v>
      </c>
      <c r="O281" s="25">
        <v>9.2157112875000011E-7</v>
      </c>
      <c r="Q281" s="25">
        <v>7993463.4325623121</v>
      </c>
      <c r="R281" s="25">
        <v>2.0230736200000004E-5</v>
      </c>
      <c r="S281" s="25">
        <v>6.8592034094999992E-7</v>
      </c>
      <c r="U281" s="25">
        <v>8706140.4262944665</v>
      </c>
      <c r="V281" s="25">
        <v>2.0260524249999998E-5</v>
      </c>
      <c r="W281" s="25">
        <v>9.5714484585000016E-7</v>
      </c>
    </row>
    <row r="282" spans="1:23" x14ac:dyDescent="0.25">
      <c r="A282" s="25">
        <v>7418910.9853622708</v>
      </c>
      <c r="B282" s="25">
        <v>1.0763903500000002E-5</v>
      </c>
      <c r="C282" s="25">
        <v>1.0881678500000001E-6</v>
      </c>
      <c r="E282" s="25">
        <v>8141113.5586018739</v>
      </c>
      <c r="F282" s="25">
        <v>1.2394495999999997E-5</v>
      </c>
      <c r="G282" s="25">
        <v>1.0800381499999999E-6</v>
      </c>
      <c r="I282" s="25">
        <v>9012694.2923674006</v>
      </c>
      <c r="J282" s="25">
        <v>1.2195169999999999E-5</v>
      </c>
      <c r="K282" s="25">
        <v>9.3913930924999999E-7</v>
      </c>
      <c r="M282" s="25">
        <v>8503340.6146363039</v>
      </c>
      <c r="N282" s="25">
        <v>2.5747941949999997E-5</v>
      </c>
      <c r="O282" s="25">
        <v>9.2261309985000026E-7</v>
      </c>
      <c r="Q282" s="25">
        <v>8023993.8218436521</v>
      </c>
      <c r="R282" s="25">
        <v>2.0356608150000007E-5</v>
      </c>
      <c r="S282" s="25">
        <v>6.8651459059999992E-7</v>
      </c>
      <c r="U282" s="25">
        <v>8733806.7097283397</v>
      </c>
      <c r="V282" s="25">
        <v>2.0276467699999999E-5</v>
      </c>
      <c r="W282" s="25">
        <v>9.5782363014999992E-7</v>
      </c>
    </row>
    <row r="283" spans="1:23" x14ac:dyDescent="0.25">
      <c r="A283" s="25">
        <v>7443021.7198686711</v>
      </c>
      <c r="B283" s="25">
        <v>1.07901815E-5</v>
      </c>
      <c r="C283" s="25">
        <v>1.0904875000000004E-6</v>
      </c>
      <c r="E283" s="25">
        <v>8163649.5272288145</v>
      </c>
      <c r="F283" s="25">
        <v>1.2451194499999999E-5</v>
      </c>
      <c r="G283" s="25">
        <v>1.0804292500000001E-6</v>
      </c>
      <c r="I283" s="25">
        <v>9050264.6416558865</v>
      </c>
      <c r="J283" s="25">
        <v>1.225349E-5</v>
      </c>
      <c r="K283" s="25">
        <v>9.3865097314999994E-7</v>
      </c>
      <c r="M283" s="25">
        <v>8538660.0990287364</v>
      </c>
      <c r="N283" s="25">
        <v>2.5790855899999999E-5</v>
      </c>
      <c r="O283" s="25">
        <v>9.2234710675000028E-7</v>
      </c>
      <c r="Q283" s="25">
        <v>8052742.8427116126</v>
      </c>
      <c r="R283" s="25">
        <v>2.0478110100000002E-5</v>
      </c>
      <c r="S283" s="25">
        <v>6.8710488959999992E-7</v>
      </c>
      <c r="U283" s="25">
        <v>8765903.2481496092</v>
      </c>
      <c r="V283" s="25">
        <v>2.0295535749999999E-5</v>
      </c>
      <c r="W283" s="25">
        <v>9.5807541240000024E-7</v>
      </c>
    </row>
    <row r="284" spans="1:23" x14ac:dyDescent="0.25">
      <c r="A284" s="25">
        <v>7465018.0178879211</v>
      </c>
      <c r="B284" s="25">
        <v>1.0825341999999999E-5</v>
      </c>
      <c r="C284" s="25">
        <v>1.09015805E-6</v>
      </c>
      <c r="E284" s="25">
        <v>8198689.5872425986</v>
      </c>
      <c r="F284" s="25">
        <v>1.2518319499999998E-5</v>
      </c>
      <c r="G284" s="25">
        <v>1.0803810499999999E-6</v>
      </c>
      <c r="I284" s="25">
        <v>9087209.6869340241</v>
      </c>
      <c r="J284" s="25">
        <v>1.23165475E-5</v>
      </c>
      <c r="K284" s="25">
        <v>9.3889899805000013E-7</v>
      </c>
      <c r="M284" s="25">
        <v>8572756.3533156123</v>
      </c>
      <c r="N284" s="25">
        <v>2.5875124850000003E-5</v>
      </c>
      <c r="O284" s="25">
        <v>9.1941485605000029E-7</v>
      </c>
      <c r="Q284" s="25">
        <v>8086372.607093689</v>
      </c>
      <c r="R284" s="25">
        <v>2.0542966550000004E-5</v>
      </c>
      <c r="S284" s="25">
        <v>6.8730510914999987E-7</v>
      </c>
      <c r="U284" s="25">
        <v>8795880.9689682107</v>
      </c>
      <c r="V284" s="25">
        <v>2.0354105749999996E-5</v>
      </c>
      <c r="W284" s="25">
        <v>9.5791627645000016E-7</v>
      </c>
    </row>
    <row r="285" spans="1:23" x14ac:dyDescent="0.25">
      <c r="A285" s="25">
        <v>7475477.2935209656</v>
      </c>
      <c r="B285" s="25">
        <v>1.08293975E-5</v>
      </c>
      <c r="C285" s="25">
        <v>1.0876516500000001E-6</v>
      </c>
      <c r="E285" s="25">
        <v>8235221.148353179</v>
      </c>
      <c r="F285" s="25">
        <v>1.2600116E-5</v>
      </c>
      <c r="G285" s="25">
        <v>1.0800928499999999E-6</v>
      </c>
      <c r="I285" s="25">
        <v>9121882.7943078913</v>
      </c>
      <c r="J285" s="25">
        <v>1.2388361999999999E-5</v>
      </c>
      <c r="K285" s="25">
        <v>9.3951645684999994E-7</v>
      </c>
      <c r="M285" s="25">
        <v>8603254.8719979022</v>
      </c>
      <c r="N285" s="25">
        <v>2.5934747899999997E-5</v>
      </c>
      <c r="O285" s="25">
        <v>9.1809595515000031E-7</v>
      </c>
      <c r="Q285" s="25">
        <v>8116841.2148115598</v>
      </c>
      <c r="R285" s="25">
        <v>2.0621472500000007E-5</v>
      </c>
      <c r="S285" s="25">
        <v>6.8762201969999981E-7</v>
      </c>
      <c r="U285" s="25">
        <v>8827440.199576363</v>
      </c>
      <c r="V285" s="25">
        <v>2.0428416249999999E-5</v>
      </c>
      <c r="W285" s="25">
        <v>9.5747458035E-7</v>
      </c>
    </row>
    <row r="286" spans="1:23" x14ac:dyDescent="0.25">
      <c r="A286" s="25">
        <v>7499033.7582685985</v>
      </c>
      <c r="B286" s="25">
        <v>1.08896445E-5</v>
      </c>
      <c r="C286" s="25">
        <v>1.0865444000000002E-6</v>
      </c>
      <c r="E286" s="25">
        <v>8264703.8344172547</v>
      </c>
      <c r="F286" s="25">
        <v>1.2667203500000001E-5</v>
      </c>
      <c r="G286" s="25">
        <v>1.0802977E-6</v>
      </c>
      <c r="I286" s="25">
        <v>9158369.2833117731</v>
      </c>
      <c r="J286" s="25">
        <v>1.2448805499999998E-5</v>
      </c>
      <c r="K286" s="25">
        <v>9.3997209665000006E-7</v>
      </c>
      <c r="M286" s="25">
        <v>8631759.217230795</v>
      </c>
      <c r="N286" s="25">
        <v>2.6018414300000001E-5</v>
      </c>
      <c r="O286" s="25">
        <v>9.1793576470000027E-7</v>
      </c>
      <c r="Q286" s="25">
        <v>8139957.8164765202</v>
      </c>
      <c r="R286" s="25">
        <v>2.0718296500000005E-5</v>
      </c>
      <c r="S286" s="25">
        <v>6.8802219454999994E-7</v>
      </c>
      <c r="U286" s="25">
        <v>8855005.1041775718</v>
      </c>
      <c r="V286" s="25">
        <v>2.0506384350000001E-5</v>
      </c>
      <c r="W286" s="25">
        <v>9.5751560420000015E-7</v>
      </c>
    </row>
    <row r="287" spans="1:23" x14ac:dyDescent="0.25">
      <c r="A287" s="25">
        <v>7533254.7837451166</v>
      </c>
      <c r="B287" s="25">
        <v>1.0897060999999998E-5</v>
      </c>
      <c r="C287" s="25">
        <v>1.0872958999999999E-6</v>
      </c>
      <c r="E287" s="25">
        <v>8291162.6552439891</v>
      </c>
      <c r="F287" s="25">
        <v>1.2717096E-5</v>
      </c>
      <c r="G287" s="25">
        <v>1.0812408000000001E-6</v>
      </c>
      <c r="I287" s="25">
        <v>9186080.6727037523</v>
      </c>
      <c r="J287" s="25">
        <v>1.24918275E-5</v>
      </c>
      <c r="K287" s="25">
        <v>9.4042529214999988E-7</v>
      </c>
      <c r="M287" s="25">
        <v>8659636.5285440311</v>
      </c>
      <c r="N287" s="25">
        <v>2.6058711750000002E-5</v>
      </c>
      <c r="O287" s="25">
        <v>9.1821073334999997E-7</v>
      </c>
      <c r="Q287" s="25">
        <v>8172084.229480831</v>
      </c>
      <c r="R287" s="25">
        <v>2.0851300549999999E-5</v>
      </c>
      <c r="S287" s="25">
        <v>6.8784941899999991E-7</v>
      </c>
      <c r="U287" s="25">
        <v>8881464.9795027506</v>
      </c>
      <c r="V287" s="25">
        <v>2.0586741950000003E-5</v>
      </c>
      <c r="W287" s="25">
        <v>9.5750529564999994E-7</v>
      </c>
    </row>
    <row r="288" spans="1:23" x14ac:dyDescent="0.25">
      <c r="A288" s="25">
        <v>7545407.6614188412</v>
      </c>
      <c r="B288" s="25">
        <v>1.0948112999999998E-5</v>
      </c>
      <c r="C288" s="25">
        <v>1.0885392999999999E-6</v>
      </c>
      <c r="E288" s="25">
        <v>8320195.8478268385</v>
      </c>
      <c r="F288" s="25">
        <v>1.2719536500000001E-5</v>
      </c>
      <c r="G288" s="25">
        <v>1.0813241500000001E-6</v>
      </c>
      <c r="I288" s="25">
        <v>9215032.2483829241</v>
      </c>
      <c r="J288" s="25">
        <v>1.2530829499999999E-5</v>
      </c>
      <c r="K288" s="25">
        <v>9.4102354069999991E-7</v>
      </c>
      <c r="M288" s="25">
        <v>8695459.6959211063</v>
      </c>
      <c r="N288" s="25">
        <v>2.6133870749999999E-5</v>
      </c>
      <c r="O288" s="25">
        <v>9.1917803214999996E-7</v>
      </c>
      <c r="Q288" s="25">
        <v>8206486.2634062804</v>
      </c>
      <c r="R288" s="25">
        <v>2.0948025500000003E-5</v>
      </c>
      <c r="S288" s="25">
        <v>6.8706190174999995E-7</v>
      </c>
      <c r="U288" s="25">
        <v>8911209.5290062241</v>
      </c>
      <c r="V288" s="25">
        <v>2.0670806450000001E-5</v>
      </c>
      <c r="W288" s="25">
        <v>9.5678581709999986E-7</v>
      </c>
    </row>
    <row r="289" spans="1:23" x14ac:dyDescent="0.25">
      <c r="A289" s="25">
        <v>7576313.3325975444</v>
      </c>
      <c r="B289" s="25">
        <v>1.0971383999999999E-5</v>
      </c>
      <c r="C289" s="25">
        <v>1.0868013499999999E-6</v>
      </c>
      <c r="E289" s="25">
        <v>8352579.8099970119</v>
      </c>
      <c r="F289" s="25">
        <v>1.2732092000000003E-5</v>
      </c>
      <c r="G289" s="25">
        <v>1.0810553500000001E-6</v>
      </c>
      <c r="I289" s="25">
        <v>9248944.5692108665</v>
      </c>
      <c r="J289" s="25">
        <v>1.2546041E-5</v>
      </c>
      <c r="K289" s="25">
        <v>9.4169415949999996E-7</v>
      </c>
      <c r="M289" s="25">
        <v>8723480.9166585263</v>
      </c>
      <c r="N289" s="25">
        <v>2.6219065199999999E-5</v>
      </c>
      <c r="O289" s="25">
        <v>9.1959138614999994E-7</v>
      </c>
      <c r="Q289" s="25">
        <v>8239302.5705360044</v>
      </c>
      <c r="R289" s="25">
        <v>2.1000969E-5</v>
      </c>
      <c r="S289" s="25">
        <v>6.863907117499998E-7</v>
      </c>
      <c r="U289" s="25">
        <v>8939392.8444866817</v>
      </c>
      <c r="V289" s="25">
        <v>2.0770293999999997E-5</v>
      </c>
      <c r="W289" s="25">
        <v>9.5724239479999992E-7</v>
      </c>
    </row>
    <row r="290" spans="1:23" x14ac:dyDescent="0.25">
      <c r="A290" s="25">
        <v>7588517.5315452283</v>
      </c>
      <c r="B290" s="25">
        <v>1.1017832999999998E-5</v>
      </c>
      <c r="C290" s="25">
        <v>1.0859837E-6</v>
      </c>
      <c r="E290" s="25">
        <v>8380509.7003986686</v>
      </c>
      <c r="F290" s="25">
        <v>1.27700435E-5</v>
      </c>
      <c r="G290" s="25">
        <v>1.0808475000000002E-6</v>
      </c>
      <c r="I290" s="25">
        <v>9283784.4243208282</v>
      </c>
      <c r="J290" s="25">
        <v>1.2592933499999998E-5</v>
      </c>
      <c r="K290" s="25">
        <v>9.4334505440000008E-7</v>
      </c>
      <c r="M290" s="25">
        <v>8759869.4424877502</v>
      </c>
      <c r="N290" s="25">
        <v>2.630753775E-5</v>
      </c>
      <c r="O290" s="25">
        <v>9.1945345554999986E-7</v>
      </c>
      <c r="Q290" s="25">
        <v>8268916.5332925422</v>
      </c>
      <c r="R290" s="25">
        <v>2.1063369549999998E-5</v>
      </c>
      <c r="S290" s="25">
        <v>6.8746842884999991E-7</v>
      </c>
      <c r="U290" s="25">
        <v>8971053.4539274983</v>
      </c>
      <c r="V290" s="25">
        <v>2.083160205E-5</v>
      </c>
      <c r="W290" s="25">
        <v>9.5812930560000011E-7</v>
      </c>
    </row>
    <row r="291" spans="1:23" x14ac:dyDescent="0.25">
      <c r="A291" s="25">
        <v>7608789.4347594222</v>
      </c>
      <c r="B291" s="25">
        <v>1.1063005999999999E-5</v>
      </c>
      <c r="C291" s="25">
        <v>1.0859573E-6</v>
      </c>
      <c r="E291" s="25">
        <v>8412096.8332157582</v>
      </c>
      <c r="F291" s="25">
        <v>1.2823260500000002E-5</v>
      </c>
      <c r="G291" s="25">
        <v>1.0805444500000002E-6</v>
      </c>
      <c r="I291" s="25">
        <v>9314799.5032341536</v>
      </c>
      <c r="J291" s="25">
        <v>1.2647405499999999E-5</v>
      </c>
      <c r="K291" s="25">
        <v>9.4412842775000033E-7</v>
      </c>
      <c r="M291" s="25">
        <v>8794397.425047176</v>
      </c>
      <c r="N291" s="25">
        <v>2.6410180800000005E-5</v>
      </c>
      <c r="O291" s="25">
        <v>9.183399014999998E-7</v>
      </c>
      <c r="Q291" s="25">
        <v>8299694.0488277618</v>
      </c>
      <c r="R291" s="25">
        <v>2.1132607099999999E-5</v>
      </c>
      <c r="S291" s="25">
        <v>6.8838234029999995E-7</v>
      </c>
      <c r="U291" s="25">
        <v>8999104.9769254923</v>
      </c>
      <c r="V291" s="25">
        <v>2.0882962999999999E-5</v>
      </c>
      <c r="W291" s="25">
        <v>9.5741497710000023E-7</v>
      </c>
    </row>
    <row r="292" spans="1:23" x14ac:dyDescent="0.25">
      <c r="A292" s="25">
        <v>7637108.5137305418</v>
      </c>
      <c r="B292" s="25">
        <v>1.1138255999999998E-5</v>
      </c>
      <c r="C292" s="25">
        <v>1.0887788500000002E-6</v>
      </c>
      <c r="E292" s="25">
        <v>8443459.2192922365</v>
      </c>
      <c r="F292" s="25">
        <v>1.2895440500000003E-5</v>
      </c>
      <c r="G292" s="25">
        <v>1.0808795500000002E-6</v>
      </c>
      <c r="I292" s="25">
        <v>9344345.1177231576</v>
      </c>
      <c r="J292" s="25">
        <v>1.2725690500000003E-5</v>
      </c>
      <c r="K292" s="25">
        <v>9.4410105195000017E-7</v>
      </c>
      <c r="M292" s="25">
        <v>8829048.7585416138</v>
      </c>
      <c r="N292" s="25">
        <v>2.650068525E-5</v>
      </c>
      <c r="O292" s="25">
        <v>9.1888724674999972E-7</v>
      </c>
      <c r="Q292" s="25">
        <v>8331985.2126679914</v>
      </c>
      <c r="R292" s="25">
        <v>2.1205150149999999E-5</v>
      </c>
      <c r="S292" s="25">
        <v>6.8918097899999993E-7</v>
      </c>
      <c r="U292" s="25">
        <v>9027896.5654019304</v>
      </c>
      <c r="V292" s="25">
        <v>2.0944750949999997E-5</v>
      </c>
      <c r="W292" s="25">
        <v>9.5698127885000006E-7</v>
      </c>
    </row>
    <row r="293" spans="1:23" x14ac:dyDescent="0.25">
      <c r="A293" s="25">
        <v>7668968.7606049003</v>
      </c>
      <c r="B293" s="25">
        <v>1.1184964999999998E-5</v>
      </c>
      <c r="C293" s="25">
        <v>1.0916075499999999E-6</v>
      </c>
      <c r="E293" s="25">
        <v>8472962.3368781861</v>
      </c>
      <c r="F293" s="25">
        <v>1.2929559E-5</v>
      </c>
      <c r="G293" s="25">
        <v>1.0815679999999999E-6</v>
      </c>
      <c r="I293" s="25">
        <v>9375912.5485122893</v>
      </c>
      <c r="J293" s="25">
        <v>1.2781503000000003E-5</v>
      </c>
      <c r="K293" s="25">
        <v>9.4466666670000013E-7</v>
      </c>
      <c r="M293" s="25">
        <v>8856545.7378052231</v>
      </c>
      <c r="N293" s="25">
        <v>2.6633054300000007E-5</v>
      </c>
      <c r="O293" s="25">
        <v>9.1976532409999972E-7</v>
      </c>
      <c r="Q293" s="25">
        <v>8359076.4282495119</v>
      </c>
      <c r="R293" s="25">
        <v>2.1296888599999999E-5</v>
      </c>
      <c r="S293" s="25">
        <v>6.894638090999999E-7</v>
      </c>
      <c r="U293" s="25">
        <v>9059080.6943292283</v>
      </c>
      <c r="V293" s="25">
        <v>2.1003979449999996E-5</v>
      </c>
      <c r="W293" s="25">
        <v>9.5726185800000005E-7</v>
      </c>
    </row>
    <row r="294" spans="1:23" x14ac:dyDescent="0.25">
      <c r="A294" s="25">
        <v>7695029.7035217807</v>
      </c>
      <c r="B294" s="25">
        <v>1.1260839999999998E-5</v>
      </c>
      <c r="C294" s="25">
        <v>1.0929624000000001E-6</v>
      </c>
      <c r="E294" s="25">
        <v>8499942.1615127046</v>
      </c>
      <c r="F294" s="25">
        <v>1.2941495499999999E-5</v>
      </c>
      <c r="G294" s="25">
        <v>1.08221955E-6</v>
      </c>
      <c r="I294" s="25">
        <v>9411534.0336351879</v>
      </c>
      <c r="J294" s="25">
        <v>1.2846291499999998E-5</v>
      </c>
      <c r="K294" s="25">
        <v>9.4470966020000007E-7</v>
      </c>
      <c r="M294" s="25">
        <v>8892081.0863339324</v>
      </c>
      <c r="N294" s="25">
        <v>2.6770843300000004E-5</v>
      </c>
      <c r="O294" s="25">
        <v>9.2041610450000004E-7</v>
      </c>
      <c r="Q294" s="25">
        <v>8391758.8753250502</v>
      </c>
      <c r="R294" s="25">
        <v>2.133186805E-5</v>
      </c>
      <c r="S294" s="25">
        <v>6.8981995019999993E-7</v>
      </c>
      <c r="U294" s="25">
        <v>9088034.4889379274</v>
      </c>
      <c r="V294" s="25">
        <v>2.1081777999999998E-5</v>
      </c>
      <c r="W294" s="25">
        <v>9.568025688500002E-7</v>
      </c>
    </row>
    <row r="295" spans="1:23" x14ac:dyDescent="0.25">
      <c r="A295" s="25">
        <v>7696364.0566447405</v>
      </c>
      <c r="B295" s="25">
        <v>1.1271549999999999E-5</v>
      </c>
      <c r="C295" s="25">
        <v>1.0915768E-6</v>
      </c>
      <c r="E295" s="25">
        <v>8535002.6530483626</v>
      </c>
      <c r="F295" s="25">
        <v>1.2998592000000001E-5</v>
      </c>
      <c r="G295" s="25">
        <v>1.0820376999999999E-6</v>
      </c>
      <c r="I295" s="25">
        <v>9447447.3272962496</v>
      </c>
      <c r="J295" s="25">
        <v>1.2909906500000001E-5</v>
      </c>
      <c r="K295" s="25">
        <v>9.4476399965000006E-7</v>
      </c>
      <c r="M295" s="25">
        <v>8927513.6424167957</v>
      </c>
      <c r="N295" s="25">
        <v>2.6892014799999997E-5</v>
      </c>
      <c r="O295" s="25">
        <v>9.2200335464999997E-7</v>
      </c>
      <c r="Q295" s="25">
        <v>8421527.2919902634</v>
      </c>
      <c r="R295" s="25">
        <v>2.1396335000000003E-5</v>
      </c>
      <c r="S295" s="25">
        <v>6.9010903024999998E-7</v>
      </c>
      <c r="U295" s="25">
        <v>9114453.8127300404</v>
      </c>
      <c r="V295" s="25">
        <v>2.1173344E-5</v>
      </c>
      <c r="W295" s="25">
        <v>9.5576138214999991E-7</v>
      </c>
    </row>
    <row r="296" spans="1:23" x14ac:dyDescent="0.25">
      <c r="A296" s="25">
        <v>7715660.8556536948</v>
      </c>
      <c r="B296" s="25">
        <v>1.1346259999999999E-5</v>
      </c>
      <c r="C296" s="25">
        <v>1.0885158999999999E-6</v>
      </c>
      <c r="E296" s="25">
        <v>8568438.8385950439</v>
      </c>
      <c r="F296" s="25">
        <v>1.3035880000000002E-5</v>
      </c>
      <c r="G296" s="25">
        <v>1.0821173500000002E-6</v>
      </c>
      <c r="I296" s="25">
        <v>9483381.4644243214</v>
      </c>
      <c r="J296" s="25">
        <v>1.2957145E-5</v>
      </c>
      <c r="K296" s="25">
        <v>9.4471658374999987E-7</v>
      </c>
      <c r="M296" s="25">
        <v>8943436.1922782268</v>
      </c>
      <c r="N296" s="25">
        <v>2.6978939299999998E-5</v>
      </c>
      <c r="O296" s="25">
        <v>9.2238809650000002E-7</v>
      </c>
      <c r="Q296" s="25">
        <v>8450605.8145300616</v>
      </c>
      <c r="R296" s="25">
        <v>2.1481717450000003E-5</v>
      </c>
      <c r="S296" s="25">
        <v>6.9061860589999998E-7</v>
      </c>
      <c r="U296" s="25">
        <v>9140092.5195106417</v>
      </c>
      <c r="V296" s="25">
        <v>2.1257921449999998E-5</v>
      </c>
      <c r="W296" s="25">
        <v>9.5493537340000014E-7</v>
      </c>
    </row>
    <row r="297" spans="1:23" x14ac:dyDescent="0.25">
      <c r="A297" s="25">
        <v>7735573.5099501684</v>
      </c>
      <c r="B297" s="25">
        <v>1.1421645499999999E-5</v>
      </c>
      <c r="C297" s="25">
        <v>1.0866561500000001E-6</v>
      </c>
      <c r="E297" s="25">
        <v>8603540.1931744479</v>
      </c>
      <c r="F297" s="25">
        <v>1.3117015000000003E-5</v>
      </c>
      <c r="G297" s="25">
        <v>1.0817682000000002E-6</v>
      </c>
      <c r="I297" s="25">
        <v>9517429.2677878402</v>
      </c>
      <c r="J297" s="25">
        <v>1.3042632E-5</v>
      </c>
      <c r="K297" s="25">
        <v>9.4489398634999978E-7</v>
      </c>
      <c r="M297" s="25">
        <v>8955606.8178663068</v>
      </c>
      <c r="N297" s="25">
        <v>2.7081804749999997E-5</v>
      </c>
      <c r="O297" s="25">
        <v>9.2104123999999983E-7</v>
      </c>
      <c r="Q297" s="25">
        <v>8482886.6814430468</v>
      </c>
      <c r="R297" s="25">
        <v>2.1581730949999999E-5</v>
      </c>
      <c r="S297" s="25">
        <v>6.9188305085000002E-7</v>
      </c>
      <c r="U297" s="25">
        <v>9172645.262678897</v>
      </c>
      <c r="V297" s="25">
        <v>2.1356214499999997E-5</v>
      </c>
      <c r="W297" s="25">
        <v>9.546777818000003E-7</v>
      </c>
    </row>
    <row r="298" spans="1:23" x14ac:dyDescent="0.25">
      <c r="A298" s="25">
        <v>7749881.8811302129</v>
      </c>
      <c r="B298" s="25">
        <v>1.14301375E-5</v>
      </c>
      <c r="C298" s="25">
        <v>1.0866671000000002E-6</v>
      </c>
      <c r="E298" s="25">
        <v>8628568.8074700087</v>
      </c>
      <c r="F298" s="25">
        <v>1.3197315000000004E-5</v>
      </c>
      <c r="G298" s="25">
        <v>1.0817806000000001E-6</v>
      </c>
      <c r="I298" s="25">
        <v>9550414.0543337651</v>
      </c>
      <c r="J298" s="25">
        <v>1.3126106000000001E-5</v>
      </c>
      <c r="K298" s="25">
        <v>9.4473197694999985E-7</v>
      </c>
      <c r="M298" s="25">
        <v>8985704.4460097998</v>
      </c>
      <c r="N298" s="25">
        <v>2.7147262699999997E-5</v>
      </c>
      <c r="O298" s="25">
        <v>9.2096484530000002E-7</v>
      </c>
      <c r="Q298" s="25">
        <v>8515466.1592461374</v>
      </c>
      <c r="R298" s="25">
        <v>2.1636601900000003E-5</v>
      </c>
      <c r="S298" s="25">
        <v>6.9320078365000003E-7</v>
      </c>
      <c r="U298" s="25">
        <v>9199845.203482518</v>
      </c>
      <c r="V298" s="25">
        <v>2.1485872549999998E-5</v>
      </c>
      <c r="W298" s="25">
        <v>9.5543503560000016E-7</v>
      </c>
    </row>
    <row r="299" spans="1:23" x14ac:dyDescent="0.25">
      <c r="A299" s="25">
        <v>7781906.3560812427</v>
      </c>
      <c r="B299" s="25">
        <v>1.1427036499999999E-5</v>
      </c>
      <c r="C299" s="25">
        <v>1.0883994E-6</v>
      </c>
      <c r="E299" s="25">
        <v>8663843.8299853429</v>
      </c>
      <c r="F299" s="25">
        <v>1.3232283000000002E-5</v>
      </c>
      <c r="G299" s="25">
        <v>1.0827924999999999E-6</v>
      </c>
      <c r="I299" s="25">
        <v>9585441.5006468315</v>
      </c>
      <c r="J299" s="25">
        <v>1.3238532500000001E-5</v>
      </c>
      <c r="K299" s="25">
        <v>9.4616156899999986E-7</v>
      </c>
      <c r="M299" s="25">
        <v>9007712.3086652718</v>
      </c>
      <c r="N299" s="25">
        <v>2.7269869249999999E-5</v>
      </c>
      <c r="O299" s="25">
        <v>9.2050429995000001E-7</v>
      </c>
      <c r="Q299" s="25">
        <v>8551556.889239762</v>
      </c>
      <c r="R299" s="25">
        <v>2.1735987400000004E-5</v>
      </c>
      <c r="S299" s="25">
        <v>6.9412592165000002E-7</v>
      </c>
      <c r="U299" s="25">
        <v>9229539.0635696612</v>
      </c>
      <c r="V299" s="25">
        <v>2.1563087999999997E-5</v>
      </c>
      <c r="W299" s="25">
        <v>9.5677516180000006E-7</v>
      </c>
    </row>
    <row r="300" spans="1:23" x14ac:dyDescent="0.25">
      <c r="A300" s="25">
        <v>7805144.6289303238</v>
      </c>
      <c r="B300" s="25">
        <v>1.1475542999999998E-5</v>
      </c>
      <c r="C300" s="25">
        <v>1.08826585E-6</v>
      </c>
      <c r="E300" s="25">
        <v>8695441.1785633694</v>
      </c>
      <c r="F300" s="25">
        <v>1.3296131000000003E-5</v>
      </c>
      <c r="G300" s="25">
        <v>1.08391725E-6</v>
      </c>
      <c r="I300" s="25">
        <v>9618593.034928849</v>
      </c>
      <c r="J300" s="25">
        <v>1.3277204000000003E-5</v>
      </c>
      <c r="K300" s="25">
        <v>9.480647548499997E-7</v>
      </c>
      <c r="M300" s="25">
        <v>9036021.3482510578</v>
      </c>
      <c r="N300" s="25">
        <v>2.7383862750000004E-5</v>
      </c>
      <c r="O300" s="25">
        <v>9.1929819630000007E-7</v>
      </c>
      <c r="Q300" s="25">
        <v>8586319.3156187851</v>
      </c>
      <c r="R300" s="25">
        <v>2.1821625850000002E-5</v>
      </c>
      <c r="S300" s="25">
        <v>6.9407035434999992E-7</v>
      </c>
      <c r="U300" s="25">
        <v>9262172.909804048</v>
      </c>
      <c r="V300" s="25">
        <v>2.1638008550000001E-5</v>
      </c>
      <c r="W300" s="25">
        <v>9.5877795439999998E-7</v>
      </c>
    </row>
    <row r="301" spans="1:23" x14ac:dyDescent="0.25">
      <c r="A301" s="25">
        <v>7835773.1652296428</v>
      </c>
      <c r="B301" s="25">
        <v>1.1508849999999999E-5</v>
      </c>
      <c r="C301" s="25">
        <v>1.0877844000000001E-6</v>
      </c>
      <c r="E301" s="25">
        <v>8730838.7902099472</v>
      </c>
      <c r="F301" s="25">
        <v>1.33076905E-5</v>
      </c>
      <c r="G301" s="25">
        <v>1.08390505E-6</v>
      </c>
      <c r="I301" s="25">
        <v>9650004.139715394</v>
      </c>
      <c r="J301" s="25">
        <v>1.3310389E-5</v>
      </c>
      <c r="K301" s="25">
        <v>9.4878394064999996E-7</v>
      </c>
      <c r="M301" s="25">
        <v>9066221.7688403968</v>
      </c>
      <c r="N301" s="25">
        <v>2.7484758850000002E-5</v>
      </c>
      <c r="O301" s="25">
        <v>9.1811794504999996E-7</v>
      </c>
      <c r="Q301" s="25">
        <v>8615943.5753025673</v>
      </c>
      <c r="R301" s="25">
        <v>2.1914674350000002E-5</v>
      </c>
      <c r="S301" s="25">
        <v>6.9417116614999998E-7</v>
      </c>
      <c r="U301" s="25">
        <v>9288308.3728647009</v>
      </c>
      <c r="V301" s="25">
        <v>2.1711602599999999E-5</v>
      </c>
      <c r="W301" s="25">
        <v>9.603660827999999E-7</v>
      </c>
    </row>
    <row r="302" spans="1:23" x14ac:dyDescent="0.25">
      <c r="A302" s="25">
        <v>7863671.4097542912</v>
      </c>
      <c r="B302" s="25">
        <v>1.1572505E-5</v>
      </c>
      <c r="C302" s="25">
        <v>1.0862864500000003E-6</v>
      </c>
      <c r="E302" s="25">
        <v>8765776.6926143598</v>
      </c>
      <c r="F302" s="25">
        <v>1.3352945E-5</v>
      </c>
      <c r="G302" s="25">
        <v>1.08397685E-6</v>
      </c>
      <c r="I302" s="25">
        <v>9684177.0038809832</v>
      </c>
      <c r="J302" s="25">
        <v>1.3349882E-5</v>
      </c>
      <c r="K302" s="25">
        <v>9.4954846475000005E-7</v>
      </c>
      <c r="M302" s="25">
        <v>9089380.9068893362</v>
      </c>
      <c r="N302" s="25">
        <v>2.7583055850000002E-5</v>
      </c>
      <c r="O302" s="25">
        <v>9.1794069589999988E-7</v>
      </c>
      <c r="Q302" s="25">
        <v>8648584.8346691281</v>
      </c>
      <c r="R302" s="25">
        <v>2.1997065949999998E-5</v>
      </c>
      <c r="S302" s="25">
        <v>6.940593323999999E-7</v>
      </c>
      <c r="U302" s="25">
        <v>9316167.2760806344</v>
      </c>
      <c r="V302" s="25">
        <v>2.1807106200000003E-5</v>
      </c>
      <c r="W302" s="25">
        <v>9.6115998925000011E-7</v>
      </c>
    </row>
    <row r="303" spans="1:23" x14ac:dyDescent="0.25">
      <c r="A303" s="25">
        <v>7890101.8658436825</v>
      </c>
      <c r="B303" s="25">
        <v>1.16059945E-5</v>
      </c>
      <c r="C303" s="25">
        <v>1.0846750000000001E-6</v>
      </c>
      <c r="E303" s="25">
        <v>8800735.0265406482</v>
      </c>
      <c r="F303" s="25">
        <v>1.3386252500000001E-5</v>
      </c>
      <c r="G303" s="25">
        <v>1.0844165000000001E-6</v>
      </c>
      <c r="I303" s="25">
        <v>9717474.4424320832</v>
      </c>
      <c r="J303" s="25">
        <v>1.3421699999999997E-5</v>
      </c>
      <c r="K303" s="25">
        <v>9.5000063710000007E-7</v>
      </c>
      <c r="M303" s="25">
        <v>9124648.9950588476</v>
      </c>
      <c r="N303" s="25">
        <v>2.7683739800000004E-5</v>
      </c>
      <c r="O303" s="25">
        <v>9.1920318539999991E-7</v>
      </c>
      <c r="Q303" s="25">
        <v>8678229.6882073991</v>
      </c>
      <c r="R303" s="25">
        <v>2.2080784449999999E-5</v>
      </c>
      <c r="S303" s="25">
        <v>6.9377457814999993E-7</v>
      </c>
      <c r="U303" s="25">
        <v>9346651.891062554</v>
      </c>
      <c r="V303" s="25">
        <v>2.1883518749999998E-5</v>
      </c>
      <c r="W303" s="25">
        <v>9.6162214900000002E-7</v>
      </c>
    </row>
    <row r="304" spans="1:23" x14ac:dyDescent="0.25">
      <c r="A304" s="25">
        <v>7897635.8288610084</v>
      </c>
      <c r="B304" s="25">
        <v>1.1599742E-5</v>
      </c>
      <c r="C304" s="25">
        <v>1.0846437500000001E-6</v>
      </c>
      <c r="E304" s="25">
        <v>8832128.0598999355</v>
      </c>
      <c r="F304" s="25">
        <v>1.3424578999999999E-5</v>
      </c>
      <c r="G304" s="25">
        <v>1.0854167000000002E-6</v>
      </c>
      <c r="I304" s="25">
        <v>9753627.4359637778</v>
      </c>
      <c r="J304" s="25">
        <v>1.3473500499999999E-5</v>
      </c>
      <c r="K304" s="25">
        <v>9.4928765005000009E-7</v>
      </c>
      <c r="M304" s="25">
        <v>9153985.9591030851</v>
      </c>
      <c r="N304" s="25">
        <v>2.773604885E-5</v>
      </c>
      <c r="O304" s="25">
        <v>9.221778952999998E-7</v>
      </c>
      <c r="Q304" s="25">
        <v>8706278.5180227011</v>
      </c>
      <c r="R304" s="25">
        <v>2.2211463999999997E-5</v>
      </c>
      <c r="S304" s="25">
        <v>6.9404553370000004E-7</v>
      </c>
      <c r="U304" s="25">
        <v>9378403.7414527666</v>
      </c>
      <c r="V304" s="25">
        <v>2.1921994300000003E-5</v>
      </c>
      <c r="W304" s="25">
        <v>9.6218168999999994E-7</v>
      </c>
    </row>
    <row r="305" spans="1:23" x14ac:dyDescent="0.25">
      <c r="A305" s="25">
        <v>7930707.2578008231</v>
      </c>
      <c r="B305" s="25">
        <v>1.1666959500000001E-5</v>
      </c>
      <c r="C305" s="25">
        <v>1.0851840500000002E-6</v>
      </c>
      <c r="E305" s="25">
        <v>8869231.7036229875</v>
      </c>
      <c r="F305" s="25">
        <v>1.3453329500000001E-5</v>
      </c>
      <c r="G305" s="25">
        <v>1.0864571000000001E-6</v>
      </c>
      <c r="I305" s="25">
        <v>9784559.1410090551</v>
      </c>
      <c r="J305" s="25">
        <v>1.3498066499999999E-5</v>
      </c>
      <c r="K305" s="25">
        <v>9.4769290795000001E-7</v>
      </c>
      <c r="M305" s="25">
        <v>9188997.0661579836</v>
      </c>
      <c r="N305" s="25">
        <v>2.7800501799999998E-5</v>
      </c>
      <c r="O305" s="25">
        <v>9.2376728559999988E-7</v>
      </c>
      <c r="Q305" s="25">
        <v>8737282.5659573115</v>
      </c>
      <c r="R305" s="25">
        <v>2.2329866449999997E-5</v>
      </c>
      <c r="S305" s="25">
        <v>6.9430794284999997E-7</v>
      </c>
      <c r="U305" s="25">
        <v>9412355.5125117786</v>
      </c>
      <c r="V305" s="25">
        <v>2.1977169799999998E-5</v>
      </c>
      <c r="W305" s="25">
        <v>9.6339422550000003E-7</v>
      </c>
    </row>
    <row r="306" spans="1:23" x14ac:dyDescent="0.25">
      <c r="A306" s="25">
        <v>7962085.0846999576</v>
      </c>
      <c r="B306" s="25">
        <v>1.1661644999999998E-5</v>
      </c>
      <c r="C306" s="25">
        <v>1.08526315E-6</v>
      </c>
      <c r="E306" s="25">
        <v>8901554.3712275382</v>
      </c>
      <c r="F306" s="25">
        <v>1.3488615000000003E-5</v>
      </c>
      <c r="G306" s="25">
        <v>1.0867867500000003E-6</v>
      </c>
      <c r="I306" s="25">
        <v>9819023.8137128074</v>
      </c>
      <c r="J306" s="25">
        <v>1.35121395E-5</v>
      </c>
      <c r="K306" s="25">
        <v>9.4702697589999994E-7</v>
      </c>
      <c r="M306" s="25">
        <v>9217419.1774342004</v>
      </c>
      <c r="N306" s="25">
        <v>2.7833572300000002E-5</v>
      </c>
      <c r="O306" s="25">
        <v>9.2386139555000009E-7</v>
      </c>
      <c r="Q306" s="25">
        <v>8772734.8864617478</v>
      </c>
      <c r="R306" s="25">
        <v>2.2397446449999995E-5</v>
      </c>
      <c r="S306" s="25">
        <v>6.9458725999999994E-7</v>
      </c>
      <c r="U306" s="25">
        <v>9445405.0119600836</v>
      </c>
      <c r="V306" s="25">
        <v>2.2062766250000001E-5</v>
      </c>
      <c r="W306" s="25">
        <v>9.6284097990000005E-7</v>
      </c>
    </row>
    <row r="307" spans="1:23" x14ac:dyDescent="0.25">
      <c r="A307" s="25">
        <v>7996552.4522914831</v>
      </c>
      <c r="B307" s="25">
        <v>1.1694053999999998E-5</v>
      </c>
      <c r="C307" s="25">
        <v>1.0858017499999998E-6</v>
      </c>
      <c r="E307" s="25">
        <v>8935950.8383022938</v>
      </c>
      <c r="F307" s="25">
        <v>1.3551241499999998E-5</v>
      </c>
      <c r="G307" s="25">
        <v>1.08633505E-6</v>
      </c>
      <c r="I307" s="25">
        <v>9852821.4954721872</v>
      </c>
      <c r="J307" s="25">
        <v>1.35501175E-5</v>
      </c>
      <c r="K307" s="25">
        <v>9.4657619909999999E-7</v>
      </c>
      <c r="M307" s="25">
        <v>9235777.9082621653</v>
      </c>
      <c r="N307" s="25">
        <v>2.7902485799999998E-5</v>
      </c>
      <c r="O307" s="25">
        <v>9.2323627425000006E-7</v>
      </c>
      <c r="Q307" s="25">
        <v>8802400.3338545095</v>
      </c>
      <c r="R307" s="25">
        <v>2.2478545899999999E-5</v>
      </c>
      <c r="S307" s="25">
        <v>6.9523950980000006E-7</v>
      </c>
      <c r="U307" s="25">
        <v>9478829.6130892448</v>
      </c>
      <c r="V307" s="25">
        <v>2.2105009200000004E-5</v>
      </c>
      <c r="W307" s="25">
        <v>9.6313443975000006E-7</v>
      </c>
    </row>
    <row r="308" spans="1:23" x14ac:dyDescent="0.25">
      <c r="A308" s="25">
        <v>8031245.6334884334</v>
      </c>
      <c r="B308" s="25">
        <v>1.1718163000000001E-5</v>
      </c>
      <c r="C308" s="25">
        <v>1.0873487E-6</v>
      </c>
      <c r="E308" s="25">
        <v>8969805.8700473886</v>
      </c>
      <c r="F308" s="25">
        <v>1.36304465E-5</v>
      </c>
      <c r="G308" s="25">
        <v>1.0872340500000002E-6</v>
      </c>
      <c r="I308" s="25">
        <v>9882304.579560155</v>
      </c>
      <c r="J308" s="25">
        <v>1.3642933000000001E-5</v>
      </c>
      <c r="K308" s="25">
        <v>9.4603543060000014E-7</v>
      </c>
      <c r="M308" s="25">
        <v>9245234.8132799286</v>
      </c>
      <c r="N308" s="25">
        <v>2.7984465849999999E-5</v>
      </c>
      <c r="O308" s="25">
        <v>9.2196385420000013E-7</v>
      </c>
      <c r="Q308" s="25">
        <v>8829676.8941264395</v>
      </c>
      <c r="R308" s="25">
        <v>2.2584861899999999E-5</v>
      </c>
      <c r="S308" s="25">
        <v>6.9692031570000005E-7</v>
      </c>
      <c r="U308" s="25">
        <v>9511767.5958216209</v>
      </c>
      <c r="V308" s="25">
        <v>2.2145201150000003E-5</v>
      </c>
      <c r="W308" s="25">
        <v>9.6406930370000003E-7</v>
      </c>
    </row>
    <row r="309" spans="1:23" x14ac:dyDescent="0.25">
      <c r="A309" s="25">
        <v>8064645.5185815915</v>
      </c>
      <c r="B309" s="25">
        <v>1.1754455500000001E-5</v>
      </c>
      <c r="C309" s="25">
        <v>1.0895409999999998E-6</v>
      </c>
      <c r="E309" s="25">
        <v>8997929.8599068485</v>
      </c>
      <c r="F309" s="25">
        <v>1.3677588500000001E-5</v>
      </c>
      <c r="G309" s="25">
        <v>1.0876964499999998E-6</v>
      </c>
      <c r="I309" s="25">
        <v>9919551.8551099617</v>
      </c>
      <c r="J309" s="25">
        <v>1.3753809E-5</v>
      </c>
      <c r="K309" s="25">
        <v>9.4561390534999998E-7</v>
      </c>
      <c r="M309" s="25">
        <v>9279495.5354801565</v>
      </c>
      <c r="N309" s="25">
        <v>2.8055090849999996E-5</v>
      </c>
      <c r="O309" s="25">
        <v>9.2148775644999995E-7</v>
      </c>
      <c r="Q309" s="25">
        <v>8861638.5562948305</v>
      </c>
      <c r="R309" s="25">
        <v>2.2679326499999994E-5</v>
      </c>
      <c r="S309" s="25">
        <v>6.9844681159999995E-7</v>
      </c>
      <c r="U309" s="25">
        <v>9544614.3376045991</v>
      </c>
      <c r="V309" s="25">
        <v>2.2192219650000002E-5</v>
      </c>
      <c r="W309" s="25">
        <v>9.6541240565000006E-7</v>
      </c>
    </row>
    <row r="310" spans="1:23" x14ac:dyDescent="0.25">
      <c r="A310" s="25">
        <v>8096813.6930997092</v>
      </c>
      <c r="B310" s="25">
        <v>1.1794745499999999E-5</v>
      </c>
      <c r="C310" s="25">
        <v>1.0905582499999999E-6</v>
      </c>
      <c r="E310" s="25">
        <v>9030303.606316084</v>
      </c>
      <c r="F310" s="25">
        <v>1.3735853E-5</v>
      </c>
      <c r="G310" s="25">
        <v>1.0882075500000001E-6</v>
      </c>
      <c r="I310" s="25">
        <v>9954214.5407503229</v>
      </c>
      <c r="J310" s="25">
        <v>1.3871081499999999E-5</v>
      </c>
      <c r="K310" s="25">
        <v>9.4533546069999995E-7</v>
      </c>
      <c r="M310" s="25">
        <v>9307640.1071525905</v>
      </c>
      <c r="N310" s="25">
        <v>2.811141485E-5</v>
      </c>
      <c r="O310" s="25">
        <v>9.2116595734999998E-7</v>
      </c>
      <c r="Q310" s="25">
        <v>8890768.5634708535</v>
      </c>
      <c r="R310" s="25">
        <v>2.2806526949999994E-5</v>
      </c>
      <c r="S310" s="25">
        <v>6.9853982450000006E-7</v>
      </c>
      <c r="U310" s="25">
        <v>9577430.6657377798</v>
      </c>
      <c r="V310" s="25">
        <v>2.2287496700000007E-5</v>
      </c>
      <c r="W310" s="25">
        <v>9.6625704199999999E-7</v>
      </c>
    </row>
    <row r="311" spans="1:23" x14ac:dyDescent="0.25">
      <c r="A311" s="25">
        <v>8120103.2872227505</v>
      </c>
      <c r="B311" s="25">
        <v>1.1835238500000002E-5</v>
      </c>
      <c r="C311" s="25">
        <v>1.0897645500000001E-6</v>
      </c>
      <c r="E311" s="25">
        <v>9057947.4554115068</v>
      </c>
      <c r="F311" s="25">
        <v>1.3812907E-5</v>
      </c>
      <c r="G311" s="25">
        <v>1.0887797499999999E-6</v>
      </c>
      <c r="I311" s="25">
        <v>9991232.5381630007</v>
      </c>
      <c r="J311" s="25">
        <v>1.3988973500000002E-5</v>
      </c>
      <c r="K311" s="25">
        <v>9.4505898285000003E-7</v>
      </c>
      <c r="M311" s="25">
        <v>9340790.670937689</v>
      </c>
      <c r="N311" s="25">
        <v>2.8218996899999999E-5</v>
      </c>
      <c r="O311" s="25">
        <v>9.2134932285000005E-7</v>
      </c>
      <c r="Q311" s="25">
        <v>8922606.6625123061</v>
      </c>
      <c r="R311" s="25">
        <v>2.2929231999999995E-5</v>
      </c>
      <c r="S311" s="25">
        <v>6.9844285814999989E-7</v>
      </c>
      <c r="U311" s="25">
        <v>9608716.1734977402</v>
      </c>
      <c r="V311" s="25">
        <v>2.2397709750000002E-5</v>
      </c>
      <c r="W311" s="25">
        <v>9.6703225549999997E-7</v>
      </c>
    </row>
    <row r="312" spans="1:23" x14ac:dyDescent="0.25">
      <c r="A312" s="25">
        <v>8142992.5754089039</v>
      </c>
      <c r="B312" s="25">
        <v>1.18602565E-5</v>
      </c>
      <c r="C312" s="25">
        <v>1.08833415E-6</v>
      </c>
      <c r="E312" s="25">
        <v>9080391.4821900148</v>
      </c>
      <c r="F312" s="25">
        <v>1.3857943999999999E-5</v>
      </c>
      <c r="G312" s="25">
        <v>1.0889183999999999E-6</v>
      </c>
      <c r="I312" s="25">
        <v>10024008.890038811</v>
      </c>
      <c r="J312" s="25">
        <v>1.4064305000000002E-5</v>
      </c>
      <c r="K312" s="25">
        <v>9.4638719185000007E-7</v>
      </c>
      <c r="M312" s="25">
        <v>9371782.5933600366</v>
      </c>
      <c r="N312" s="25">
        <v>2.8304697949999999E-5</v>
      </c>
      <c r="O312" s="25">
        <v>9.2025732954999999E-7</v>
      </c>
      <c r="Q312" s="25">
        <v>8956514.4439299963</v>
      </c>
      <c r="R312" s="25">
        <v>2.3042760449999995E-5</v>
      </c>
      <c r="S312" s="25">
        <v>6.983992621E-7</v>
      </c>
      <c r="U312" s="25">
        <v>9641725.1214129813</v>
      </c>
      <c r="V312" s="25">
        <v>2.2484730750000001E-5</v>
      </c>
      <c r="W312" s="25">
        <v>9.6747317284999982E-7</v>
      </c>
    </row>
    <row r="313" spans="1:23" x14ac:dyDescent="0.25">
      <c r="A313" s="25">
        <v>8170274.9646460321</v>
      </c>
      <c r="B313" s="25">
        <v>1.1887774999999998E-5</v>
      </c>
      <c r="C313" s="25">
        <v>1.0869806000000001E-6</v>
      </c>
      <c r="E313" s="25">
        <v>9108392.8829182312</v>
      </c>
      <c r="F313" s="25">
        <v>1.3883197000000001E-5</v>
      </c>
      <c r="G313" s="25">
        <v>1.0887107500000001E-6</v>
      </c>
      <c r="I313" s="25">
        <v>10048552.07244502</v>
      </c>
      <c r="J313" s="25">
        <v>1.4128557000000003E-5</v>
      </c>
      <c r="K313" s="25">
        <v>9.4700180280000025E-7</v>
      </c>
      <c r="M313" s="25">
        <v>9405395.7231514379</v>
      </c>
      <c r="N313" s="25">
        <v>2.8354582450000001E-5</v>
      </c>
      <c r="O313" s="25">
        <v>9.2006744694999992E-7</v>
      </c>
      <c r="Q313" s="25">
        <v>8989886.7851309497</v>
      </c>
      <c r="R313" s="25">
        <v>2.3142228449999992E-5</v>
      </c>
      <c r="S313" s="25">
        <v>6.9892241199999998E-7</v>
      </c>
      <c r="U313" s="25">
        <v>9673872.3492505811</v>
      </c>
      <c r="V313" s="25">
        <v>2.2600886750000001E-5</v>
      </c>
      <c r="W313" s="25">
        <v>9.6773358959999986E-7</v>
      </c>
    </row>
    <row r="314" spans="1:23" x14ac:dyDescent="0.25">
      <c r="A314" s="25">
        <v>8175704.7554309983</v>
      </c>
      <c r="B314" s="25">
        <v>1.1877148999999999E-5</v>
      </c>
      <c r="C314" s="25">
        <v>1.0859727500000003E-6</v>
      </c>
      <c r="E314" s="25">
        <v>9138938.0081197508</v>
      </c>
      <c r="F314" s="25">
        <v>1.3946746000000002E-5</v>
      </c>
      <c r="G314" s="25">
        <v>1.0885915999999999E-6</v>
      </c>
      <c r="I314" s="25">
        <v>10070000</v>
      </c>
      <c r="J314" s="25">
        <v>1.4178812500000001E-5</v>
      </c>
      <c r="K314" s="25">
        <v>9.4814998585000013E-7</v>
      </c>
      <c r="M314" s="25">
        <v>9427722.2423890308</v>
      </c>
      <c r="N314" s="25">
        <v>2.8397643500000003E-5</v>
      </c>
      <c r="O314" s="25">
        <v>9.2082809144999989E-7</v>
      </c>
      <c r="Q314" s="25">
        <v>9023825.457330374</v>
      </c>
      <c r="R314" s="25">
        <v>2.3276869949999996E-5</v>
      </c>
      <c r="S314" s="25">
        <v>6.9857577795000005E-7</v>
      </c>
      <c r="U314" s="25">
        <v>9707976.1885585878</v>
      </c>
      <c r="V314" s="25">
        <v>2.268932375E-5</v>
      </c>
      <c r="W314" s="25">
        <v>9.6844309210000002E-7</v>
      </c>
    </row>
    <row r="315" spans="1:23" x14ac:dyDescent="0.25">
      <c r="A315" s="25">
        <v>8184367.7864754433</v>
      </c>
      <c r="B315" s="25">
        <v>1.1937944999999999E-5</v>
      </c>
      <c r="C315" s="25">
        <v>1.0859180500000001E-6</v>
      </c>
      <c r="E315" s="25">
        <v>9172660.2349726669</v>
      </c>
      <c r="F315" s="25">
        <v>1.3981492000000003E-5</v>
      </c>
      <c r="G315" s="25">
        <v>1.0885943000000001E-6</v>
      </c>
      <c r="I315" s="25">
        <v>10070000</v>
      </c>
      <c r="J315" s="25">
        <v>1.4221945499999998E-5</v>
      </c>
      <c r="K315" s="25">
        <v>9.4876465080000019E-7</v>
      </c>
      <c r="M315" s="25">
        <v>9461756.8212083969</v>
      </c>
      <c r="N315" s="25">
        <v>2.8497165950000003E-5</v>
      </c>
      <c r="O315" s="25">
        <v>9.2080401829999991E-7</v>
      </c>
      <c r="Q315" s="25">
        <v>9048126.2056285068</v>
      </c>
      <c r="R315" s="25">
        <v>2.336649905E-5</v>
      </c>
      <c r="S315" s="25">
        <v>6.9795081864999998E-7</v>
      </c>
      <c r="U315" s="25">
        <v>9743083.6783099622</v>
      </c>
      <c r="V315" s="25">
        <v>2.2781212749999994E-5</v>
      </c>
      <c r="W315" s="25">
        <v>9.6985228879999991E-7</v>
      </c>
    </row>
    <row r="316" spans="1:23" x14ac:dyDescent="0.25">
      <c r="A316" s="25">
        <v>8202648.4242599905</v>
      </c>
      <c r="B316" s="25">
        <v>1.1962025E-5</v>
      </c>
      <c r="C316" s="25">
        <v>1.0862935E-6</v>
      </c>
      <c r="E316" s="25">
        <v>9202602.6302789059</v>
      </c>
      <c r="F316" s="25">
        <v>1.4052532000000001E-5</v>
      </c>
      <c r="G316" s="25">
        <v>1.08874955E-6</v>
      </c>
      <c r="I316" s="25">
        <v>10070000</v>
      </c>
      <c r="J316" s="25">
        <v>1.4232074000000001E-5</v>
      </c>
      <c r="K316" s="25">
        <v>9.4901740505000011E-7</v>
      </c>
      <c r="M316" s="25">
        <v>9495894.1924736109</v>
      </c>
      <c r="N316" s="25">
        <v>2.859182085E-5</v>
      </c>
      <c r="O316" s="25">
        <v>9.2290790125000014E-7</v>
      </c>
      <c r="Q316" s="25">
        <v>9072529.9231990892</v>
      </c>
      <c r="R316" s="25">
        <v>2.3401041549999998E-5</v>
      </c>
      <c r="S316" s="25">
        <v>6.9800834984999993E-7</v>
      </c>
      <c r="U316" s="25">
        <v>9776285.2460072637</v>
      </c>
      <c r="V316" s="25">
        <v>2.2885621299999995E-5</v>
      </c>
      <c r="W316" s="25">
        <v>9.6967592924999991E-7</v>
      </c>
    </row>
    <row r="317" spans="1:23" x14ac:dyDescent="0.25">
      <c r="A317" s="25">
        <v>8221822.0522114402</v>
      </c>
      <c r="B317" s="25">
        <v>1.1969201499999998E-5</v>
      </c>
      <c r="C317" s="25">
        <v>1.08690125E-6</v>
      </c>
      <c r="E317" s="25">
        <v>9230961.5826399159</v>
      </c>
      <c r="F317" s="25">
        <v>1.4104492000000002E-5</v>
      </c>
      <c r="G317" s="25">
        <v>1.0892446499999999E-6</v>
      </c>
      <c r="M317" s="25">
        <v>9514365.9949920047</v>
      </c>
      <c r="N317" s="25">
        <v>2.8651061800000004E-5</v>
      </c>
      <c r="O317" s="25">
        <v>9.2459347060000006E-7</v>
      </c>
      <c r="Q317" s="25">
        <v>9101701.1180840936</v>
      </c>
      <c r="R317" s="25">
        <v>2.3438303549999998E-5</v>
      </c>
      <c r="S317" s="25">
        <v>6.9811522680000007E-7</v>
      </c>
      <c r="U317" s="25">
        <v>9809527.3652376309</v>
      </c>
      <c r="V317" s="25">
        <v>2.2981853299999997E-5</v>
      </c>
      <c r="W317" s="25">
        <v>9.6901032119999996E-7</v>
      </c>
    </row>
    <row r="318" spans="1:23" x14ac:dyDescent="0.25">
      <c r="A318" s="25">
        <v>8244629.2263592575</v>
      </c>
      <c r="B318" s="25">
        <v>1.2015876999999997E-5</v>
      </c>
      <c r="C318" s="25">
        <v>1.0859586E-6</v>
      </c>
      <c r="E318" s="25">
        <v>9265817.7589568328</v>
      </c>
      <c r="F318" s="25">
        <v>1.4132294999999998E-5</v>
      </c>
      <c r="G318" s="25">
        <v>1.0892235999999999E-6</v>
      </c>
      <c r="M318" s="25">
        <v>9543507.6533891372</v>
      </c>
      <c r="N318" s="25">
        <v>2.8742472850000007E-5</v>
      </c>
      <c r="O318" s="25">
        <v>9.2379588635E-7</v>
      </c>
      <c r="Q318" s="25">
        <v>9131047.3607322611</v>
      </c>
      <c r="R318" s="25">
        <v>2.3501601599999998E-5</v>
      </c>
      <c r="S318" s="25">
        <v>6.9813780784999996E-7</v>
      </c>
      <c r="U318" s="25">
        <v>9840011.9802195486</v>
      </c>
      <c r="V318" s="25">
        <v>2.304602175E-5</v>
      </c>
      <c r="W318" s="25">
        <v>9.6886787724999986E-7</v>
      </c>
    </row>
    <row r="319" spans="1:23" x14ac:dyDescent="0.25">
      <c r="A319" s="25">
        <v>8276294.4523925679</v>
      </c>
      <c r="B319" s="25">
        <v>1.2078177999999999E-5</v>
      </c>
      <c r="C319" s="25">
        <v>1.0859004E-6</v>
      </c>
      <c r="E319" s="25">
        <v>9292531.9738069922</v>
      </c>
      <c r="F319" s="25">
        <v>1.41599775E-5</v>
      </c>
      <c r="G319" s="25">
        <v>1.0890389999999997E-6</v>
      </c>
      <c r="M319" s="25">
        <v>9578148.707638992</v>
      </c>
      <c r="N319" s="25">
        <v>2.8785851400000011E-5</v>
      </c>
      <c r="O319" s="25">
        <v>9.2302668685000002E-7</v>
      </c>
      <c r="Q319" s="25">
        <v>9164368.2172969896</v>
      </c>
      <c r="R319" s="25">
        <v>2.3524685149999995E-5</v>
      </c>
      <c r="S319" s="25">
        <v>6.9821345794999991E-7</v>
      </c>
      <c r="U319" s="25">
        <v>9868489.2943147309</v>
      </c>
      <c r="V319" s="25">
        <v>2.3124942799999997E-5</v>
      </c>
      <c r="W319" s="25">
        <v>9.6884193395000008E-7</v>
      </c>
    </row>
    <row r="320" spans="1:23" x14ac:dyDescent="0.25">
      <c r="A320" s="25">
        <v>8308821.8758284068</v>
      </c>
      <c r="B320" s="25">
        <v>1.2113670499999998E-5</v>
      </c>
      <c r="C320" s="25">
        <v>1.0870784500000001E-6</v>
      </c>
      <c r="E320" s="25">
        <v>9315272.257652672</v>
      </c>
      <c r="F320" s="25">
        <v>1.4170764000000001E-5</v>
      </c>
      <c r="G320" s="25">
        <v>1.0892017499999999E-6</v>
      </c>
      <c r="M320" s="25">
        <v>9608811.6942346357</v>
      </c>
      <c r="N320" s="25">
        <v>2.883573895000001E-5</v>
      </c>
      <c r="O320" s="25">
        <v>9.2286864225000003E-7</v>
      </c>
      <c r="Q320" s="25">
        <v>9198275.9987146799</v>
      </c>
      <c r="R320" s="25">
        <v>2.3573586699999994E-5</v>
      </c>
      <c r="S320" s="25">
        <v>6.9999303215E-7</v>
      </c>
      <c r="U320" s="25">
        <v>9902907.4080039933</v>
      </c>
      <c r="V320" s="25">
        <v>2.3210715349999996E-5</v>
      </c>
      <c r="W320" s="25">
        <v>9.6755674405000021E-7</v>
      </c>
    </row>
    <row r="321" spans="1:23" x14ac:dyDescent="0.25">
      <c r="A321" s="25">
        <v>8341082.4286396531</v>
      </c>
      <c r="B321" s="25">
        <v>1.21773835E-5</v>
      </c>
      <c r="C321" s="25">
        <v>1.0881186999999999E-6</v>
      </c>
      <c r="E321" s="25">
        <v>9348299.8127618749</v>
      </c>
      <c r="F321" s="25">
        <v>1.4251310500000002E-5</v>
      </c>
      <c r="G321" s="25">
        <v>1.0904559999999998E-6</v>
      </c>
      <c r="M321" s="25">
        <v>9637038.4998637456</v>
      </c>
      <c r="N321" s="25">
        <v>2.8912068900000004E-5</v>
      </c>
      <c r="O321" s="25">
        <v>9.2292473815000005E-7</v>
      </c>
      <c r="Q321" s="25">
        <v>9230567.1625549104</v>
      </c>
      <c r="R321" s="25">
        <v>2.3636045149999999E-5</v>
      </c>
      <c r="S321" s="25">
        <v>7.0155398084999991E-7</v>
      </c>
      <c r="U321" s="25">
        <v>9936818.6275299396</v>
      </c>
      <c r="V321" s="25">
        <v>2.3349160349999998E-5</v>
      </c>
      <c r="W321" s="25">
        <v>9.6764233320000014E-7</v>
      </c>
    </row>
    <row r="322" spans="1:23" x14ac:dyDescent="0.25">
      <c r="A322" s="25">
        <v>8369801.8135476606</v>
      </c>
      <c r="B322" s="25">
        <v>1.2178412500000001E-5</v>
      </c>
      <c r="C322" s="25">
        <v>1.0873087499999999E-6</v>
      </c>
      <c r="E322" s="25">
        <v>9380847.2271070387</v>
      </c>
      <c r="F322" s="25">
        <v>1.43385725E-5</v>
      </c>
      <c r="G322" s="25">
        <v>1.0905965E-6</v>
      </c>
      <c r="M322" s="25">
        <v>9673149.4860891886</v>
      </c>
      <c r="N322" s="25">
        <v>2.9024196450000004E-5</v>
      </c>
      <c r="O322" s="25">
        <v>9.2240745739999987E-7</v>
      </c>
      <c r="Q322" s="25">
        <v>9263383.4696846344</v>
      </c>
      <c r="R322" s="25">
        <v>2.3712725099999994E-5</v>
      </c>
      <c r="S322" s="25">
        <v>7.0338604139999997E-7</v>
      </c>
      <c r="U322" s="25">
        <v>9970070.8846435733</v>
      </c>
      <c r="V322" s="25">
        <v>2.3442541249999996E-5</v>
      </c>
      <c r="W322" s="25">
        <v>9.6820197940000028E-7</v>
      </c>
    </row>
    <row r="323" spans="1:23" x14ac:dyDescent="0.25">
      <c r="A323" s="25">
        <v>8389704.2035893425</v>
      </c>
      <c r="B323" s="25">
        <v>1.2197354500000002E-5</v>
      </c>
      <c r="C323" s="25">
        <v>1.0863281500000001E-6</v>
      </c>
      <c r="E323" s="25">
        <v>9414232.3338490352</v>
      </c>
      <c r="F323" s="25">
        <v>1.4365675000000002E-5</v>
      </c>
      <c r="G323" s="25">
        <v>1.0893982499999999E-6</v>
      </c>
      <c r="M323" s="25">
        <v>9703781.6349510774</v>
      </c>
      <c r="N323" s="25">
        <v>2.9120918500000002E-5</v>
      </c>
      <c r="O323" s="25">
        <v>9.2073796334999983E-7</v>
      </c>
      <c r="Q323" s="25">
        <v>9291370.5179364663</v>
      </c>
      <c r="R323" s="25">
        <v>2.3812910599999997E-5</v>
      </c>
      <c r="S323" s="25">
        <v>7.0517746454999991E-7</v>
      </c>
      <c r="U323" s="25">
        <v>10001508.460652528</v>
      </c>
      <c r="V323" s="25">
        <v>2.3545937699999993E-5</v>
      </c>
      <c r="W323" s="25">
        <v>9.6845760990000002E-7</v>
      </c>
    </row>
    <row r="324" spans="1:23" x14ac:dyDescent="0.25">
      <c r="A324" s="25">
        <v>8401733.9102055635</v>
      </c>
      <c r="B324" s="25">
        <v>1.2256459E-5</v>
      </c>
      <c r="C324" s="25">
        <v>1.0859673500000002E-6</v>
      </c>
      <c r="E324" s="25">
        <v>9447750.2454832103</v>
      </c>
      <c r="F324" s="25">
        <v>1.4396204000000004E-5</v>
      </c>
      <c r="G324" s="25">
        <v>1.0885859999999999E-6</v>
      </c>
      <c r="M324" s="25">
        <v>9739131.9570772648</v>
      </c>
      <c r="N324" s="25">
        <v>2.9225013950000001E-5</v>
      </c>
      <c r="O324" s="25">
        <v>9.1993564409999996E-7</v>
      </c>
      <c r="Q324" s="25">
        <v>9322446.6443617903</v>
      </c>
      <c r="R324" s="25">
        <v>2.3895566599999995E-5</v>
      </c>
      <c r="S324" s="25">
        <v>7.062123387499998E-7</v>
      </c>
      <c r="U324" s="25">
        <v>10032925.760894952</v>
      </c>
      <c r="V324" s="25">
        <v>2.367778315E-5</v>
      </c>
      <c r="W324" s="25">
        <v>9.6930507140000014E-7</v>
      </c>
    </row>
    <row r="325" spans="1:23" x14ac:dyDescent="0.25">
      <c r="A325" s="25">
        <v>8429334.4913412426</v>
      </c>
      <c r="B325" s="25">
        <v>1.2260969000000002E-5</v>
      </c>
      <c r="C325" s="25">
        <v>1.0869649000000003E-6</v>
      </c>
      <c r="E325" s="25">
        <v>9472983.1749975104</v>
      </c>
      <c r="F325" s="25">
        <v>1.4455293499999999E-5</v>
      </c>
      <c r="G325" s="25">
        <v>1.0882557000000001E-6</v>
      </c>
      <c r="M325" s="25">
        <v>9764686.1591143981</v>
      </c>
      <c r="N325" s="25">
        <v>2.9341156999999999E-5</v>
      </c>
      <c r="O325" s="25">
        <v>9.1837798944999986E-7</v>
      </c>
      <c r="Q325" s="25">
        <v>9347560.8499122746</v>
      </c>
      <c r="R325" s="25">
        <v>2.3988120599999996E-5</v>
      </c>
      <c r="S325" s="25">
        <v>7.0730077364999989E-7</v>
      </c>
      <c r="U325" s="25">
        <v>10066157.742242051</v>
      </c>
      <c r="V325" s="25">
        <v>2.3776299199999998E-5</v>
      </c>
      <c r="W325" s="25">
        <v>9.6814112285000008E-7</v>
      </c>
    </row>
    <row r="326" spans="1:23" x14ac:dyDescent="0.25">
      <c r="A326" s="25">
        <v>8460825.2250430901</v>
      </c>
      <c r="B326" s="25">
        <v>1.2338253999999999E-5</v>
      </c>
      <c r="C326" s="25">
        <v>1.0877330000000003E-6</v>
      </c>
      <c r="E326" s="25">
        <v>9504120.8143333737</v>
      </c>
      <c r="F326" s="25">
        <v>1.45144445E-5</v>
      </c>
      <c r="G326" s="25">
        <v>1.08877565E-6</v>
      </c>
      <c r="M326" s="25">
        <v>9790260.9196406994</v>
      </c>
      <c r="N326" s="25">
        <v>2.9481637449999996E-5</v>
      </c>
      <c r="O326" s="25">
        <v>9.1756897119999994E-7</v>
      </c>
      <c r="Q326" s="25">
        <v>9380552.2048051637</v>
      </c>
      <c r="R326" s="25">
        <v>2.4097008549999999E-5</v>
      </c>
      <c r="S326" s="25">
        <v>7.0808737859999981E-7</v>
      </c>
      <c r="U326" s="25">
        <v>10070000</v>
      </c>
      <c r="V326" s="25">
        <v>2.3827244699999996E-5</v>
      </c>
      <c r="W326" s="25">
        <v>9.680178977E-7</v>
      </c>
    </row>
    <row r="327" spans="1:23" x14ac:dyDescent="0.25">
      <c r="A327" s="25">
        <v>8495764.7483550478</v>
      </c>
      <c r="B327" s="25">
        <v>1.2406819999999998E-5</v>
      </c>
      <c r="C327" s="25">
        <v>1.0863095000000002E-6</v>
      </c>
      <c r="E327" s="25">
        <v>9530416.1829851158</v>
      </c>
      <c r="F327" s="25">
        <v>1.4536080999999999E-5</v>
      </c>
      <c r="G327" s="25">
        <v>1.0894812500000001E-6</v>
      </c>
      <c r="M327" s="25">
        <v>9821787.3627814427</v>
      </c>
      <c r="N327" s="25">
        <v>2.9621550949999998E-5</v>
      </c>
      <c r="O327" s="25">
        <v>9.1685584210000005E-7</v>
      </c>
      <c r="Q327" s="25">
        <v>9414017.2183513213</v>
      </c>
      <c r="R327" s="25">
        <v>2.4162253049999998E-5</v>
      </c>
      <c r="S327" s="25">
        <v>7.0856775379999985E-7</v>
      </c>
      <c r="U327" s="25">
        <v>10070000</v>
      </c>
      <c r="V327" s="25">
        <v>2.3923765149999998E-5</v>
      </c>
      <c r="W327" s="25">
        <v>9.6694587629999999E-7</v>
      </c>
    </row>
    <row r="328" spans="1:23" x14ac:dyDescent="0.25">
      <c r="A328" s="25">
        <v>8524853.6464355662</v>
      </c>
      <c r="B328" s="25">
        <v>1.2423928999999997E-5</v>
      </c>
      <c r="C328" s="25">
        <v>1.0836770000000001E-6</v>
      </c>
      <c r="E328" s="25">
        <v>9558478.878278954</v>
      </c>
      <c r="F328" s="25">
        <v>1.4552138999999997E-5</v>
      </c>
      <c r="G328" s="25">
        <v>1.08840875E-6</v>
      </c>
      <c r="M328" s="25">
        <v>9856233.1113841925</v>
      </c>
      <c r="N328" s="25">
        <v>2.9735300899999994E-5</v>
      </c>
      <c r="O328" s="25">
        <v>9.1659426290000001E-7</v>
      </c>
      <c r="Q328" s="25">
        <v>9441798.328058254</v>
      </c>
      <c r="R328" s="25">
        <v>2.42172291E-5</v>
      </c>
      <c r="S328" s="25">
        <v>7.0751488859999982E-7</v>
      </c>
      <c r="U328" s="25">
        <v>10070000</v>
      </c>
      <c r="V328" s="25">
        <v>2.4010330249999997E-5</v>
      </c>
      <c r="W328" s="25">
        <v>9.6575040799999981E-7</v>
      </c>
    </row>
    <row r="329" spans="1:23" x14ac:dyDescent="0.25">
      <c r="A329" s="25">
        <v>8553193.253916271</v>
      </c>
      <c r="B329" s="25">
        <v>1.2484599500000001E-5</v>
      </c>
      <c r="C329" s="25">
        <v>1.0838519499999999E-6</v>
      </c>
      <c r="E329" s="25">
        <v>9583231.6670292169</v>
      </c>
      <c r="F329" s="25">
        <v>1.4625739E-5</v>
      </c>
      <c r="G329" s="25">
        <v>1.0876402000000001E-6</v>
      </c>
      <c r="M329" s="25">
        <v>9884028.1887407526</v>
      </c>
      <c r="N329" s="25">
        <v>2.9841254949999999E-5</v>
      </c>
      <c r="O329" s="25">
        <v>9.1796795234999988E-7</v>
      </c>
      <c r="Q329" s="25">
        <v>9474408.6966430787</v>
      </c>
      <c r="R329" s="25">
        <v>2.4313592500000003E-5</v>
      </c>
      <c r="S329" s="25">
        <v>7.0623430869999994E-7</v>
      </c>
    </row>
    <row r="330" spans="1:23" x14ac:dyDescent="0.25">
      <c r="A330" s="25">
        <v>8585741.2058616932</v>
      </c>
      <c r="B330" s="25">
        <v>1.25374265E-5</v>
      </c>
      <c r="C330" s="25">
        <v>1.08410955E-6</v>
      </c>
      <c r="E330" s="25">
        <v>9613909.597122917</v>
      </c>
      <c r="F330" s="25">
        <v>1.46946635E-5</v>
      </c>
      <c r="G330" s="25">
        <v>1.0874197500000002E-6</v>
      </c>
      <c r="M330" s="25">
        <v>9917219.8695041891</v>
      </c>
      <c r="N330" s="25">
        <v>2.9946460850000001E-5</v>
      </c>
      <c r="O330" s="25">
        <v>9.1931154605000002E-7</v>
      </c>
      <c r="Q330" s="25">
        <v>9508151.7272248492</v>
      </c>
      <c r="R330" s="25">
        <v>2.4369563099999998E-5</v>
      </c>
      <c r="S330" s="25">
        <v>7.0584678435000001E-7</v>
      </c>
    </row>
    <row r="331" spans="1:23" x14ac:dyDescent="0.25">
      <c r="A331" s="25">
        <v>8619253.9977575634</v>
      </c>
      <c r="B331" s="25">
        <v>1.25983205E-5</v>
      </c>
      <c r="C331" s="25">
        <v>1.0834083000000001E-6</v>
      </c>
      <c r="E331" s="25">
        <v>9646344.6380977742</v>
      </c>
      <c r="F331" s="25">
        <v>1.4722838999999999E-5</v>
      </c>
      <c r="G331" s="25">
        <v>1.0874551000000001E-6</v>
      </c>
      <c r="M331" s="25">
        <v>9949722.840880461</v>
      </c>
      <c r="N331" s="25">
        <v>3.00584693E-5</v>
      </c>
      <c r="O331" s="25">
        <v>9.2141766009999995E-7</v>
      </c>
      <c r="Q331" s="25">
        <v>9535809.2738048416</v>
      </c>
      <c r="R331" s="25">
        <v>2.4427795600000003E-5</v>
      </c>
      <c r="S331" s="25">
        <v>7.058682143E-7</v>
      </c>
    </row>
    <row r="332" spans="1:23" x14ac:dyDescent="0.25">
      <c r="A332" s="25">
        <v>8643888.2092583552</v>
      </c>
      <c r="B332" s="25">
        <v>1.265514E-5</v>
      </c>
      <c r="C332" s="25">
        <v>1.0827781500000002E-6</v>
      </c>
      <c r="E332" s="25">
        <v>9658521.825134635</v>
      </c>
      <c r="F332" s="25">
        <v>1.47437325E-5</v>
      </c>
      <c r="G332" s="25">
        <v>1.0878658E-6</v>
      </c>
      <c r="M332" s="25">
        <v>9979727.955822695</v>
      </c>
      <c r="N332" s="25">
        <v>3.0180422249999999E-5</v>
      </c>
      <c r="O332" s="25">
        <v>9.2402909504999998E-7</v>
      </c>
      <c r="Q332" s="25">
        <v>9569964.1814764123</v>
      </c>
      <c r="R332" s="25">
        <v>2.44864521E-5</v>
      </c>
      <c r="S332" s="25">
        <v>7.0577416969999997E-7</v>
      </c>
    </row>
    <row r="333" spans="1:23" x14ac:dyDescent="0.25">
      <c r="A333" s="25">
        <v>8675522.6425272897</v>
      </c>
      <c r="B333" s="25">
        <v>1.2665676999999998E-5</v>
      </c>
      <c r="C333" s="25">
        <v>1.08273735E-6</v>
      </c>
      <c r="E333" s="25">
        <v>9687125.955758132</v>
      </c>
      <c r="F333" s="25">
        <v>1.4785230500000002E-5</v>
      </c>
      <c r="G333" s="25">
        <v>1.0879901000000001E-6</v>
      </c>
      <c r="M333" s="25">
        <v>9996000</v>
      </c>
      <c r="N333" s="25">
        <v>3.02854077E-5</v>
      </c>
      <c r="O333" s="25">
        <v>9.2574632339999997E-7</v>
      </c>
      <c r="Q333" s="25">
        <v>9604448.5908198208</v>
      </c>
      <c r="R333" s="25">
        <v>2.45293936E-5</v>
      </c>
      <c r="S333" s="25">
        <v>7.0582067044999991E-7</v>
      </c>
    </row>
    <row r="334" spans="1:23" x14ac:dyDescent="0.25">
      <c r="A334" s="25">
        <v>8711242.2492034398</v>
      </c>
      <c r="B334" s="25">
        <v>1.2726122500000002E-5</v>
      </c>
      <c r="C334" s="25">
        <v>1.085001E-6</v>
      </c>
      <c r="E334" s="25">
        <v>9721951.4847922381</v>
      </c>
      <c r="F334" s="25">
        <v>1.4829467000000002E-5</v>
      </c>
      <c r="G334" s="25">
        <v>1.0877263499999998E-6</v>
      </c>
      <c r="M334" s="25">
        <v>9996000</v>
      </c>
      <c r="N334" s="25">
        <v>3.0372364200000002E-5</v>
      </c>
      <c r="O334" s="25">
        <v>9.2647204335000001E-7</v>
      </c>
      <c r="Q334" s="25">
        <v>9638253.4029650632</v>
      </c>
      <c r="R334" s="25">
        <v>2.4575138199999998E-5</v>
      </c>
      <c r="S334" s="25">
        <v>7.0670508869999986E-7</v>
      </c>
    </row>
    <row r="335" spans="1:23" x14ac:dyDescent="0.25">
      <c r="A335" s="25">
        <v>8745237.4610745329</v>
      </c>
      <c r="B335" s="25">
        <v>1.2753434E-5</v>
      </c>
      <c r="C335" s="25">
        <v>1.0863344499999999E-6</v>
      </c>
      <c r="E335" s="25">
        <v>9750892.7355266549</v>
      </c>
      <c r="F335" s="25">
        <v>1.4877981E-5</v>
      </c>
      <c r="G335" s="25">
        <v>1.087434E-6</v>
      </c>
      <c r="M335" s="25">
        <v>9996000</v>
      </c>
      <c r="N335" s="25">
        <v>3.0407555299999995E-5</v>
      </c>
      <c r="O335" s="25">
        <v>9.2673661820000016E-7</v>
      </c>
      <c r="Q335" s="25">
        <v>9664356.1135310642</v>
      </c>
      <c r="R335" s="25">
        <v>2.463744165E-5</v>
      </c>
      <c r="S335" s="25">
        <v>7.0797567269999998E-7</v>
      </c>
    </row>
    <row r="336" spans="1:23" x14ac:dyDescent="0.25">
      <c r="A336" s="25">
        <v>8773074.1200704295</v>
      </c>
      <c r="B336" s="25">
        <v>1.2812147500000002E-5</v>
      </c>
      <c r="C336" s="25">
        <v>1.0889708499999996E-6</v>
      </c>
      <c r="E336" s="25">
        <v>9779343.6297360975</v>
      </c>
      <c r="F336" s="25">
        <v>1.4916364000000003E-5</v>
      </c>
      <c r="G336" s="25">
        <v>1.0870860000000002E-6</v>
      </c>
      <c r="M336" s="25"/>
      <c r="N336" s="25"/>
      <c r="O336" s="25"/>
      <c r="Q336" s="25">
        <v>9693578.7930522934</v>
      </c>
      <c r="R336" s="25">
        <v>2.4774041099999997E-5</v>
      </c>
      <c r="S336" s="25">
        <v>7.0937567780000007E-7</v>
      </c>
    </row>
    <row r="337" spans="1:19" x14ac:dyDescent="0.25">
      <c r="A337" s="25">
        <v>8782342.7421476021</v>
      </c>
      <c r="B337" s="25">
        <v>1.2890937500000001E-5</v>
      </c>
      <c r="C337" s="25">
        <v>1.0887256499999997E-6</v>
      </c>
      <c r="E337" s="25">
        <v>9797497.0369210821</v>
      </c>
      <c r="F337" s="25">
        <v>1.4908319000000003E-5</v>
      </c>
      <c r="G337" s="25">
        <v>1.08742055E-6</v>
      </c>
      <c r="M337" s="25"/>
      <c r="N337" s="25"/>
      <c r="O337" s="25"/>
      <c r="Q337" s="25">
        <v>9727043.806598451</v>
      </c>
      <c r="R337" s="25">
        <v>2.4905392099999997E-5</v>
      </c>
      <c r="S337" s="25">
        <v>7.1027269254999992E-7</v>
      </c>
    </row>
    <row r="338" spans="1:19" x14ac:dyDescent="0.25">
      <c r="A338" s="25">
        <v>8795942.8797469977</v>
      </c>
      <c r="B338" s="25">
        <v>1.2903295500000002E-5</v>
      </c>
      <c r="C338" s="25">
        <v>1.0890718999999998E-6</v>
      </c>
      <c r="E338" s="25">
        <v>9820605.0881604925</v>
      </c>
      <c r="F338" s="25">
        <v>1.4959771000000003E-5</v>
      </c>
      <c r="G338" s="25">
        <v>1.0875541499999999E-6</v>
      </c>
      <c r="M338" s="25"/>
      <c r="N338" s="25"/>
      <c r="O338" s="25"/>
      <c r="Q338" s="25">
        <v>9759551.2059108261</v>
      </c>
      <c r="R338" s="25">
        <v>2.5053389500000001E-5</v>
      </c>
      <c r="S338" s="25">
        <v>7.1121656894999989E-7</v>
      </c>
    </row>
    <row r="339" spans="1:19" x14ac:dyDescent="0.25">
      <c r="A339" s="25">
        <v>8808752.6697274111</v>
      </c>
      <c r="B339" s="25">
        <v>1.29358395E-5</v>
      </c>
      <c r="C339" s="25">
        <v>1.0896801999999997E-6</v>
      </c>
      <c r="E339" s="25">
        <v>9847319.30301065</v>
      </c>
      <c r="F339" s="25">
        <v>1.5015114000000001E-5</v>
      </c>
      <c r="G339" s="25">
        <v>1.0885102000000002E-6</v>
      </c>
      <c r="M339" s="25"/>
      <c r="N339" s="25"/>
      <c r="O339" s="25"/>
      <c r="Q339" s="25">
        <v>9793541.3627464753</v>
      </c>
      <c r="R339" s="25">
        <v>2.5201536449999997E-5</v>
      </c>
      <c r="S339" s="25">
        <v>7.1165939904999993E-7</v>
      </c>
    </row>
    <row r="340" spans="1:19" x14ac:dyDescent="0.25">
      <c r="A340" s="25">
        <v>8833971.9437513463</v>
      </c>
      <c r="B340" s="25">
        <v>1.2992056000000002E-5</v>
      </c>
      <c r="C340" s="25">
        <v>1.0910830999999999E-6</v>
      </c>
      <c r="E340" s="25">
        <v>9880214.0532276724</v>
      </c>
      <c r="F340" s="25">
        <v>1.5083631500000002E-5</v>
      </c>
      <c r="G340" s="25">
        <v>1.0885762500000003E-6</v>
      </c>
      <c r="M340" s="25"/>
      <c r="N340" s="25"/>
      <c r="O340" s="25"/>
      <c r="Q340" s="25">
        <v>9830116.0483206138</v>
      </c>
      <c r="R340" s="25">
        <v>2.5339342449999997E-5</v>
      </c>
      <c r="S340" s="25">
        <v>7.1098713749999993E-7</v>
      </c>
    </row>
    <row r="341" spans="1:19" x14ac:dyDescent="0.25">
      <c r="A341" s="25">
        <v>8866037.4757215455</v>
      </c>
      <c r="B341" s="25">
        <v>1.3051524500000004E-5</v>
      </c>
      <c r="C341" s="25">
        <v>1.0915688999999997E-6</v>
      </c>
      <c r="E341" s="25">
        <v>9910309.6849479657</v>
      </c>
      <c r="F341" s="25">
        <v>1.5118255500000001E-5</v>
      </c>
      <c r="G341" s="25">
        <v>1.0882374500000001E-6</v>
      </c>
      <c r="M341" s="25"/>
      <c r="N341" s="25"/>
      <c r="O341" s="25"/>
      <c r="Q341" s="25">
        <v>9861099.5024007335</v>
      </c>
      <c r="R341" s="25">
        <v>2.542449845E-5</v>
      </c>
      <c r="S341" s="25">
        <v>7.1037118219999991E-7</v>
      </c>
    </row>
    <row r="342" spans="1:19" x14ac:dyDescent="0.25">
      <c r="A342" s="25">
        <v>8897405.0383658875</v>
      </c>
      <c r="B342" s="25">
        <v>1.3130136500000001E-5</v>
      </c>
      <c r="C342" s="25">
        <v>1.0921810499999998E-6</v>
      </c>
      <c r="E342" s="25">
        <v>9938433.6748074256</v>
      </c>
      <c r="F342" s="25">
        <v>1.5179929950000001E-5</v>
      </c>
      <c r="G342" s="25">
        <v>1.0883560000000001E-6</v>
      </c>
      <c r="M342" s="25"/>
      <c r="N342" s="25"/>
      <c r="O342" s="25"/>
      <c r="Q342" s="25">
        <v>9892989.0860784091</v>
      </c>
      <c r="R342" s="25">
        <v>2.5499765950000004E-5</v>
      </c>
      <c r="S342" s="25">
        <v>7.0994484804999996E-7</v>
      </c>
    </row>
    <row r="343" spans="1:19" x14ac:dyDescent="0.25">
      <c r="A343" s="25">
        <v>8916825.0084323455</v>
      </c>
      <c r="B343" s="25">
        <v>1.3204442500000001E-5</v>
      </c>
      <c r="C343" s="25">
        <v>1.0930277499999998E-6</v>
      </c>
      <c r="E343" s="25">
        <v>9974086.6804774273</v>
      </c>
      <c r="F343" s="25">
        <v>1.5251089E-5</v>
      </c>
      <c r="G343" s="25">
        <v>1.0891881500000001E-6</v>
      </c>
      <c r="M343" s="25"/>
      <c r="N343" s="25"/>
      <c r="O343" s="25"/>
      <c r="Q343" s="25">
        <v>9925898.0655533392</v>
      </c>
      <c r="R343" s="25">
        <v>2.5553154450000001E-5</v>
      </c>
      <c r="S343" s="25">
        <v>7.0989158859999997E-7</v>
      </c>
    </row>
    <row r="344" spans="1:19" x14ac:dyDescent="0.25">
      <c r="A344" s="25">
        <v>8933607.0650172606</v>
      </c>
      <c r="B344" s="25">
        <v>1.3235338000000004E-5</v>
      </c>
      <c r="C344" s="25">
        <v>1.0938829500000004E-6</v>
      </c>
      <c r="E344" s="25">
        <v>10005295.830139849</v>
      </c>
      <c r="F344" s="25">
        <v>1.53277065E-5</v>
      </c>
      <c r="G344" s="25">
        <v>1.0894833499999999E-6</v>
      </c>
      <c r="M344" s="25"/>
      <c r="N344" s="25"/>
      <c r="O344" s="25"/>
      <c r="Q344" s="25">
        <v>9960495.7410964426</v>
      </c>
      <c r="R344" s="25">
        <v>2.5664371900000003E-5</v>
      </c>
      <c r="S344" s="25">
        <v>7.1061596989999996E-7</v>
      </c>
    </row>
    <row r="345" spans="1:19" x14ac:dyDescent="0.25">
      <c r="A345" s="25">
        <v>8967848.619003363</v>
      </c>
      <c r="B345" s="25">
        <v>1.3314581000000003E-5</v>
      </c>
      <c r="C345" s="25">
        <v>1.0934456500000002E-6</v>
      </c>
      <c r="E345" s="25">
        <v>10037158.788502237</v>
      </c>
      <c r="F345" s="25">
        <v>1.5386608549999998E-5</v>
      </c>
      <c r="G345" s="25">
        <v>1.0896668499999999E-6</v>
      </c>
      <c r="M345" s="25"/>
      <c r="N345" s="25"/>
      <c r="O345" s="25"/>
      <c r="Q345" s="25">
        <v>9995402.3244568948</v>
      </c>
      <c r="R345" s="25">
        <v>2.5773686450000001E-5</v>
      </c>
      <c r="S345" s="25">
        <v>7.1138050539999997E-7</v>
      </c>
    </row>
    <row r="346" spans="1:19" x14ac:dyDescent="0.25">
      <c r="A346" s="25">
        <v>8997584.1651357785</v>
      </c>
      <c r="B346" s="25">
        <v>1.3360228500000003E-5</v>
      </c>
      <c r="C346" s="25">
        <v>1.0928933000000004E-6</v>
      </c>
      <c r="E346" s="25">
        <v>10050000</v>
      </c>
      <c r="F346" s="25">
        <v>1.5445421599999997E-5</v>
      </c>
      <c r="G346" s="25">
        <v>1.0891807E-6</v>
      </c>
      <c r="M346" s="25"/>
      <c r="N346" s="25"/>
      <c r="O346" s="25"/>
      <c r="Q346" s="25">
        <v>10025953.307592725</v>
      </c>
      <c r="R346" s="25">
        <v>2.5874945500000003E-5</v>
      </c>
      <c r="S346" s="25">
        <v>7.120223556999999E-7</v>
      </c>
    </row>
    <row r="347" spans="1:19" x14ac:dyDescent="0.25">
      <c r="A347" s="25">
        <v>9025184.7462714575</v>
      </c>
      <c r="B347" s="25">
        <v>1.3399699500000003E-5</v>
      </c>
      <c r="C347" s="25">
        <v>1.0940799500000001E-6</v>
      </c>
      <c r="E347" s="25">
        <v>10050000</v>
      </c>
      <c r="F347" s="25">
        <v>1.5483407649999999E-5</v>
      </c>
      <c r="G347" s="25">
        <v>1.08808325E-6</v>
      </c>
      <c r="M347" s="25"/>
      <c r="N347" s="25"/>
      <c r="O347" s="25"/>
      <c r="Q347" s="25">
        <v>10030000</v>
      </c>
      <c r="R347" s="25">
        <v>2.5978611550000006E-5</v>
      </c>
      <c r="S347" s="25">
        <v>7.1240413600000013E-7</v>
      </c>
    </row>
    <row r="348" spans="1:19" x14ac:dyDescent="0.25">
      <c r="A348" s="25">
        <v>9054971.6136778332</v>
      </c>
      <c r="B348" s="25">
        <v>1.3473544500000001E-5</v>
      </c>
      <c r="C348" s="25">
        <v>1.0948495000000001E-6</v>
      </c>
      <c r="E348" s="25">
        <v>10050000</v>
      </c>
      <c r="F348" s="25">
        <v>1.5532373150000001E-5</v>
      </c>
      <c r="G348" s="25">
        <v>1.0871547000000002E-6</v>
      </c>
      <c r="M348" s="25"/>
      <c r="N348" s="25"/>
      <c r="O348" s="25"/>
      <c r="Q348" s="25">
        <v>10030000</v>
      </c>
      <c r="R348" s="25">
        <v>2.6063837000000004E-5</v>
      </c>
      <c r="S348" s="25">
        <v>7.1347120635000013E-7</v>
      </c>
    </row>
    <row r="349" spans="1:19" x14ac:dyDescent="0.25">
      <c r="A349" s="25">
        <v>9084327.3823829442</v>
      </c>
      <c r="B349" s="25">
        <v>1.34689295E-5</v>
      </c>
      <c r="C349" s="25">
        <v>1.0964880499999999E-6</v>
      </c>
      <c r="M349" s="25"/>
      <c r="N349" s="25"/>
      <c r="O349" s="25"/>
      <c r="Q349" s="25">
        <v>10030000</v>
      </c>
      <c r="R349" s="25">
        <v>2.6128345550000002E-5</v>
      </c>
      <c r="S349" s="25">
        <v>7.1398357020000001E-7</v>
      </c>
    </row>
    <row r="350" spans="1:19" x14ac:dyDescent="0.25">
      <c r="A350" s="25">
        <v>9114730.1050768401</v>
      </c>
      <c r="B350" s="25">
        <v>1.3490191500000002E-5</v>
      </c>
      <c r="C350" s="25">
        <v>1.0971998E-6</v>
      </c>
      <c r="M350" s="25"/>
      <c r="N350" s="25"/>
      <c r="O350" s="25"/>
      <c r="Q350" s="25"/>
      <c r="R350" s="25"/>
      <c r="S350" s="25"/>
    </row>
    <row r="351" spans="1:19" x14ac:dyDescent="0.25">
      <c r="A351" s="25">
        <v>9148242.8969727103</v>
      </c>
      <c r="B351" s="25">
        <v>1.3548384500000003E-5</v>
      </c>
      <c r="C351" s="25">
        <v>1.0999893999999999E-6</v>
      </c>
      <c r="M351" s="25"/>
      <c r="N351" s="25"/>
      <c r="O351" s="25"/>
      <c r="Q351" s="25"/>
      <c r="R351" s="25"/>
      <c r="S351" s="25"/>
    </row>
    <row r="352" spans="1:19" x14ac:dyDescent="0.25">
      <c r="A352" s="25">
        <v>9174673.3530621026</v>
      </c>
      <c r="B352" s="25">
        <v>1.35996715E-5</v>
      </c>
      <c r="C352" s="25">
        <v>1.0999263499999999E-6</v>
      </c>
      <c r="M352" s="25"/>
      <c r="N352" s="25"/>
      <c r="O352" s="25"/>
      <c r="Q352" s="25"/>
      <c r="R352" s="25"/>
      <c r="S352" s="25"/>
    </row>
    <row r="353" spans="1:19" x14ac:dyDescent="0.25">
      <c r="A353" s="25">
        <v>9202756.3541730046</v>
      </c>
      <c r="B353" s="25">
        <v>1.3684217E-5</v>
      </c>
      <c r="C353" s="25">
        <v>1.0993652500000002E-6</v>
      </c>
      <c r="M353" s="25"/>
      <c r="N353" s="25"/>
      <c r="O353" s="25"/>
      <c r="Q353" s="25"/>
      <c r="R353" s="25"/>
      <c r="S353" s="25"/>
    </row>
    <row r="354" spans="1:19" x14ac:dyDescent="0.25">
      <c r="A354" s="25">
        <v>9228201.4418023657</v>
      </c>
      <c r="B354" s="25">
        <v>1.3728673500000002E-5</v>
      </c>
      <c r="C354" s="25">
        <v>1.0968949499999999E-6</v>
      </c>
      <c r="M354" s="25"/>
      <c r="N354" s="25"/>
      <c r="O354" s="25"/>
      <c r="Q354" s="25"/>
      <c r="R354" s="25"/>
      <c r="S354" s="25"/>
    </row>
    <row r="355" spans="1:19" x14ac:dyDescent="0.25">
      <c r="A355" s="25">
        <v>9262689.3379034754</v>
      </c>
      <c r="B355" s="25">
        <v>1.3815829000000002E-5</v>
      </c>
      <c r="C355" s="25">
        <v>1.0971611999999999E-6</v>
      </c>
      <c r="M355" s="25"/>
      <c r="N355" s="25"/>
      <c r="O355" s="25"/>
      <c r="Q355" s="25"/>
      <c r="R355" s="25"/>
      <c r="S355" s="25"/>
    </row>
    <row r="356" spans="1:19" x14ac:dyDescent="0.25">
      <c r="A356" s="25">
        <v>9289602.2139680926</v>
      </c>
      <c r="B356" s="25">
        <v>1.3839544500000002E-5</v>
      </c>
      <c r="C356" s="25">
        <v>1.0971518999999999E-6</v>
      </c>
      <c r="M356" s="25"/>
      <c r="N356" s="25"/>
      <c r="O356" s="25"/>
      <c r="Q356" s="25"/>
      <c r="R356" s="25"/>
      <c r="S356" s="25"/>
    </row>
    <row r="357" spans="1:19" x14ac:dyDescent="0.25">
      <c r="A357" s="25">
        <v>9323607.6900939774</v>
      </c>
      <c r="B357" s="25">
        <v>1.3894343500000001E-5</v>
      </c>
      <c r="C357" s="25">
        <v>1.0975627999999996E-6</v>
      </c>
      <c r="M357" s="25"/>
      <c r="N357" s="25"/>
      <c r="O357" s="25"/>
      <c r="Q357" s="25"/>
      <c r="R357" s="25"/>
      <c r="S357" s="25"/>
    </row>
    <row r="358" spans="1:19" x14ac:dyDescent="0.25">
      <c r="A358" s="25">
        <v>9353661.4281249437</v>
      </c>
      <c r="B358" s="25">
        <v>1.3977081500000001E-5</v>
      </c>
      <c r="C358" s="25">
        <v>1.0979372499999997E-6</v>
      </c>
      <c r="M358" s="25"/>
      <c r="N358" s="25"/>
      <c r="O358" s="25"/>
      <c r="Q358" s="25"/>
      <c r="R358" s="25"/>
      <c r="S358" s="25"/>
    </row>
    <row r="359" spans="1:19" x14ac:dyDescent="0.25">
      <c r="A359" s="25">
        <v>9380327.9620745536</v>
      </c>
      <c r="B359" s="25">
        <v>1.3999921000000002E-5</v>
      </c>
      <c r="C359" s="25">
        <v>1.0983300499999997E-6</v>
      </c>
      <c r="M359" s="25"/>
      <c r="N359" s="25"/>
      <c r="O359" s="25"/>
      <c r="Q359" s="25"/>
      <c r="R359" s="25"/>
      <c r="S359" s="25"/>
    </row>
    <row r="360" spans="1:19" x14ac:dyDescent="0.25">
      <c r="A360" s="25">
        <v>9397736.1382017788</v>
      </c>
      <c r="B360" s="25">
        <v>1.3998482000000001E-5</v>
      </c>
      <c r="C360" s="25">
        <v>1.0987384499999997E-6</v>
      </c>
      <c r="M360" s="25"/>
      <c r="N360" s="25"/>
      <c r="O360" s="25"/>
      <c r="Q360" s="25"/>
      <c r="R360" s="25"/>
      <c r="S360" s="25"/>
    </row>
    <row r="361" spans="1:19" x14ac:dyDescent="0.25">
      <c r="A361" s="25">
        <v>9409724.7877988312</v>
      </c>
      <c r="B361" s="25">
        <v>1.3993879500000001E-5</v>
      </c>
      <c r="C361" s="25">
        <v>1.0988931499999997E-6</v>
      </c>
      <c r="M361" s="25"/>
      <c r="N361" s="25"/>
      <c r="O361" s="25"/>
      <c r="Q361" s="25"/>
      <c r="R361" s="25"/>
      <c r="S361" s="25"/>
    </row>
    <row r="362" spans="1:19" x14ac:dyDescent="0.25">
      <c r="A362" s="25">
        <v>9417330.6005997024</v>
      </c>
      <c r="B362" s="25">
        <v>1.4016064000000001E-5</v>
      </c>
      <c r="C362" s="25">
        <v>1.0994030499999999E-6</v>
      </c>
      <c r="M362" s="25"/>
      <c r="N362" s="25"/>
      <c r="O362" s="25"/>
      <c r="Q362" s="25"/>
      <c r="R362" s="25"/>
      <c r="S362" s="25"/>
    </row>
    <row r="363" spans="1:19" x14ac:dyDescent="0.25">
      <c r="A363" s="25">
        <v>9426311.8235426992</v>
      </c>
      <c r="B363" s="25">
        <v>1.4034513E-5</v>
      </c>
      <c r="C363" s="25">
        <v>1.0974055500000001E-6</v>
      </c>
      <c r="M363" s="25"/>
      <c r="N363" s="25"/>
      <c r="O363" s="25"/>
      <c r="Q363" s="25"/>
      <c r="R363" s="25"/>
      <c r="S363" s="25"/>
    </row>
    <row r="364" spans="1:19" x14ac:dyDescent="0.25">
      <c r="A364" s="25">
        <v>9453645.5340537876</v>
      </c>
      <c r="B364" s="25">
        <v>1.4090255999999999E-5</v>
      </c>
      <c r="C364" s="25">
        <v>1.09742975E-6</v>
      </c>
      <c r="M364" s="25"/>
      <c r="N364" s="25"/>
      <c r="O364" s="25"/>
      <c r="Q364" s="25"/>
      <c r="R364" s="25"/>
      <c r="S364" s="25"/>
    </row>
    <row r="365" spans="1:19" x14ac:dyDescent="0.25">
      <c r="A365" s="25">
        <v>9487014.6263825689</v>
      </c>
      <c r="B365" s="25">
        <v>1.4113141499999999E-5</v>
      </c>
      <c r="C365" s="25">
        <v>1.0998686000000003E-6</v>
      </c>
      <c r="M365" s="25"/>
      <c r="N365" s="25"/>
      <c r="O365" s="25"/>
      <c r="Q365" s="25"/>
      <c r="R365" s="25"/>
      <c r="S365" s="25"/>
    </row>
    <row r="366" spans="1:19" x14ac:dyDescent="0.25">
      <c r="A366" s="25">
        <v>9517940.8260708563</v>
      </c>
      <c r="B366" s="25">
        <v>1.4142972999999998E-5</v>
      </c>
      <c r="C366" s="25">
        <v>1.1013911000000001E-6</v>
      </c>
      <c r="M366" s="25"/>
      <c r="N366" s="25"/>
      <c r="O366" s="25"/>
      <c r="Q366" s="25"/>
      <c r="R366" s="25"/>
      <c r="S366" s="25"/>
    </row>
    <row r="367" spans="1:19" x14ac:dyDescent="0.25">
      <c r="A367" s="25">
        <v>9540501.6581036653</v>
      </c>
      <c r="B367" s="25">
        <v>1.4226737949999999E-5</v>
      </c>
      <c r="C367" s="25">
        <v>1.1026059000000001E-6</v>
      </c>
      <c r="M367" s="25"/>
      <c r="N367" s="25"/>
      <c r="O367" s="25"/>
      <c r="Q367" s="25"/>
      <c r="R367" s="25"/>
      <c r="S367" s="25"/>
    </row>
    <row r="368" spans="1:19" x14ac:dyDescent="0.25">
      <c r="A368" s="25">
        <v>9571294.4224796556</v>
      </c>
      <c r="B368" s="25">
        <v>1.4274253449999998E-5</v>
      </c>
      <c r="C368" s="25">
        <v>1.1007344E-6</v>
      </c>
      <c r="M368" s="25"/>
      <c r="N368" s="25"/>
      <c r="O368" s="25"/>
      <c r="Q368" s="25"/>
      <c r="R368" s="25"/>
      <c r="S368" s="25"/>
    </row>
    <row r="369" spans="1:19" x14ac:dyDescent="0.25">
      <c r="A369" s="25">
        <v>9595579.6493175216</v>
      </c>
      <c r="B369" s="25">
        <v>1.4328096449999999E-5</v>
      </c>
      <c r="C369" s="25">
        <v>1.0981595E-6</v>
      </c>
      <c r="M369" s="25"/>
      <c r="N369" s="25"/>
      <c r="O369" s="25"/>
      <c r="Q369" s="25"/>
      <c r="R369" s="25"/>
      <c r="S369" s="25"/>
    </row>
    <row r="370" spans="1:19" x14ac:dyDescent="0.25">
      <c r="A370" s="25">
        <v>9613234.167559756</v>
      </c>
      <c r="B370" s="25">
        <v>1.4418108449999999E-5</v>
      </c>
      <c r="C370" s="25">
        <v>1.0989688999999998E-6</v>
      </c>
      <c r="M370" s="25"/>
      <c r="N370" s="25"/>
      <c r="O370" s="25"/>
      <c r="Q370" s="25"/>
      <c r="R370" s="25"/>
      <c r="S370" s="25"/>
    </row>
    <row r="371" spans="1:19" x14ac:dyDescent="0.25">
      <c r="A371" s="25">
        <v>9613624.2092418522</v>
      </c>
      <c r="B371" s="25">
        <v>1.4427810450000001E-5</v>
      </c>
      <c r="C371" s="25">
        <v>1.0989525499999998E-6</v>
      </c>
      <c r="M371" s="25"/>
      <c r="N371" s="25"/>
      <c r="O371" s="25"/>
      <c r="Q371" s="25"/>
      <c r="R371" s="25"/>
      <c r="S371" s="25"/>
    </row>
    <row r="372" spans="1:19" x14ac:dyDescent="0.25">
      <c r="A372" s="25">
        <v>9634696.7243298218</v>
      </c>
      <c r="B372" s="25">
        <v>1.4451475950000002E-5</v>
      </c>
      <c r="C372" s="25">
        <v>1.0982291499999998E-6</v>
      </c>
      <c r="M372" s="25"/>
      <c r="N372" s="25"/>
      <c r="O372" s="25"/>
      <c r="Q372" s="25"/>
      <c r="R372" s="25"/>
      <c r="S372" s="25"/>
    </row>
    <row r="373" spans="1:19" x14ac:dyDescent="0.25">
      <c r="A373" s="25">
        <v>9648307.126184009</v>
      </c>
      <c r="B373" s="25">
        <v>1.4475107949999999E-5</v>
      </c>
      <c r="C373" s="25">
        <v>1.0962016000000001E-6</v>
      </c>
      <c r="M373" s="25"/>
      <c r="N373" s="25"/>
      <c r="O373" s="25"/>
      <c r="Q373" s="25"/>
      <c r="R373" s="25"/>
      <c r="S373" s="25"/>
    </row>
    <row r="374" spans="1:19" x14ac:dyDescent="0.25">
      <c r="A374" s="25">
        <v>9675579.2511663456</v>
      </c>
      <c r="B374" s="25">
        <v>1.4548253949999999E-5</v>
      </c>
      <c r="C374" s="25">
        <v>1.0955763499999997E-6</v>
      </c>
      <c r="M374" s="25"/>
      <c r="N374" s="25"/>
      <c r="O374" s="25"/>
      <c r="Q374" s="25"/>
      <c r="R374" s="25"/>
      <c r="S374" s="25"/>
    </row>
    <row r="375" spans="1:19" x14ac:dyDescent="0.25">
      <c r="A375" s="25">
        <v>9693315.8834469151</v>
      </c>
      <c r="B375" s="25">
        <v>1.4583277449999997E-5</v>
      </c>
      <c r="C375" s="25">
        <v>1.0942060499999998E-6</v>
      </c>
      <c r="M375" s="25"/>
      <c r="N375" s="25"/>
      <c r="O375" s="25"/>
      <c r="Q375" s="25"/>
      <c r="R375" s="25"/>
      <c r="S375" s="25"/>
    </row>
    <row r="376" spans="1:19" x14ac:dyDescent="0.25">
      <c r="A376" s="25">
        <v>9721101.2211688515</v>
      </c>
      <c r="B376" s="25">
        <v>1.4622240950000003E-5</v>
      </c>
      <c r="C376" s="25">
        <v>1.0948669500000001E-6</v>
      </c>
      <c r="M376" s="25"/>
      <c r="N376" s="25"/>
      <c r="O376" s="25"/>
      <c r="Q376" s="25"/>
      <c r="R376" s="25"/>
      <c r="S376" s="25"/>
    </row>
    <row r="377" spans="1:19" x14ac:dyDescent="0.25">
      <c r="A377" s="25">
        <v>9749245.8078085072</v>
      </c>
      <c r="B377" s="25">
        <v>1.46535824E-5</v>
      </c>
      <c r="C377" s="25">
        <v>1.09575155E-6</v>
      </c>
      <c r="M377" s="25"/>
      <c r="N377" s="25"/>
      <c r="O377" s="25"/>
      <c r="Q377" s="25"/>
      <c r="R377" s="25"/>
      <c r="S377" s="25"/>
    </row>
    <row r="378" spans="1:19" x14ac:dyDescent="0.25">
      <c r="A378" s="25">
        <v>9782430.143551033</v>
      </c>
      <c r="B378" s="25">
        <v>1.470624085E-5</v>
      </c>
      <c r="C378" s="25">
        <v>1.0941475999999999E-6</v>
      </c>
      <c r="M378" s="25"/>
      <c r="N378" s="25"/>
      <c r="O378" s="25"/>
      <c r="Q378" s="25"/>
      <c r="R378" s="25"/>
      <c r="S378" s="25"/>
    </row>
    <row r="379" spans="1:19" x14ac:dyDescent="0.25">
      <c r="A379" s="25">
        <v>9812329.9177601207</v>
      </c>
      <c r="B379" s="25">
        <v>1.4802933849999999E-5</v>
      </c>
      <c r="C379" s="25">
        <v>1.0928674000000001E-6</v>
      </c>
      <c r="M379" s="25"/>
      <c r="N379" s="25"/>
      <c r="O379" s="25"/>
      <c r="Q379" s="25"/>
      <c r="R379" s="25"/>
      <c r="S379" s="25"/>
    </row>
    <row r="380" spans="1:19" x14ac:dyDescent="0.25">
      <c r="A380" s="25">
        <v>9845627.1603053585</v>
      </c>
      <c r="B380" s="25">
        <v>1.4891276300000003E-5</v>
      </c>
      <c r="C380" s="25">
        <v>1.0904220500000001E-6</v>
      </c>
      <c r="M380" s="25"/>
      <c r="N380" s="25"/>
      <c r="O380" s="25"/>
      <c r="Q380" s="25"/>
      <c r="R380" s="25"/>
      <c r="S380" s="25"/>
    </row>
    <row r="381" spans="1:19" x14ac:dyDescent="0.25">
      <c r="A381" s="25">
        <v>9870199.7862773985</v>
      </c>
      <c r="B381" s="25">
        <v>1.4974148250000003E-5</v>
      </c>
      <c r="C381" s="25">
        <v>1.0897171500000001E-6</v>
      </c>
      <c r="M381" s="25"/>
      <c r="N381" s="25"/>
      <c r="O381" s="25"/>
      <c r="Q381" s="25"/>
      <c r="R381" s="25"/>
      <c r="S381" s="25"/>
    </row>
    <row r="382" spans="1:19" x14ac:dyDescent="0.25">
      <c r="A382" s="25">
        <v>9902070.2974065505</v>
      </c>
      <c r="B382" s="25">
        <v>1.5044839750000002E-5</v>
      </c>
      <c r="C382" s="25">
        <v>1.0903628999999999E-6</v>
      </c>
      <c r="M382" s="25"/>
      <c r="N382" s="25"/>
      <c r="O382" s="25"/>
      <c r="Q382" s="25"/>
      <c r="R382" s="25"/>
      <c r="S382" s="25"/>
    </row>
    <row r="383" spans="1:19" x14ac:dyDescent="0.25">
      <c r="A383" s="25">
        <v>9929783.7853449415</v>
      </c>
      <c r="B383" s="25">
        <v>1.5094052750000002E-5</v>
      </c>
      <c r="C383" s="25">
        <v>1.0945817E-6</v>
      </c>
      <c r="M383" s="25"/>
      <c r="N383" s="25"/>
      <c r="O383" s="25"/>
      <c r="Q383" s="25"/>
      <c r="R383" s="25"/>
      <c r="S383" s="25"/>
    </row>
    <row r="384" spans="1:19" x14ac:dyDescent="0.25">
      <c r="A384" s="25">
        <v>9951000</v>
      </c>
      <c r="B384" s="25">
        <v>1.5117796750000002E-5</v>
      </c>
      <c r="C384" s="25">
        <v>1.0958E-6</v>
      </c>
      <c r="M384" s="25"/>
      <c r="N384" s="25"/>
      <c r="O384" s="25"/>
      <c r="Q384" s="25"/>
      <c r="R384" s="25"/>
      <c r="S384" s="25"/>
    </row>
    <row r="385" spans="1:19" x14ac:dyDescent="0.25">
      <c r="A385" s="25">
        <v>9951000</v>
      </c>
      <c r="B385" s="25">
        <v>1.5165377199999999E-5</v>
      </c>
      <c r="C385" s="25">
        <v>1.0935077E-6</v>
      </c>
      <c r="M385" s="25"/>
      <c r="N385" s="25"/>
      <c r="O385" s="25"/>
      <c r="Q385" s="25"/>
      <c r="R385" s="25"/>
      <c r="S385" s="25"/>
    </row>
    <row r="386" spans="1:19" x14ac:dyDescent="0.25">
      <c r="A386" s="25">
        <v>9951000</v>
      </c>
      <c r="B386" s="25">
        <v>1.5165240199999998E-5</v>
      </c>
      <c r="C386" s="25">
        <v>1.0915228E-6</v>
      </c>
      <c r="M386" s="25"/>
      <c r="N386" s="25"/>
      <c r="O386" s="25"/>
      <c r="Q386" s="25"/>
      <c r="R386" s="25"/>
      <c r="S386" s="25"/>
    </row>
    <row r="387" spans="1:19" x14ac:dyDescent="0.25">
      <c r="A387" s="25">
        <v>9951000</v>
      </c>
      <c r="B387" s="25">
        <v>1.5163811199999999E-5</v>
      </c>
      <c r="C387" s="25">
        <v>1.0878582999999999E-6</v>
      </c>
      <c r="M387" s="25"/>
      <c r="N387" s="25"/>
      <c r="O387" s="25"/>
      <c r="Q387" s="25"/>
      <c r="R387" s="25"/>
      <c r="S387" s="25"/>
    </row>
    <row r="388" spans="1:19" x14ac:dyDescent="0.25">
      <c r="A388" s="25"/>
      <c r="B388" s="25"/>
      <c r="C388" s="25"/>
      <c r="M388" s="25"/>
      <c r="N388" s="25"/>
      <c r="O388" s="25"/>
      <c r="Q388" s="25"/>
      <c r="R388" s="25"/>
      <c r="S388" s="25"/>
    </row>
    <row r="389" spans="1:19" x14ac:dyDescent="0.25">
      <c r="A389" s="25"/>
      <c r="B389" s="25"/>
      <c r="C389" s="25"/>
      <c r="M389" s="25"/>
      <c r="N389" s="25"/>
      <c r="O389" s="25"/>
      <c r="Q389" s="25"/>
      <c r="R389" s="25"/>
      <c r="S389" s="25"/>
    </row>
    <row r="390" spans="1:19" x14ac:dyDescent="0.25">
      <c r="A390" s="25"/>
      <c r="B390" s="25"/>
      <c r="C390" s="25"/>
      <c r="M390" s="25"/>
      <c r="N390" s="25"/>
      <c r="O390" s="25"/>
      <c r="Q390" s="25"/>
      <c r="R390" s="25"/>
      <c r="S390" s="25"/>
    </row>
    <row r="391" spans="1:19" x14ac:dyDescent="0.25">
      <c r="A391" s="25"/>
      <c r="B391" s="25"/>
      <c r="C391" s="25"/>
      <c r="M391" s="25"/>
      <c r="N391" s="25"/>
      <c r="O391" s="25"/>
      <c r="Q391" s="25"/>
      <c r="R391" s="25"/>
      <c r="S391" s="25"/>
    </row>
    <row r="392" spans="1:19" x14ac:dyDescent="0.25">
      <c r="A392" s="25"/>
      <c r="B392" s="25"/>
      <c r="C392" s="25"/>
      <c r="M392" s="25"/>
      <c r="N392" s="25"/>
      <c r="O392" s="25"/>
      <c r="Q392" s="25"/>
      <c r="R392" s="25"/>
      <c r="S392" s="25"/>
    </row>
    <row r="393" spans="1:19" x14ac:dyDescent="0.25">
      <c r="A393" s="25"/>
      <c r="B393" s="25"/>
      <c r="C393" s="25"/>
      <c r="M393" s="25"/>
      <c r="N393" s="25"/>
      <c r="O393" s="25"/>
      <c r="Q393" s="25"/>
      <c r="R393" s="25"/>
      <c r="S393" s="25"/>
    </row>
    <row r="394" spans="1:19" x14ac:dyDescent="0.25">
      <c r="A394" s="25"/>
      <c r="B394" s="25"/>
      <c r="C394" s="25"/>
      <c r="M394" s="25"/>
      <c r="N394" s="25"/>
      <c r="O394" s="25"/>
      <c r="Q394" s="25"/>
      <c r="R394" s="25"/>
      <c r="S394" s="25"/>
    </row>
    <row r="395" spans="1:19" x14ac:dyDescent="0.25">
      <c r="A395" s="25"/>
      <c r="B395" s="25"/>
      <c r="C395" s="25"/>
      <c r="M395" s="25"/>
      <c r="N395" s="25"/>
      <c r="O395" s="25"/>
      <c r="Q395" s="25"/>
      <c r="R395" s="25"/>
      <c r="S395" s="25"/>
    </row>
    <row r="396" spans="1:19" x14ac:dyDescent="0.25">
      <c r="A396" s="25"/>
      <c r="B396" s="25"/>
      <c r="C396" s="25"/>
      <c r="M396" s="25"/>
      <c r="N396" s="25"/>
      <c r="O396" s="25"/>
      <c r="Q396" s="25"/>
      <c r="R396" s="25"/>
      <c r="S396" s="25"/>
    </row>
    <row r="397" spans="1:19" x14ac:dyDescent="0.25">
      <c r="A397" s="25"/>
      <c r="B397" s="25"/>
      <c r="C397" s="25"/>
      <c r="M397" s="25"/>
      <c r="N397" s="25"/>
      <c r="O397" s="25"/>
      <c r="Q397" s="25"/>
      <c r="R397" s="25"/>
      <c r="S397" s="25"/>
    </row>
    <row r="398" spans="1:19" x14ac:dyDescent="0.25">
      <c r="A398" s="25"/>
      <c r="B398" s="25"/>
      <c r="C398" s="25"/>
      <c r="M398" s="25"/>
      <c r="N398" s="25"/>
      <c r="O398" s="25"/>
      <c r="Q398" s="25"/>
      <c r="R398" s="25"/>
      <c r="S398" s="25"/>
    </row>
    <row r="399" spans="1:19" x14ac:dyDescent="0.25">
      <c r="A399" s="25"/>
      <c r="B399" s="25"/>
      <c r="C399" s="25"/>
      <c r="M399" s="25"/>
      <c r="N399" s="25"/>
      <c r="O399" s="25"/>
      <c r="Q399" s="25"/>
      <c r="R399" s="25"/>
      <c r="S399" s="25"/>
    </row>
    <row r="400" spans="1:19" x14ac:dyDescent="0.25">
      <c r="A400" s="25"/>
      <c r="B400" s="25"/>
      <c r="C400" s="25"/>
      <c r="M400" s="25"/>
      <c r="N400" s="25"/>
      <c r="O400" s="25"/>
      <c r="Q400" s="25"/>
      <c r="R400" s="25"/>
      <c r="S400" s="25"/>
    </row>
    <row r="401" spans="1:19" x14ac:dyDescent="0.25">
      <c r="A401" s="25"/>
      <c r="B401" s="25"/>
      <c r="C401" s="25"/>
      <c r="M401" s="25"/>
      <c r="N401" s="25"/>
      <c r="O401" s="25"/>
      <c r="Q401" s="25"/>
      <c r="R401" s="25"/>
      <c r="S401" s="25"/>
    </row>
    <row r="402" spans="1:19" x14ac:dyDescent="0.25">
      <c r="A402" s="25"/>
      <c r="B402" s="25"/>
      <c r="C402" s="25"/>
      <c r="M402" s="25"/>
      <c r="N402" s="25"/>
      <c r="O402" s="25"/>
      <c r="Q402" s="25"/>
      <c r="R402" s="25"/>
      <c r="S402" s="25"/>
    </row>
    <row r="403" spans="1:19" x14ac:dyDescent="0.25">
      <c r="A403" s="25"/>
      <c r="B403" s="25"/>
      <c r="C403" s="25"/>
      <c r="M403" s="25"/>
      <c r="N403" s="25"/>
      <c r="O403" s="25"/>
      <c r="Q403" s="25"/>
      <c r="R403" s="25"/>
      <c r="S403" s="25"/>
    </row>
    <row r="404" spans="1:19" x14ac:dyDescent="0.25">
      <c r="A404" s="25"/>
      <c r="B404" s="25"/>
      <c r="C404" s="25"/>
      <c r="M404" s="25"/>
      <c r="N404" s="25"/>
      <c r="O404" s="25"/>
      <c r="Q404" s="25"/>
      <c r="R404" s="25"/>
      <c r="S404" s="25"/>
    </row>
    <row r="405" spans="1:19" x14ac:dyDescent="0.25">
      <c r="A405" s="25"/>
      <c r="B405" s="25"/>
      <c r="C405" s="25"/>
      <c r="M405" s="25"/>
      <c r="N405" s="25"/>
      <c r="O405" s="25"/>
      <c r="Q405" s="25"/>
      <c r="R405" s="25"/>
      <c r="S405" s="25"/>
    </row>
    <row r="406" spans="1:19" x14ac:dyDescent="0.25">
      <c r="A406" s="25"/>
      <c r="B406" s="25"/>
      <c r="C406" s="25"/>
      <c r="M406" s="25"/>
      <c r="N406" s="25"/>
      <c r="O406" s="25"/>
      <c r="Q406" s="25"/>
      <c r="R406" s="25"/>
      <c r="S406" s="25"/>
    </row>
    <row r="407" spans="1:19" x14ac:dyDescent="0.25">
      <c r="A407" s="25"/>
      <c r="B407" s="25"/>
      <c r="C407" s="25"/>
      <c r="M407" s="25"/>
      <c r="N407" s="25"/>
      <c r="O407" s="25"/>
      <c r="Q407" s="25"/>
      <c r="R407" s="25"/>
      <c r="S407" s="25"/>
    </row>
    <row r="408" spans="1:19" x14ac:dyDescent="0.25">
      <c r="A408" s="25"/>
      <c r="B408" s="25"/>
      <c r="C408" s="25"/>
      <c r="M408" s="25"/>
      <c r="N408" s="25"/>
      <c r="O408" s="25"/>
      <c r="Q408" s="25"/>
      <c r="R408" s="25"/>
      <c r="S408" s="25"/>
    </row>
    <row r="409" spans="1:19" x14ac:dyDescent="0.25">
      <c r="A409" s="25"/>
      <c r="B409" s="25"/>
      <c r="C409" s="25"/>
      <c r="M409" s="25"/>
      <c r="N409" s="25"/>
      <c r="O409" s="25"/>
      <c r="Q409" s="25"/>
      <c r="R409" s="25"/>
      <c r="S409" s="25"/>
    </row>
    <row r="410" spans="1:19" x14ac:dyDescent="0.25">
      <c r="A410" s="25"/>
      <c r="B410" s="25"/>
      <c r="C410" s="25"/>
      <c r="M410" s="25"/>
      <c r="N410" s="25"/>
      <c r="O410" s="25"/>
      <c r="Q410" s="25"/>
      <c r="R410" s="25"/>
      <c r="S410" s="25"/>
    </row>
    <row r="411" spans="1:19" x14ac:dyDescent="0.25">
      <c r="A411" s="25"/>
      <c r="B411" s="25"/>
      <c r="C411" s="25"/>
      <c r="M411" s="25"/>
      <c r="N411" s="25"/>
      <c r="O411" s="25"/>
      <c r="Q411" s="25"/>
      <c r="R411" s="25"/>
      <c r="S411" s="25"/>
    </row>
    <row r="412" spans="1:19" x14ac:dyDescent="0.25">
      <c r="A412" s="25"/>
      <c r="B412" s="25"/>
      <c r="C412" s="25"/>
      <c r="M412" s="25"/>
      <c r="N412" s="25"/>
      <c r="O412" s="25"/>
      <c r="Q412" s="25"/>
      <c r="R412" s="25"/>
      <c r="S412" s="25"/>
    </row>
    <row r="413" spans="1:19" x14ac:dyDescent="0.25">
      <c r="A413" s="25"/>
      <c r="B413" s="25"/>
      <c r="C413" s="25"/>
      <c r="M413" s="25"/>
      <c r="N413" s="25"/>
      <c r="O413" s="25"/>
      <c r="Q413" s="25"/>
      <c r="R413" s="25"/>
      <c r="S413" s="25"/>
    </row>
    <row r="414" spans="1:19" x14ac:dyDescent="0.25">
      <c r="A414" s="25"/>
      <c r="B414" s="25"/>
      <c r="C414" s="25"/>
      <c r="M414" s="25"/>
      <c r="N414" s="25"/>
      <c r="O414" s="25"/>
      <c r="Q414" s="25"/>
      <c r="R414" s="25"/>
      <c r="S414" s="25"/>
    </row>
    <row r="415" spans="1:19" x14ac:dyDescent="0.25">
      <c r="A415" s="25"/>
      <c r="B415" s="25"/>
      <c r="C415" s="25"/>
      <c r="M415" s="25"/>
      <c r="N415" s="25"/>
      <c r="O415" s="25"/>
      <c r="Q415" s="25"/>
      <c r="R415" s="25"/>
      <c r="S415" s="25"/>
    </row>
    <row r="416" spans="1:19" x14ac:dyDescent="0.25">
      <c r="A416" s="25"/>
      <c r="B416" s="25"/>
      <c r="C416" s="25"/>
      <c r="M416" s="25"/>
      <c r="N416" s="25"/>
      <c r="O416" s="25"/>
      <c r="Q416" s="25"/>
      <c r="R416" s="25"/>
      <c r="S416" s="25"/>
    </row>
    <row r="417" spans="1:19" x14ac:dyDescent="0.25">
      <c r="A417" s="25"/>
      <c r="B417" s="25"/>
      <c r="C417" s="25"/>
      <c r="M417" s="25"/>
      <c r="N417" s="25"/>
      <c r="O417" s="25"/>
      <c r="Q417" s="25"/>
      <c r="R417" s="25"/>
      <c r="S417" s="25"/>
    </row>
    <row r="418" spans="1:19" x14ac:dyDescent="0.25">
      <c r="A418" s="25"/>
      <c r="B418" s="25"/>
      <c r="C418" s="25"/>
      <c r="M418" s="25"/>
      <c r="N418" s="25"/>
      <c r="O418" s="25"/>
      <c r="Q418" s="25"/>
      <c r="R418" s="25"/>
      <c r="S418" s="25"/>
    </row>
    <row r="419" spans="1:19" x14ac:dyDescent="0.25">
      <c r="A419" s="25"/>
      <c r="B419" s="25"/>
      <c r="C419" s="25"/>
      <c r="M419" s="25"/>
      <c r="N419" s="25"/>
      <c r="O419" s="25"/>
      <c r="Q419" s="25"/>
      <c r="R419" s="25"/>
      <c r="S419" s="25"/>
    </row>
    <row r="420" spans="1:19" x14ac:dyDescent="0.25">
      <c r="A420" s="25"/>
      <c r="B420" s="25"/>
      <c r="C420" s="25"/>
      <c r="M420" s="25"/>
      <c r="N420" s="25"/>
      <c r="O420" s="25"/>
      <c r="Q420" s="25"/>
      <c r="R420" s="25"/>
      <c r="S420" s="25"/>
    </row>
    <row r="421" spans="1:19" x14ac:dyDescent="0.25">
      <c r="A421" s="25"/>
      <c r="B421" s="25"/>
      <c r="C421" s="25"/>
      <c r="M421" s="25"/>
      <c r="N421" s="25"/>
      <c r="O421" s="25"/>
      <c r="Q421" s="25"/>
      <c r="R421" s="25"/>
      <c r="S421" s="25"/>
    </row>
    <row r="422" spans="1:19" x14ac:dyDescent="0.25">
      <c r="A422" s="25"/>
      <c r="B422" s="25"/>
      <c r="C422" s="25"/>
      <c r="M422" s="25"/>
      <c r="N422" s="25"/>
      <c r="O422" s="25"/>
      <c r="Q422" s="25"/>
      <c r="R422" s="25"/>
      <c r="S422" s="25"/>
    </row>
    <row r="423" spans="1:19" x14ac:dyDescent="0.25">
      <c r="A423" s="25"/>
      <c r="B423" s="25"/>
      <c r="C423" s="25"/>
      <c r="M423" s="25"/>
      <c r="N423" s="25"/>
      <c r="O423" s="25"/>
      <c r="Q423" s="25"/>
      <c r="R423" s="25"/>
      <c r="S423" s="25"/>
    </row>
    <row r="424" spans="1:19" x14ac:dyDescent="0.25">
      <c r="A424" s="25"/>
      <c r="B424" s="25"/>
      <c r="C424" s="25"/>
      <c r="M424" s="25"/>
      <c r="N424" s="25"/>
      <c r="O424" s="25"/>
      <c r="Q424" s="25"/>
      <c r="R424" s="25"/>
      <c r="S424" s="25"/>
    </row>
    <row r="425" spans="1:19" x14ac:dyDescent="0.25">
      <c r="A425" s="25"/>
      <c r="B425" s="25"/>
      <c r="C425" s="25"/>
      <c r="M425" s="25"/>
      <c r="N425" s="25"/>
      <c r="O425" s="25"/>
      <c r="Q425" s="25"/>
      <c r="R425" s="25"/>
      <c r="S425" s="25"/>
    </row>
    <row r="426" spans="1:19" x14ac:dyDescent="0.25">
      <c r="A426" s="25"/>
      <c r="B426" s="25"/>
      <c r="C426" s="25"/>
      <c r="M426" s="25"/>
      <c r="N426" s="25"/>
      <c r="O426" s="25"/>
      <c r="Q426" s="25"/>
      <c r="R426" s="25"/>
      <c r="S426" s="25"/>
    </row>
    <row r="427" spans="1:19" x14ac:dyDescent="0.25">
      <c r="A427" s="25"/>
      <c r="B427" s="25"/>
      <c r="C427" s="25"/>
      <c r="M427" s="25"/>
      <c r="N427" s="25"/>
      <c r="O427" s="25"/>
      <c r="Q427" s="25"/>
      <c r="R427" s="25"/>
      <c r="S427" s="25"/>
    </row>
    <row r="428" spans="1:19" x14ac:dyDescent="0.25">
      <c r="A428" s="25"/>
      <c r="B428" s="25"/>
      <c r="C428" s="25"/>
      <c r="M428" s="25"/>
      <c r="N428" s="25"/>
      <c r="O428" s="25"/>
      <c r="Q428" s="25"/>
      <c r="R428" s="25"/>
      <c r="S428" s="25"/>
    </row>
    <row r="429" spans="1:19" x14ac:dyDescent="0.25">
      <c r="A429" s="25"/>
      <c r="B429" s="25"/>
      <c r="C429" s="25"/>
      <c r="M429" s="25"/>
      <c r="N429" s="25"/>
      <c r="O429" s="25"/>
      <c r="Q429" s="25"/>
      <c r="R429" s="25"/>
      <c r="S429" s="25"/>
    </row>
    <row r="430" spans="1:19" x14ac:dyDescent="0.25">
      <c r="A430" s="25"/>
      <c r="B430" s="25"/>
      <c r="C430" s="25"/>
      <c r="M430" s="25"/>
      <c r="N430" s="25"/>
      <c r="O430" s="25"/>
      <c r="Q430" s="25"/>
      <c r="R430" s="25"/>
      <c r="S430" s="25"/>
    </row>
    <row r="431" spans="1:19" x14ac:dyDescent="0.25">
      <c r="A431" s="25"/>
      <c r="B431" s="25"/>
      <c r="C431" s="25"/>
      <c r="M431" s="25"/>
      <c r="N431" s="25"/>
      <c r="O431" s="25"/>
      <c r="Q431" s="25"/>
      <c r="R431" s="25"/>
      <c r="S431" s="25"/>
    </row>
    <row r="432" spans="1:19" x14ac:dyDescent="0.25">
      <c r="A432" s="25"/>
      <c r="B432" s="25"/>
      <c r="C432" s="25"/>
      <c r="M432" s="25"/>
      <c r="N432" s="25"/>
      <c r="O432" s="25"/>
      <c r="Q432" s="25"/>
      <c r="R432" s="25"/>
      <c r="S432" s="25"/>
    </row>
    <row r="433" spans="1:19" x14ac:dyDescent="0.25">
      <c r="A433" s="25"/>
      <c r="B433" s="25"/>
      <c r="C433" s="25"/>
      <c r="M433" s="25"/>
      <c r="N433" s="25"/>
      <c r="O433" s="25"/>
      <c r="Q433" s="25"/>
      <c r="R433" s="25"/>
      <c r="S433" s="25"/>
    </row>
    <row r="434" spans="1:19" x14ac:dyDescent="0.25">
      <c r="A434" s="25"/>
      <c r="B434" s="25"/>
      <c r="C434" s="25"/>
      <c r="M434" s="25"/>
      <c r="N434" s="25"/>
      <c r="O434" s="25"/>
      <c r="Q434" s="25"/>
      <c r="R434" s="25"/>
      <c r="S434" s="25"/>
    </row>
    <row r="435" spans="1:19" x14ac:dyDescent="0.25">
      <c r="A435" s="25"/>
      <c r="B435" s="25"/>
      <c r="C435" s="25"/>
      <c r="M435" s="25"/>
      <c r="N435" s="25"/>
      <c r="O435" s="25"/>
      <c r="Q435" s="25"/>
      <c r="R435" s="25"/>
      <c r="S435" s="25"/>
    </row>
    <row r="436" spans="1:19" x14ac:dyDescent="0.25">
      <c r="A436" s="25"/>
      <c r="B436" s="25"/>
      <c r="C436" s="25"/>
      <c r="M436" s="25"/>
      <c r="N436" s="25"/>
      <c r="O436" s="25"/>
      <c r="Q436" s="25"/>
      <c r="R436" s="25"/>
      <c r="S436" s="25"/>
    </row>
    <row r="437" spans="1:19" x14ac:dyDescent="0.25">
      <c r="A437" s="25"/>
      <c r="B437" s="25"/>
      <c r="C437" s="25"/>
      <c r="M437" s="25"/>
      <c r="N437" s="25"/>
      <c r="O437" s="25"/>
      <c r="Q437" s="25"/>
      <c r="R437" s="25"/>
      <c r="S437" s="25"/>
    </row>
    <row r="438" spans="1:19" x14ac:dyDescent="0.25">
      <c r="A438" s="25"/>
      <c r="B438" s="25"/>
      <c r="C438" s="25"/>
      <c r="M438" s="25"/>
      <c r="N438" s="25"/>
      <c r="O438" s="25"/>
      <c r="Q438" s="25"/>
      <c r="R438" s="25"/>
      <c r="S438" s="25"/>
    </row>
    <row r="439" spans="1:19" x14ac:dyDescent="0.25">
      <c r="A439" s="25"/>
      <c r="B439" s="25"/>
      <c r="C439" s="25"/>
      <c r="M439" s="25"/>
      <c r="N439" s="25"/>
      <c r="O439" s="25"/>
      <c r="Q439" s="25"/>
      <c r="R439" s="25"/>
      <c r="S439" s="25"/>
    </row>
    <row r="440" spans="1:19" x14ac:dyDescent="0.25">
      <c r="A440" s="25"/>
      <c r="B440" s="25"/>
      <c r="C440" s="25"/>
      <c r="M440" s="25"/>
      <c r="N440" s="25"/>
      <c r="O440" s="25"/>
      <c r="Q440" s="25"/>
      <c r="R440" s="25"/>
      <c r="S440" s="25"/>
    </row>
    <row r="441" spans="1:19" x14ac:dyDescent="0.25">
      <c r="A441" s="25"/>
      <c r="B441" s="25"/>
      <c r="C441" s="25"/>
      <c r="M441" s="25"/>
      <c r="N441" s="25"/>
      <c r="O441" s="25"/>
      <c r="Q441" s="25"/>
      <c r="R441" s="25"/>
      <c r="S441" s="25"/>
    </row>
    <row r="442" spans="1:19" x14ac:dyDescent="0.25">
      <c r="A442" s="25"/>
      <c r="B442" s="25"/>
      <c r="C442" s="25"/>
      <c r="M442" s="25"/>
      <c r="N442" s="25"/>
      <c r="O442" s="25"/>
      <c r="Q442" s="25"/>
      <c r="R442" s="25"/>
      <c r="S442" s="25"/>
    </row>
    <row r="443" spans="1:19" x14ac:dyDescent="0.25">
      <c r="A443" s="25"/>
      <c r="B443" s="25"/>
      <c r="C443" s="25"/>
      <c r="M443" s="25"/>
      <c r="N443" s="25"/>
      <c r="O443" s="25"/>
      <c r="Q443" s="25"/>
      <c r="R443" s="25"/>
      <c r="S443" s="25"/>
    </row>
    <row r="444" spans="1:19" x14ac:dyDescent="0.25">
      <c r="A444" s="25"/>
      <c r="B444" s="25"/>
      <c r="C444" s="25"/>
      <c r="M444" s="25"/>
      <c r="N444" s="25"/>
      <c r="O444" s="25"/>
      <c r="Q444" s="25"/>
      <c r="R444" s="25"/>
      <c r="S444" s="25"/>
    </row>
    <row r="445" spans="1:19" x14ac:dyDescent="0.25">
      <c r="A445" s="25"/>
      <c r="B445" s="25"/>
      <c r="C445" s="25"/>
      <c r="M445" s="25"/>
      <c r="N445" s="25"/>
      <c r="O445" s="25"/>
      <c r="Q445" s="25"/>
      <c r="R445" s="25"/>
      <c r="S445" s="25"/>
    </row>
    <row r="446" spans="1:19" x14ac:dyDescent="0.25">
      <c r="A446" s="25"/>
      <c r="B446" s="25"/>
      <c r="C446" s="25"/>
      <c r="M446" s="25"/>
      <c r="N446" s="25"/>
      <c r="O446" s="25"/>
      <c r="Q446" s="25"/>
      <c r="R446" s="25"/>
      <c r="S446" s="25"/>
    </row>
    <row r="447" spans="1:19" x14ac:dyDescent="0.25">
      <c r="A447" s="25"/>
      <c r="B447" s="25"/>
      <c r="C447" s="25"/>
      <c r="M447" s="25"/>
      <c r="N447" s="25"/>
      <c r="O447" s="25"/>
      <c r="Q447" s="25"/>
      <c r="R447" s="25"/>
      <c r="S447" s="25"/>
    </row>
    <row r="448" spans="1:19" x14ac:dyDescent="0.25">
      <c r="A448" s="25"/>
      <c r="B448" s="25"/>
      <c r="C448" s="25"/>
      <c r="M448" s="25"/>
      <c r="N448" s="25"/>
      <c r="O448" s="25"/>
      <c r="Q448" s="25"/>
      <c r="R448" s="25"/>
      <c r="S448" s="25"/>
    </row>
    <row r="449" spans="1:19" x14ac:dyDescent="0.25">
      <c r="A449" s="25"/>
      <c r="B449" s="25"/>
      <c r="C449" s="25"/>
      <c r="M449" s="25"/>
      <c r="N449" s="25"/>
      <c r="O449" s="25"/>
      <c r="Q449" s="25"/>
      <c r="R449" s="25"/>
      <c r="S449" s="25"/>
    </row>
    <row r="450" spans="1:19" x14ac:dyDescent="0.25">
      <c r="A450" s="25"/>
      <c r="B450" s="25"/>
      <c r="C450" s="25"/>
      <c r="M450" s="25"/>
      <c r="N450" s="25"/>
      <c r="O450" s="25"/>
      <c r="Q450" s="25"/>
      <c r="R450" s="25"/>
      <c r="S450" s="25"/>
    </row>
    <row r="451" spans="1:19" x14ac:dyDescent="0.25">
      <c r="A451" s="25"/>
      <c r="B451" s="25"/>
      <c r="C451" s="25"/>
      <c r="M451" s="25"/>
      <c r="N451" s="25"/>
      <c r="O451" s="25"/>
      <c r="Q451" s="25"/>
      <c r="R451" s="25"/>
      <c r="S451" s="25"/>
    </row>
    <row r="452" spans="1:19" x14ac:dyDescent="0.25">
      <c r="A452" s="25"/>
      <c r="B452" s="25"/>
      <c r="C452" s="25"/>
      <c r="M452" s="25"/>
      <c r="N452" s="25"/>
      <c r="O452" s="25"/>
      <c r="Q452" s="25"/>
      <c r="R452" s="25"/>
      <c r="S452" s="25"/>
    </row>
    <row r="453" spans="1:19" x14ac:dyDescent="0.25">
      <c r="A453" s="25"/>
      <c r="B453" s="25"/>
      <c r="C453" s="25"/>
      <c r="M453" s="25"/>
      <c r="N453" s="25"/>
      <c r="O453" s="25"/>
      <c r="Q453" s="25"/>
      <c r="R453" s="25"/>
      <c r="S453" s="25"/>
    </row>
    <row r="454" spans="1:19" x14ac:dyDescent="0.25">
      <c r="A454" s="25"/>
      <c r="B454" s="25"/>
      <c r="C454" s="25"/>
      <c r="M454" s="25"/>
      <c r="N454" s="25"/>
      <c r="O454" s="25"/>
      <c r="Q454" s="25"/>
      <c r="R454" s="25"/>
      <c r="S454" s="25"/>
    </row>
    <row r="455" spans="1:19" x14ac:dyDescent="0.25">
      <c r="A455" s="25"/>
      <c r="B455" s="25"/>
      <c r="C455" s="25"/>
      <c r="M455" s="25"/>
      <c r="N455" s="25"/>
      <c r="O455" s="25"/>
      <c r="Q455" s="25"/>
      <c r="R455" s="25"/>
      <c r="S455" s="25"/>
    </row>
    <row r="456" spans="1:19" x14ac:dyDescent="0.25">
      <c r="A456" s="25"/>
      <c r="B456" s="25"/>
      <c r="C456" s="25"/>
      <c r="M456" s="25"/>
      <c r="N456" s="25"/>
      <c r="O456" s="25"/>
      <c r="Q456" s="25"/>
      <c r="R456" s="25"/>
      <c r="S456" s="25"/>
    </row>
    <row r="457" spans="1:19" x14ac:dyDescent="0.25">
      <c r="A457" s="25"/>
      <c r="B457" s="25"/>
      <c r="C457" s="25"/>
      <c r="M457" s="25"/>
      <c r="N457" s="25"/>
      <c r="O457" s="25"/>
      <c r="Q457" s="25"/>
      <c r="R457" s="25"/>
      <c r="S457" s="25"/>
    </row>
    <row r="458" spans="1:19" x14ac:dyDescent="0.25">
      <c r="A458" s="25"/>
      <c r="B458" s="25"/>
      <c r="C458" s="25"/>
      <c r="M458" s="25"/>
      <c r="N458" s="25"/>
      <c r="O458" s="25"/>
      <c r="Q458" s="25"/>
      <c r="R458" s="25"/>
      <c r="S458" s="25"/>
    </row>
    <row r="459" spans="1:19" x14ac:dyDescent="0.25">
      <c r="A459" s="25"/>
      <c r="B459" s="25"/>
      <c r="C459" s="25"/>
      <c r="M459" s="25"/>
      <c r="N459" s="25"/>
      <c r="O459" s="25"/>
      <c r="Q459" s="25"/>
      <c r="R459" s="25"/>
      <c r="S459" s="25"/>
    </row>
    <row r="460" spans="1:19" x14ac:dyDescent="0.25">
      <c r="A460" s="25"/>
      <c r="B460" s="25"/>
      <c r="C460" s="25"/>
      <c r="M460" s="25"/>
      <c r="N460" s="25"/>
      <c r="O460" s="25"/>
      <c r="Q460" s="25"/>
      <c r="R460" s="25"/>
      <c r="S460" s="25"/>
    </row>
    <row r="461" spans="1:19" x14ac:dyDescent="0.25">
      <c r="A461" s="25"/>
      <c r="B461" s="25"/>
      <c r="C461" s="25"/>
      <c r="M461" s="25"/>
      <c r="N461" s="25"/>
      <c r="O461" s="25"/>
      <c r="Q461" s="25"/>
      <c r="R461" s="25"/>
      <c r="S461" s="25"/>
    </row>
    <row r="462" spans="1:19" x14ac:dyDescent="0.25">
      <c r="A462" s="25"/>
      <c r="B462" s="25"/>
      <c r="C462" s="25"/>
      <c r="M462" s="25"/>
      <c r="N462" s="25"/>
      <c r="O462" s="25"/>
      <c r="Q462" s="25"/>
      <c r="R462" s="25"/>
      <c r="S462" s="25"/>
    </row>
    <row r="463" spans="1:19" x14ac:dyDescent="0.25">
      <c r="A463" s="25"/>
      <c r="B463" s="25"/>
      <c r="C463" s="25"/>
      <c r="M463" s="25"/>
      <c r="N463" s="25"/>
      <c r="O463" s="25"/>
      <c r="Q463" s="25"/>
      <c r="R463" s="25"/>
      <c r="S463" s="25"/>
    </row>
    <row r="464" spans="1:19" x14ac:dyDescent="0.25">
      <c r="A464" s="25"/>
      <c r="B464" s="25"/>
      <c r="C464" s="25"/>
      <c r="M464" s="25"/>
      <c r="N464" s="25"/>
      <c r="O464" s="25"/>
      <c r="Q464" s="25"/>
      <c r="R464" s="25"/>
      <c r="S464" s="25"/>
    </row>
    <row r="465" spans="1:19" x14ac:dyDescent="0.25">
      <c r="A465" s="25"/>
      <c r="B465" s="25"/>
      <c r="C465" s="25"/>
      <c r="M465" s="25"/>
      <c r="N465" s="25"/>
      <c r="O465" s="25"/>
      <c r="Q465" s="25"/>
      <c r="R465" s="25"/>
      <c r="S465" s="25"/>
    </row>
    <row r="466" spans="1:19" x14ac:dyDescent="0.25">
      <c r="A466" s="25"/>
      <c r="B466" s="25"/>
      <c r="C466" s="25"/>
      <c r="M466" s="25"/>
      <c r="N466" s="25"/>
      <c r="O466" s="25"/>
      <c r="Q466" s="25"/>
      <c r="R466" s="25"/>
      <c r="S466" s="25"/>
    </row>
    <row r="467" spans="1:19" x14ac:dyDescent="0.25">
      <c r="A467" s="25"/>
      <c r="B467" s="25"/>
      <c r="C467" s="25"/>
      <c r="M467" s="25"/>
      <c r="N467" s="25"/>
      <c r="O467" s="25"/>
      <c r="Q467" s="25"/>
      <c r="R467" s="25"/>
      <c r="S467" s="25"/>
    </row>
    <row r="468" spans="1:19" x14ac:dyDescent="0.25">
      <c r="A468" s="25"/>
      <c r="B468" s="25"/>
      <c r="C468" s="25"/>
      <c r="M468" s="25"/>
      <c r="N468" s="25"/>
      <c r="O468" s="25"/>
      <c r="Q468" s="25"/>
      <c r="R468" s="25"/>
      <c r="S468" s="25"/>
    </row>
    <row r="469" spans="1:19" x14ac:dyDescent="0.25">
      <c r="A469" s="25"/>
      <c r="B469" s="25"/>
      <c r="C469" s="25"/>
      <c r="M469" s="25"/>
      <c r="N469" s="25"/>
      <c r="O469" s="25"/>
      <c r="Q469" s="25"/>
      <c r="R469" s="25"/>
      <c r="S469" s="25"/>
    </row>
    <row r="470" spans="1:19" x14ac:dyDescent="0.25">
      <c r="A470" s="25"/>
      <c r="B470" s="25"/>
      <c r="C470" s="25"/>
      <c r="M470" s="25"/>
      <c r="N470" s="25"/>
      <c r="O470" s="25"/>
      <c r="Q470" s="25"/>
      <c r="R470" s="25"/>
      <c r="S470" s="25"/>
    </row>
    <row r="471" spans="1:19" x14ac:dyDescent="0.25">
      <c r="A471" s="25"/>
      <c r="B471" s="25"/>
      <c r="C471" s="25"/>
      <c r="M471" s="25"/>
      <c r="N471" s="25"/>
      <c r="O471" s="25"/>
      <c r="Q471" s="25"/>
      <c r="R471" s="25"/>
      <c r="S471" s="25"/>
    </row>
    <row r="472" spans="1:19" x14ac:dyDescent="0.25">
      <c r="A472" s="25"/>
      <c r="B472" s="25"/>
      <c r="C472" s="25"/>
      <c r="M472" s="25"/>
      <c r="N472" s="25"/>
      <c r="O472" s="25"/>
      <c r="Q472" s="25"/>
      <c r="R472" s="25"/>
      <c r="S472" s="25"/>
    </row>
    <row r="473" spans="1:19" x14ac:dyDescent="0.25">
      <c r="A473" s="25"/>
      <c r="B473" s="25"/>
      <c r="C473" s="25"/>
      <c r="M473" s="25"/>
      <c r="N473" s="25"/>
      <c r="O473" s="25"/>
      <c r="Q473" s="25"/>
      <c r="R473" s="25"/>
      <c r="S473" s="25"/>
    </row>
    <row r="474" spans="1:19" x14ac:dyDescent="0.25">
      <c r="A474" s="25"/>
      <c r="B474" s="25"/>
      <c r="C474" s="25"/>
      <c r="M474" s="25"/>
      <c r="N474" s="25"/>
      <c r="O474" s="25"/>
      <c r="Q474" s="25"/>
      <c r="R474" s="25"/>
      <c r="S474" s="25"/>
    </row>
    <row r="475" spans="1:19" x14ac:dyDescent="0.25">
      <c r="A475" s="25"/>
      <c r="B475" s="25"/>
      <c r="C475" s="25"/>
      <c r="M475" s="25"/>
      <c r="N475" s="25"/>
      <c r="O475" s="25"/>
      <c r="Q475" s="25"/>
      <c r="R475" s="25"/>
      <c r="S475" s="25"/>
    </row>
    <row r="476" spans="1:19" x14ac:dyDescent="0.25">
      <c r="A476" s="25"/>
      <c r="B476" s="25"/>
      <c r="C476" s="25"/>
      <c r="M476" s="25"/>
      <c r="N476" s="25"/>
      <c r="O476" s="25"/>
      <c r="Q476" s="25"/>
      <c r="R476" s="25"/>
      <c r="S476" s="25"/>
    </row>
    <row r="477" spans="1:19" x14ac:dyDescent="0.25">
      <c r="A477" s="25"/>
      <c r="B477" s="25"/>
      <c r="C477" s="25"/>
      <c r="M477" s="25"/>
      <c r="N477" s="25"/>
      <c r="O477" s="25"/>
      <c r="Q477" s="25"/>
      <c r="R477" s="25"/>
      <c r="S477" s="25"/>
    </row>
    <row r="478" spans="1:19" x14ac:dyDescent="0.25">
      <c r="A478" s="25"/>
      <c r="B478" s="25"/>
      <c r="C478" s="25"/>
      <c r="M478" s="25"/>
      <c r="N478" s="25"/>
      <c r="O478" s="25"/>
      <c r="Q478" s="25"/>
      <c r="R478" s="25"/>
      <c r="S478" s="25"/>
    </row>
    <row r="479" spans="1:19" x14ac:dyDescent="0.25">
      <c r="A479" s="25"/>
      <c r="B479" s="25"/>
      <c r="C479" s="25"/>
      <c r="M479" s="25"/>
      <c r="N479" s="25"/>
      <c r="O479" s="25"/>
      <c r="Q479" s="25"/>
      <c r="R479" s="25"/>
      <c r="S479" s="25"/>
    </row>
    <row r="480" spans="1:19" x14ac:dyDescent="0.25">
      <c r="A480" s="25"/>
      <c r="B480" s="25"/>
      <c r="C480" s="25"/>
      <c r="M480" s="25"/>
      <c r="N480" s="25"/>
      <c r="O480" s="25"/>
      <c r="Q480" s="25"/>
      <c r="R480" s="25"/>
      <c r="S480" s="25"/>
    </row>
    <row r="481" spans="1:19" x14ac:dyDescent="0.25">
      <c r="A481" s="25"/>
      <c r="B481" s="25"/>
      <c r="C481" s="25"/>
      <c r="M481" s="25"/>
      <c r="N481" s="25"/>
      <c r="O481" s="25"/>
      <c r="Q481" s="25"/>
      <c r="R481" s="25"/>
      <c r="S481" s="25"/>
    </row>
    <row r="482" spans="1:19" x14ac:dyDescent="0.25">
      <c r="A482" s="25"/>
      <c r="B482" s="25"/>
      <c r="C482" s="25"/>
      <c r="M482" s="25"/>
      <c r="N482" s="25"/>
      <c r="O482" s="25"/>
      <c r="Q482" s="25"/>
      <c r="R482" s="25"/>
      <c r="S482" s="25"/>
    </row>
    <row r="483" spans="1:19" x14ac:dyDescent="0.25">
      <c r="A483" s="25"/>
      <c r="B483" s="25"/>
      <c r="C483" s="25"/>
      <c r="M483" s="25"/>
      <c r="N483" s="25"/>
      <c r="O483" s="25"/>
      <c r="Q483" s="25"/>
      <c r="R483" s="25"/>
      <c r="S483" s="25"/>
    </row>
    <row r="484" spans="1:19" x14ac:dyDescent="0.25">
      <c r="A484" s="25"/>
      <c r="B484" s="25"/>
      <c r="C484" s="25"/>
      <c r="M484" s="25"/>
      <c r="N484" s="25"/>
      <c r="O484" s="25"/>
      <c r="Q484" s="25"/>
      <c r="R484" s="25"/>
      <c r="S484" s="25"/>
    </row>
    <row r="485" spans="1:19" x14ac:dyDescent="0.25">
      <c r="A485" s="25"/>
      <c r="B485" s="25"/>
      <c r="C485" s="25"/>
      <c r="M485" s="25"/>
      <c r="N485" s="25"/>
      <c r="O485" s="25"/>
      <c r="Q485" s="25"/>
      <c r="R485" s="25"/>
      <c r="S485" s="25"/>
    </row>
    <row r="486" spans="1:19" x14ac:dyDescent="0.25">
      <c r="A486" s="25"/>
      <c r="B486" s="25"/>
      <c r="C486" s="25"/>
      <c r="M486" s="25"/>
      <c r="N486" s="25"/>
      <c r="O486" s="25"/>
      <c r="Q486" s="25"/>
      <c r="R486" s="25"/>
      <c r="S486" s="25"/>
    </row>
    <row r="487" spans="1:19" x14ac:dyDescent="0.25">
      <c r="A487" s="25"/>
      <c r="B487" s="25"/>
      <c r="C487" s="25"/>
      <c r="M487" s="25"/>
      <c r="N487" s="25"/>
      <c r="O487" s="25"/>
      <c r="Q487" s="25"/>
      <c r="R487" s="25"/>
      <c r="S487" s="25"/>
    </row>
    <row r="488" spans="1:19" x14ac:dyDescent="0.25">
      <c r="A488" s="25"/>
      <c r="B488" s="25"/>
      <c r="C488" s="25"/>
      <c r="M488" s="25"/>
      <c r="N488" s="25"/>
      <c r="O488" s="25"/>
      <c r="Q488" s="25"/>
      <c r="R488" s="25"/>
      <c r="S488" s="25"/>
    </row>
    <row r="489" spans="1:19" x14ac:dyDescent="0.25">
      <c r="A489" s="25"/>
      <c r="B489" s="25"/>
      <c r="C489" s="25"/>
      <c r="M489" s="25"/>
      <c r="N489" s="25"/>
      <c r="O489" s="25"/>
      <c r="Q489" s="25"/>
      <c r="R489" s="25"/>
      <c r="S489" s="25"/>
    </row>
    <row r="490" spans="1:19" x14ac:dyDescent="0.25">
      <c r="A490" s="25"/>
      <c r="B490" s="25"/>
      <c r="C490" s="25"/>
      <c r="M490" s="25"/>
      <c r="N490" s="25"/>
      <c r="O490" s="25"/>
      <c r="Q490" s="25"/>
      <c r="R490" s="25"/>
      <c r="S490" s="25"/>
    </row>
    <row r="491" spans="1:19" x14ac:dyDescent="0.25">
      <c r="A491" s="25"/>
      <c r="B491" s="25"/>
      <c r="C491" s="25"/>
      <c r="M491" s="25"/>
      <c r="N491" s="25"/>
      <c r="O491" s="25"/>
      <c r="Q491" s="25"/>
      <c r="R491" s="25"/>
      <c r="S491" s="25"/>
    </row>
    <row r="492" spans="1:19" x14ac:dyDescent="0.25">
      <c r="A492" s="25"/>
      <c r="B492" s="25"/>
      <c r="C492" s="25"/>
      <c r="M492" s="25"/>
      <c r="N492" s="25"/>
      <c r="O492" s="25"/>
      <c r="Q492" s="25"/>
      <c r="R492" s="25"/>
      <c r="S492" s="25"/>
    </row>
    <row r="493" spans="1:19" x14ac:dyDescent="0.25">
      <c r="A493" s="25"/>
      <c r="B493" s="25"/>
      <c r="C493" s="25"/>
      <c r="M493" s="25"/>
      <c r="N493" s="25"/>
      <c r="O493" s="25"/>
      <c r="Q493" s="25"/>
      <c r="R493" s="25"/>
      <c r="S493" s="25"/>
    </row>
    <row r="494" spans="1:19" x14ac:dyDescent="0.25">
      <c r="A494" s="25"/>
      <c r="B494" s="25"/>
      <c r="C494" s="25"/>
      <c r="M494" s="25"/>
      <c r="N494" s="25"/>
      <c r="O494" s="25"/>
      <c r="Q494" s="25"/>
      <c r="R494" s="25"/>
      <c r="S494" s="25"/>
    </row>
    <row r="495" spans="1:19" x14ac:dyDescent="0.25">
      <c r="A495" s="25"/>
      <c r="B495" s="25"/>
      <c r="C495" s="25"/>
      <c r="M495" s="25"/>
      <c r="N495" s="25"/>
      <c r="O495" s="25"/>
      <c r="Q495" s="25"/>
      <c r="R495" s="25"/>
      <c r="S495" s="25"/>
    </row>
    <row r="496" spans="1:19" x14ac:dyDescent="0.25">
      <c r="A496" s="25"/>
      <c r="B496" s="25"/>
      <c r="C496" s="25"/>
      <c r="M496" s="25"/>
      <c r="N496" s="25"/>
      <c r="O496" s="25"/>
      <c r="Q496" s="25"/>
      <c r="R496" s="25"/>
      <c r="S496" s="25"/>
    </row>
    <row r="497" spans="1:19" x14ac:dyDescent="0.25">
      <c r="A497" s="25"/>
      <c r="B497" s="25"/>
      <c r="C497" s="25"/>
      <c r="M497" s="25"/>
      <c r="N497" s="25"/>
      <c r="O497" s="25"/>
      <c r="Q497" s="25"/>
      <c r="R497" s="25"/>
      <c r="S497" s="25"/>
    </row>
    <row r="498" spans="1:19" x14ac:dyDescent="0.25">
      <c r="A498" s="25"/>
      <c r="B498" s="25"/>
      <c r="C498" s="25"/>
      <c r="M498" s="25"/>
      <c r="N498" s="25"/>
      <c r="O498" s="25"/>
      <c r="Q498" s="25"/>
      <c r="R498" s="25"/>
      <c r="S498" s="25"/>
    </row>
    <row r="499" spans="1:19" x14ac:dyDescent="0.25">
      <c r="A499" s="25"/>
      <c r="B499" s="25"/>
      <c r="C499" s="25"/>
      <c r="M499" s="25"/>
      <c r="N499" s="25"/>
      <c r="O499" s="25"/>
      <c r="Q499" s="25"/>
      <c r="R499" s="25"/>
      <c r="S499" s="25"/>
    </row>
    <row r="500" spans="1:19" x14ac:dyDescent="0.25">
      <c r="A500" s="25"/>
      <c r="B500" s="25"/>
      <c r="C500" s="25"/>
      <c r="M500" s="25"/>
      <c r="N500" s="25"/>
      <c r="O500" s="25"/>
      <c r="Q500" s="25"/>
      <c r="R500" s="25"/>
      <c r="S500" s="25"/>
    </row>
    <row r="501" spans="1:19" x14ac:dyDescent="0.25">
      <c r="A501" s="25"/>
      <c r="B501" s="25"/>
      <c r="C501" s="25"/>
      <c r="M501" s="25"/>
      <c r="N501" s="25"/>
      <c r="O501" s="25"/>
      <c r="Q501" s="25"/>
      <c r="R501" s="25"/>
      <c r="S501" s="25"/>
    </row>
    <row r="502" spans="1:19" x14ac:dyDescent="0.25">
      <c r="A502" s="25"/>
      <c r="B502" s="25"/>
      <c r="C502" s="25"/>
      <c r="M502" s="25"/>
      <c r="N502" s="25"/>
      <c r="O502" s="25"/>
      <c r="Q502" s="25"/>
      <c r="R502" s="25"/>
      <c r="S502" s="25"/>
    </row>
    <row r="503" spans="1:19" x14ac:dyDescent="0.25">
      <c r="A503" s="25"/>
      <c r="B503" s="25"/>
      <c r="C503" s="25"/>
      <c r="M503" s="25"/>
      <c r="N503" s="25"/>
      <c r="O503" s="25"/>
      <c r="Q503" s="25"/>
      <c r="R503" s="25"/>
      <c r="S503" s="25"/>
    </row>
    <row r="504" spans="1:19" x14ac:dyDescent="0.25">
      <c r="A504" s="25"/>
      <c r="B504" s="25"/>
      <c r="C504" s="25"/>
      <c r="M504" s="25"/>
      <c r="N504" s="25"/>
      <c r="O504" s="25"/>
      <c r="Q504" s="25"/>
      <c r="R504" s="25"/>
      <c r="S504" s="25"/>
    </row>
    <row r="505" spans="1:19" x14ac:dyDescent="0.25">
      <c r="A505" s="25"/>
      <c r="B505" s="25"/>
      <c r="C505" s="25"/>
      <c r="M505" s="25"/>
      <c r="N505" s="25"/>
      <c r="O505" s="25"/>
      <c r="Q505" s="25"/>
      <c r="R505" s="25"/>
      <c r="S505" s="25"/>
    </row>
    <row r="506" spans="1:19" x14ac:dyDescent="0.25">
      <c r="A506" s="25"/>
      <c r="B506" s="25"/>
      <c r="C506" s="25"/>
      <c r="M506" s="25"/>
      <c r="N506" s="25"/>
      <c r="O506" s="25"/>
      <c r="Q506" s="25"/>
      <c r="R506" s="25"/>
      <c r="S506" s="25"/>
    </row>
    <row r="507" spans="1:19" x14ac:dyDescent="0.25">
      <c r="A507" s="25"/>
      <c r="B507" s="25"/>
      <c r="C507" s="25"/>
      <c r="M507" s="25"/>
      <c r="N507" s="25"/>
      <c r="O507" s="25"/>
      <c r="Q507" s="25"/>
      <c r="R507" s="25"/>
      <c r="S507" s="25"/>
    </row>
    <row r="508" spans="1:19" x14ac:dyDescent="0.25">
      <c r="A508" s="25"/>
      <c r="B508" s="25"/>
      <c r="C508" s="25"/>
      <c r="M508" s="25"/>
      <c r="N508" s="25"/>
      <c r="O508" s="25"/>
      <c r="Q508" s="25"/>
      <c r="R508" s="25"/>
      <c r="S508" s="25"/>
    </row>
    <row r="509" spans="1:19" x14ac:dyDescent="0.25">
      <c r="A509" s="25"/>
      <c r="B509" s="25"/>
      <c r="C509" s="25"/>
      <c r="M509" s="25"/>
      <c r="N509" s="25"/>
      <c r="O509" s="25"/>
      <c r="Q509" s="25"/>
      <c r="R509" s="25"/>
      <c r="S509" s="25"/>
    </row>
    <row r="510" spans="1:19" x14ac:dyDescent="0.25">
      <c r="A510" s="25"/>
      <c r="B510" s="25"/>
      <c r="C510" s="25"/>
      <c r="M510" s="25"/>
      <c r="N510" s="25"/>
      <c r="O510" s="25"/>
      <c r="Q510" s="25"/>
      <c r="R510" s="25"/>
      <c r="S510" s="25"/>
    </row>
    <row r="511" spans="1:19" x14ac:dyDescent="0.25">
      <c r="A511" s="25"/>
      <c r="B511" s="25"/>
      <c r="C511" s="25"/>
      <c r="M511" s="25"/>
      <c r="N511" s="25"/>
      <c r="O511" s="25"/>
      <c r="Q511" s="25"/>
      <c r="R511" s="25"/>
      <c r="S511" s="25"/>
    </row>
    <row r="512" spans="1:19" x14ac:dyDescent="0.25">
      <c r="A512" s="25"/>
      <c r="B512" s="25"/>
      <c r="C512" s="25"/>
      <c r="M512" s="25"/>
      <c r="N512" s="25"/>
      <c r="O512" s="25"/>
      <c r="Q512" s="25"/>
      <c r="R512" s="25"/>
      <c r="S512" s="25"/>
    </row>
    <row r="513" spans="1:19" x14ac:dyDescent="0.25">
      <c r="A513" s="25"/>
      <c r="B513" s="25"/>
      <c r="C513" s="25"/>
      <c r="M513" s="25"/>
      <c r="N513" s="25"/>
      <c r="O513" s="25"/>
      <c r="Q513" s="25"/>
      <c r="R513" s="25"/>
      <c r="S513" s="25"/>
    </row>
    <row r="514" spans="1:19" x14ac:dyDescent="0.25">
      <c r="A514" s="25"/>
      <c r="B514" s="25"/>
      <c r="C514" s="25"/>
      <c r="M514" s="25"/>
      <c r="N514" s="25"/>
      <c r="O514" s="25"/>
      <c r="Q514" s="25"/>
      <c r="R514" s="25"/>
      <c r="S514" s="25"/>
    </row>
    <row r="515" spans="1:19" x14ac:dyDescent="0.25">
      <c r="A515" s="25"/>
      <c r="B515" s="25"/>
      <c r="C515" s="25"/>
      <c r="M515" s="25"/>
      <c r="N515" s="25"/>
      <c r="O515" s="25"/>
      <c r="Q515" s="25"/>
      <c r="R515" s="25"/>
      <c r="S515" s="25"/>
    </row>
    <row r="516" spans="1:19" x14ac:dyDescent="0.25">
      <c r="A516" s="25"/>
      <c r="B516" s="25"/>
      <c r="C516" s="25"/>
      <c r="M516" s="25"/>
      <c r="N516" s="25"/>
      <c r="O516" s="25"/>
      <c r="Q516" s="25"/>
      <c r="R516" s="25"/>
      <c r="S516" s="25"/>
    </row>
    <row r="517" spans="1:19" x14ac:dyDescent="0.25">
      <c r="A517" s="25"/>
      <c r="B517" s="25"/>
      <c r="C517" s="25"/>
      <c r="M517" s="25"/>
      <c r="N517" s="25"/>
      <c r="O517" s="25"/>
      <c r="Q517" s="25"/>
      <c r="R517" s="25"/>
      <c r="S517" s="25"/>
    </row>
    <row r="518" spans="1:19" x14ac:dyDescent="0.25">
      <c r="A518" s="25"/>
      <c r="B518" s="25"/>
      <c r="C518" s="25"/>
      <c r="M518" s="25"/>
      <c r="N518" s="25"/>
      <c r="O518" s="25"/>
      <c r="Q518" s="25"/>
      <c r="R518" s="25"/>
      <c r="S518" s="25"/>
    </row>
    <row r="519" spans="1:19" x14ac:dyDescent="0.25">
      <c r="A519" s="25"/>
      <c r="B519" s="25"/>
      <c r="C519" s="25"/>
      <c r="M519" s="25"/>
      <c r="N519" s="25"/>
      <c r="O519" s="25"/>
      <c r="Q519" s="25"/>
      <c r="R519" s="25"/>
      <c r="S519" s="25"/>
    </row>
    <row r="520" spans="1:19" x14ac:dyDescent="0.25">
      <c r="A520" s="25"/>
      <c r="B520" s="25"/>
      <c r="C520" s="25"/>
      <c r="M520" s="25"/>
      <c r="N520" s="25"/>
      <c r="O520" s="25"/>
      <c r="Q520" s="25"/>
      <c r="R520" s="25"/>
      <c r="S520" s="25"/>
    </row>
    <row r="521" spans="1:19" x14ac:dyDescent="0.25">
      <c r="A521" s="25"/>
      <c r="B521" s="25"/>
      <c r="C521" s="25"/>
      <c r="M521" s="25"/>
      <c r="N521" s="25"/>
      <c r="O521" s="25"/>
      <c r="Q521" s="25"/>
      <c r="R521" s="25"/>
      <c r="S521" s="25"/>
    </row>
    <row r="522" spans="1:19" x14ac:dyDescent="0.25">
      <c r="A522" s="25"/>
      <c r="B522" s="25"/>
      <c r="C522" s="25"/>
      <c r="M522" s="25"/>
      <c r="N522" s="25"/>
      <c r="O522" s="25"/>
      <c r="Q522" s="25"/>
      <c r="R522" s="25"/>
      <c r="S522" s="25"/>
    </row>
    <row r="523" spans="1:19" x14ac:dyDescent="0.25">
      <c r="A523" s="25"/>
      <c r="B523" s="25"/>
      <c r="C523" s="25"/>
      <c r="M523" s="25"/>
      <c r="N523" s="25"/>
      <c r="O523" s="25"/>
      <c r="Q523" s="25"/>
      <c r="R523" s="25"/>
      <c r="S523" s="25"/>
    </row>
    <row r="524" spans="1:19" x14ac:dyDescent="0.25">
      <c r="A524" s="25"/>
      <c r="B524" s="25"/>
      <c r="C524" s="25"/>
      <c r="M524" s="25"/>
      <c r="N524" s="25"/>
      <c r="O524" s="25"/>
      <c r="Q524" s="25"/>
      <c r="R524" s="25"/>
      <c r="S524" s="25"/>
    </row>
    <row r="525" spans="1:19" x14ac:dyDescent="0.25">
      <c r="A525" s="25"/>
      <c r="B525" s="25"/>
      <c r="C525" s="25"/>
      <c r="M525" s="25"/>
      <c r="N525" s="25"/>
      <c r="O525" s="25"/>
      <c r="Q525" s="25"/>
      <c r="R525" s="25"/>
      <c r="S525" s="25"/>
    </row>
    <row r="526" spans="1:19" x14ac:dyDescent="0.25">
      <c r="A526" s="25"/>
      <c r="B526" s="25"/>
      <c r="C526" s="25"/>
      <c r="M526" s="25"/>
      <c r="N526" s="25"/>
      <c r="O526" s="25"/>
      <c r="Q526" s="25"/>
      <c r="R526" s="25"/>
      <c r="S526" s="25"/>
    </row>
    <row r="527" spans="1:19" x14ac:dyDescent="0.25">
      <c r="A527" s="25"/>
      <c r="B527" s="25"/>
      <c r="C527" s="25"/>
      <c r="M527" s="25"/>
      <c r="N527" s="25"/>
      <c r="O527" s="25"/>
      <c r="Q527" s="25"/>
      <c r="R527" s="25"/>
      <c r="S527" s="25"/>
    </row>
    <row r="528" spans="1:19" x14ac:dyDescent="0.25">
      <c r="A528" s="25"/>
      <c r="B528" s="25"/>
      <c r="C528" s="25"/>
      <c r="M528" s="25"/>
      <c r="N528" s="25"/>
      <c r="O528" s="25"/>
      <c r="Q528" s="25"/>
      <c r="R528" s="25"/>
      <c r="S528" s="25"/>
    </row>
    <row r="529" spans="1:19" x14ac:dyDescent="0.25">
      <c r="A529" s="25"/>
      <c r="B529" s="25"/>
      <c r="C529" s="25"/>
      <c r="M529" s="25"/>
      <c r="N529" s="25"/>
      <c r="O529" s="25"/>
      <c r="Q529" s="25"/>
      <c r="R529" s="25"/>
      <c r="S529" s="25"/>
    </row>
    <row r="530" spans="1:19" x14ac:dyDescent="0.25">
      <c r="A530" s="25"/>
      <c r="B530" s="25"/>
      <c r="C530" s="25"/>
      <c r="M530" s="25"/>
      <c r="N530" s="25"/>
      <c r="O530" s="25"/>
      <c r="Q530" s="25"/>
      <c r="R530" s="25"/>
      <c r="S530" s="25"/>
    </row>
    <row r="531" spans="1:19" x14ac:dyDescent="0.25">
      <c r="A531" s="25"/>
      <c r="B531" s="25"/>
      <c r="C531" s="25"/>
      <c r="M531" s="25"/>
      <c r="N531" s="25"/>
      <c r="O531" s="25"/>
      <c r="Q531" s="25"/>
      <c r="R531" s="25"/>
      <c r="S531" s="25"/>
    </row>
    <row r="532" spans="1:19" x14ac:dyDescent="0.25">
      <c r="A532" s="25"/>
      <c r="B532" s="25"/>
      <c r="C532" s="25"/>
      <c r="M532" s="25"/>
      <c r="N532" s="25"/>
      <c r="O532" s="25"/>
      <c r="Q532" s="25"/>
      <c r="R532" s="25"/>
      <c r="S532" s="25"/>
    </row>
    <row r="533" spans="1:19" x14ac:dyDescent="0.25">
      <c r="A533" s="25"/>
      <c r="B533" s="25"/>
      <c r="C533" s="25"/>
      <c r="M533" s="25"/>
      <c r="N533" s="25"/>
      <c r="O533" s="25"/>
      <c r="Q533" s="25"/>
      <c r="R533" s="25"/>
      <c r="S533" s="25"/>
    </row>
    <row r="534" spans="1:19" x14ac:dyDescent="0.25">
      <c r="A534" s="25"/>
      <c r="B534" s="25"/>
      <c r="C534" s="25"/>
      <c r="M534" s="25"/>
      <c r="N534" s="25"/>
      <c r="O534" s="25"/>
      <c r="Q534" s="25"/>
      <c r="R534" s="25"/>
      <c r="S534" s="25"/>
    </row>
    <row r="535" spans="1:19" x14ac:dyDescent="0.25">
      <c r="A535" s="25"/>
      <c r="B535" s="25"/>
      <c r="C535" s="25"/>
      <c r="M535" s="25"/>
      <c r="N535" s="25"/>
      <c r="O535" s="25"/>
      <c r="Q535" s="25"/>
      <c r="R535" s="25"/>
      <c r="S535" s="25"/>
    </row>
    <row r="536" spans="1:19" x14ac:dyDescent="0.25">
      <c r="A536" s="25"/>
      <c r="B536" s="25"/>
      <c r="C536" s="25"/>
      <c r="M536" s="25"/>
      <c r="N536" s="25"/>
      <c r="O536" s="25"/>
      <c r="Q536" s="25"/>
      <c r="R536" s="25"/>
      <c r="S536" s="25"/>
    </row>
    <row r="537" spans="1:19" x14ac:dyDescent="0.25">
      <c r="A537" s="25"/>
      <c r="B537" s="25"/>
      <c r="C537" s="25"/>
      <c r="M537" s="25"/>
      <c r="N537" s="25"/>
      <c r="O537" s="25"/>
      <c r="Q537" s="25"/>
      <c r="R537" s="25"/>
      <c r="S537" s="25"/>
    </row>
    <row r="538" spans="1:19" x14ac:dyDescent="0.25">
      <c r="A538" s="25"/>
      <c r="B538" s="25"/>
      <c r="C538" s="25"/>
      <c r="M538" s="25"/>
      <c r="N538" s="25"/>
      <c r="O538" s="25"/>
      <c r="Q538" s="25"/>
      <c r="R538" s="25"/>
      <c r="S538" s="25"/>
    </row>
    <row r="539" spans="1:19" x14ac:dyDescent="0.25">
      <c r="A539" s="25"/>
      <c r="B539" s="25"/>
      <c r="C539" s="25"/>
      <c r="M539" s="25"/>
      <c r="N539" s="25"/>
      <c r="O539" s="25"/>
      <c r="Q539" s="25"/>
      <c r="R539" s="25"/>
      <c r="S539" s="25"/>
    </row>
    <row r="540" spans="1:19" x14ac:dyDescent="0.25">
      <c r="A540" s="25"/>
      <c r="B540" s="25"/>
      <c r="C540" s="25"/>
      <c r="M540" s="25"/>
      <c r="N540" s="25"/>
      <c r="O540" s="25"/>
      <c r="Q540" s="25"/>
      <c r="R540" s="25"/>
      <c r="S540" s="25"/>
    </row>
    <row r="541" spans="1:19" x14ac:dyDescent="0.25">
      <c r="A541" s="25"/>
      <c r="B541" s="25"/>
      <c r="C541" s="25"/>
      <c r="M541" s="25"/>
      <c r="N541" s="25"/>
      <c r="O541" s="25"/>
      <c r="Q541" s="25"/>
      <c r="R541" s="25"/>
      <c r="S541" s="25"/>
    </row>
    <row r="542" spans="1:19" x14ac:dyDescent="0.25">
      <c r="A542" s="25"/>
      <c r="B542" s="25"/>
      <c r="C542" s="25"/>
      <c r="M542" s="25"/>
      <c r="N542" s="25"/>
      <c r="O542" s="25"/>
      <c r="Q542" s="25"/>
      <c r="R542" s="25"/>
      <c r="S542" s="25"/>
    </row>
    <row r="543" spans="1:19" x14ac:dyDescent="0.25">
      <c r="A543" s="25"/>
      <c r="B543" s="25"/>
      <c r="C543" s="25"/>
      <c r="M543" s="25"/>
      <c r="N543" s="25"/>
      <c r="O543" s="25"/>
      <c r="Q543" s="25"/>
      <c r="R543" s="25"/>
      <c r="S543" s="25"/>
    </row>
    <row r="544" spans="1:19" x14ac:dyDescent="0.25">
      <c r="A544" s="25"/>
      <c r="B544" s="25"/>
      <c r="C544" s="25"/>
      <c r="M544" s="25"/>
      <c r="N544" s="25"/>
      <c r="O544" s="25"/>
      <c r="Q544" s="25"/>
      <c r="R544" s="25"/>
      <c r="S544" s="25"/>
    </row>
    <row r="545" spans="1:19" x14ac:dyDescent="0.25">
      <c r="A545" s="25"/>
      <c r="B545" s="25"/>
      <c r="C545" s="25"/>
      <c r="M545" s="25"/>
      <c r="N545" s="25"/>
      <c r="O545" s="25"/>
      <c r="Q545" s="25"/>
      <c r="R545" s="25"/>
      <c r="S545" s="25"/>
    </row>
    <row r="546" spans="1:19" x14ac:dyDescent="0.25">
      <c r="A546" s="25"/>
      <c r="B546" s="25"/>
      <c r="C546" s="25"/>
      <c r="M546" s="25"/>
      <c r="N546" s="25"/>
      <c r="O546" s="25"/>
      <c r="Q546" s="25"/>
      <c r="R546" s="25"/>
      <c r="S546" s="25"/>
    </row>
    <row r="547" spans="1:19" x14ac:dyDescent="0.25">
      <c r="A547" s="25"/>
      <c r="B547" s="25"/>
      <c r="C547" s="25"/>
      <c r="M547" s="25"/>
      <c r="N547" s="25"/>
      <c r="O547" s="25"/>
      <c r="Q547" s="25"/>
      <c r="R547" s="25"/>
      <c r="S547" s="25"/>
    </row>
    <row r="548" spans="1:19" x14ac:dyDescent="0.25">
      <c r="A548" s="25"/>
      <c r="B548" s="25"/>
      <c r="C548" s="25"/>
      <c r="M548" s="25"/>
      <c r="N548" s="25"/>
      <c r="O548" s="25"/>
      <c r="Q548" s="25"/>
      <c r="R548" s="25"/>
      <c r="S548" s="25"/>
    </row>
    <row r="549" spans="1:19" x14ac:dyDescent="0.25">
      <c r="A549" s="25"/>
      <c r="B549" s="25"/>
      <c r="C549" s="25"/>
      <c r="M549" s="25"/>
      <c r="N549" s="25"/>
      <c r="O549" s="25"/>
      <c r="Q549" s="25"/>
      <c r="R549" s="25"/>
      <c r="S549" s="25"/>
    </row>
    <row r="550" spans="1:19" x14ac:dyDescent="0.25">
      <c r="A550" s="25"/>
      <c r="B550" s="25"/>
      <c r="C550" s="25"/>
      <c r="M550" s="25"/>
      <c r="N550" s="25"/>
      <c r="O550" s="25"/>
      <c r="Q550" s="25"/>
      <c r="R550" s="25"/>
      <c r="S550" s="25"/>
    </row>
    <row r="551" spans="1:19" x14ac:dyDescent="0.25">
      <c r="A551" s="25"/>
      <c r="B551" s="25"/>
      <c r="C551" s="25"/>
      <c r="M551" s="25"/>
      <c r="N551" s="25"/>
      <c r="O551" s="25"/>
      <c r="Q551" s="25"/>
      <c r="R551" s="25"/>
      <c r="S551" s="25"/>
    </row>
    <row r="552" spans="1:19" x14ac:dyDescent="0.25">
      <c r="A552" s="25"/>
      <c r="B552" s="25"/>
      <c r="C552" s="25"/>
      <c r="M552" s="25"/>
      <c r="N552" s="25"/>
      <c r="O552" s="25"/>
      <c r="Q552" s="25"/>
      <c r="R552" s="25"/>
      <c r="S552" s="25"/>
    </row>
    <row r="553" spans="1:19" x14ac:dyDescent="0.25">
      <c r="A553" s="25"/>
      <c r="B553" s="25"/>
      <c r="C553" s="25"/>
      <c r="M553" s="25"/>
      <c r="N553" s="25"/>
      <c r="O553" s="25"/>
      <c r="Q553" s="25"/>
      <c r="R553" s="25"/>
      <c r="S553" s="25"/>
    </row>
    <row r="554" spans="1:19" x14ac:dyDescent="0.25">
      <c r="A554" s="25"/>
      <c r="B554" s="25"/>
      <c r="C554" s="25"/>
      <c r="M554" s="25"/>
      <c r="N554" s="25"/>
      <c r="O554" s="25"/>
      <c r="Q554" s="25"/>
      <c r="R554" s="25"/>
      <c r="S554" s="25"/>
    </row>
    <row r="555" spans="1:19" x14ac:dyDescent="0.25">
      <c r="A555" s="25"/>
      <c r="B555" s="25"/>
      <c r="C555" s="25"/>
      <c r="M555" s="25"/>
      <c r="N555" s="25"/>
      <c r="O555" s="25"/>
      <c r="Q555" s="25"/>
      <c r="R555" s="25"/>
      <c r="S555" s="25"/>
    </row>
    <row r="556" spans="1:19" x14ac:dyDescent="0.25">
      <c r="A556" s="25"/>
      <c r="B556" s="25"/>
      <c r="C556" s="25"/>
      <c r="M556" s="25"/>
      <c r="N556" s="25"/>
      <c r="O556" s="25"/>
      <c r="Q556" s="25"/>
      <c r="R556" s="25"/>
      <c r="S556" s="25"/>
    </row>
    <row r="557" spans="1:19" x14ac:dyDescent="0.25">
      <c r="A557" s="25"/>
      <c r="B557" s="25"/>
      <c r="C557" s="25"/>
      <c r="M557" s="25"/>
      <c r="N557" s="25"/>
      <c r="O557" s="25"/>
      <c r="Q557" s="25"/>
      <c r="R557" s="25"/>
      <c r="S557" s="25"/>
    </row>
    <row r="558" spans="1:19" x14ac:dyDescent="0.25">
      <c r="A558" s="25"/>
      <c r="B558" s="25"/>
      <c r="C558" s="25"/>
      <c r="M558" s="25"/>
      <c r="N558" s="25"/>
      <c r="O558" s="25"/>
      <c r="Q558" s="25"/>
      <c r="R558" s="25"/>
      <c r="S558" s="25"/>
    </row>
    <row r="559" spans="1:19" x14ac:dyDescent="0.25">
      <c r="A559" s="25"/>
      <c r="B559" s="25"/>
      <c r="C559" s="25"/>
      <c r="M559" s="25"/>
      <c r="N559" s="25"/>
      <c r="O559" s="25"/>
      <c r="Q559" s="25"/>
      <c r="R559" s="25"/>
      <c r="S559" s="25"/>
    </row>
    <row r="560" spans="1:19" x14ac:dyDescent="0.25">
      <c r="A560" s="25"/>
      <c r="B560" s="25"/>
      <c r="C560" s="25"/>
      <c r="M560" s="25"/>
      <c r="N560" s="25"/>
      <c r="O560" s="25"/>
      <c r="Q560" s="25"/>
      <c r="R560" s="25"/>
      <c r="S560" s="25"/>
    </row>
    <row r="561" spans="1:19" x14ac:dyDescent="0.25">
      <c r="A561" s="25"/>
      <c r="B561" s="25"/>
      <c r="C561" s="25"/>
      <c r="M561" s="25"/>
      <c r="N561" s="25"/>
      <c r="O561" s="25"/>
      <c r="Q561" s="25"/>
      <c r="R561" s="25"/>
      <c r="S561" s="25"/>
    </row>
    <row r="562" spans="1:19" x14ac:dyDescent="0.25">
      <c r="A562" s="25"/>
      <c r="B562" s="25"/>
      <c r="C562" s="25"/>
      <c r="M562" s="25"/>
      <c r="N562" s="25"/>
      <c r="O562" s="25"/>
      <c r="Q562" s="25"/>
      <c r="R562" s="25"/>
      <c r="S562" s="25"/>
    </row>
    <row r="563" spans="1:19" x14ac:dyDescent="0.25">
      <c r="A563" s="25"/>
      <c r="B563" s="25"/>
      <c r="C563" s="25"/>
      <c r="M563" s="25"/>
      <c r="N563" s="25"/>
      <c r="O563" s="25"/>
      <c r="Q563" s="25"/>
      <c r="R563" s="25"/>
      <c r="S563" s="25"/>
    </row>
    <row r="564" spans="1:19" x14ac:dyDescent="0.25">
      <c r="A564" s="25"/>
      <c r="B564" s="25"/>
      <c r="C564" s="25"/>
      <c r="M564" s="25"/>
      <c r="N564" s="25"/>
      <c r="O564" s="25"/>
      <c r="Q564" s="25"/>
      <c r="R564" s="25"/>
      <c r="S564" s="25"/>
    </row>
    <row r="565" spans="1:19" x14ac:dyDescent="0.25">
      <c r="A565" s="25"/>
      <c r="B565" s="25"/>
      <c r="C565" s="25"/>
      <c r="M565" s="25"/>
      <c r="N565" s="25"/>
      <c r="O565" s="25"/>
      <c r="Q565" s="25"/>
      <c r="R565" s="25"/>
      <c r="S565" s="25"/>
    </row>
    <row r="566" spans="1:19" x14ac:dyDescent="0.25">
      <c r="A566" s="25"/>
      <c r="B566" s="25"/>
      <c r="C566" s="25"/>
      <c r="M566" s="25"/>
      <c r="N566" s="25"/>
      <c r="O566" s="25"/>
      <c r="Q566" s="25"/>
      <c r="R566" s="25"/>
      <c r="S566" s="25"/>
    </row>
    <row r="567" spans="1:19" x14ac:dyDescent="0.25">
      <c r="A567" s="25"/>
      <c r="B567" s="25"/>
      <c r="C567" s="25"/>
      <c r="M567" s="25"/>
      <c r="N567" s="25"/>
      <c r="O567" s="25"/>
      <c r="Q567" s="25"/>
      <c r="R567" s="25"/>
      <c r="S567" s="25"/>
    </row>
    <row r="568" spans="1:19" x14ac:dyDescent="0.25">
      <c r="A568" s="25"/>
      <c r="B568" s="25"/>
      <c r="C568" s="25"/>
      <c r="M568" s="25"/>
      <c r="N568" s="25"/>
      <c r="O568" s="25"/>
      <c r="Q568" s="25"/>
      <c r="R568" s="25"/>
      <c r="S568" s="25"/>
    </row>
    <row r="569" spans="1:19" x14ac:dyDescent="0.25">
      <c r="A569" s="25"/>
      <c r="B569" s="25"/>
      <c r="C569" s="25"/>
      <c r="M569" s="25"/>
      <c r="N569" s="25"/>
      <c r="O569" s="25"/>
      <c r="Q569" s="25"/>
      <c r="R569" s="25"/>
      <c r="S569" s="25"/>
    </row>
    <row r="570" spans="1:19" x14ac:dyDescent="0.25">
      <c r="A570" s="25"/>
      <c r="B570" s="25"/>
      <c r="C570" s="25"/>
      <c r="M570" s="25"/>
      <c r="N570" s="25"/>
      <c r="O570" s="25"/>
      <c r="Q570" s="25"/>
      <c r="R570" s="25"/>
      <c r="S570" s="25"/>
    </row>
    <row r="571" spans="1:19" x14ac:dyDescent="0.25">
      <c r="A571" s="25"/>
      <c r="B571" s="25"/>
      <c r="C571" s="25"/>
      <c r="M571" s="25"/>
      <c r="N571" s="25"/>
      <c r="O571" s="25"/>
      <c r="Q571" s="25"/>
      <c r="R571" s="25"/>
      <c r="S571" s="25"/>
    </row>
    <row r="572" spans="1:19" x14ac:dyDescent="0.25">
      <c r="A572" s="25"/>
      <c r="B572" s="25"/>
      <c r="C572" s="25"/>
      <c r="M572" s="25"/>
      <c r="N572" s="25"/>
      <c r="O572" s="25"/>
      <c r="Q572" s="25"/>
      <c r="R572" s="25"/>
      <c r="S572" s="25"/>
    </row>
    <row r="573" spans="1:19" x14ac:dyDescent="0.25">
      <c r="A573" s="25"/>
      <c r="B573" s="25"/>
      <c r="C573" s="25"/>
      <c r="M573" s="25"/>
      <c r="N573" s="25"/>
      <c r="O573" s="25"/>
      <c r="Q573" s="25"/>
      <c r="R573" s="25"/>
      <c r="S573" s="25"/>
    </row>
    <row r="574" spans="1:19" x14ac:dyDescent="0.25">
      <c r="A574" s="25"/>
      <c r="B574" s="25"/>
      <c r="C574" s="25"/>
      <c r="M574" s="25"/>
      <c r="N574" s="25"/>
      <c r="O574" s="25"/>
      <c r="Q574" s="25"/>
      <c r="R574" s="25"/>
      <c r="S574" s="25"/>
    </row>
    <row r="575" spans="1:19" x14ac:dyDescent="0.25">
      <c r="A575" s="25"/>
      <c r="B575" s="25"/>
      <c r="C575" s="25"/>
      <c r="M575" s="25"/>
      <c r="N575" s="25"/>
      <c r="O575" s="25"/>
      <c r="Q575" s="25"/>
      <c r="R575" s="25"/>
      <c r="S575" s="25"/>
    </row>
    <row r="576" spans="1:19" x14ac:dyDescent="0.25">
      <c r="A576" s="25"/>
      <c r="B576" s="25"/>
      <c r="C576" s="25"/>
      <c r="M576" s="25"/>
      <c r="N576" s="25"/>
      <c r="O576" s="25"/>
      <c r="Q576" s="25"/>
      <c r="R576" s="25"/>
      <c r="S576" s="25"/>
    </row>
    <row r="577" spans="1:19" x14ac:dyDescent="0.25">
      <c r="A577" s="25"/>
      <c r="B577" s="25"/>
      <c r="C577" s="25"/>
      <c r="M577" s="25"/>
      <c r="N577" s="25"/>
      <c r="O577" s="25"/>
      <c r="Q577" s="25"/>
      <c r="R577" s="25"/>
      <c r="S577" s="25"/>
    </row>
    <row r="578" spans="1:19" x14ac:dyDescent="0.25">
      <c r="A578" s="25"/>
      <c r="B578" s="25"/>
      <c r="C578" s="25"/>
      <c r="M578" s="25"/>
      <c r="N578" s="25"/>
      <c r="O578" s="25"/>
      <c r="Q578" s="25"/>
      <c r="R578" s="25"/>
      <c r="S578" s="25"/>
    </row>
    <row r="579" spans="1:19" x14ac:dyDescent="0.25">
      <c r="A579" s="25"/>
      <c r="B579" s="25"/>
      <c r="C579" s="25"/>
      <c r="M579" s="25"/>
      <c r="N579" s="25"/>
      <c r="O579" s="25"/>
      <c r="Q579" s="25"/>
      <c r="R579" s="25"/>
      <c r="S579" s="25"/>
    </row>
    <row r="580" spans="1:19" x14ac:dyDescent="0.25">
      <c r="A580" s="25"/>
      <c r="B580" s="25"/>
      <c r="C580" s="25"/>
      <c r="M580" s="25"/>
      <c r="N580" s="25"/>
      <c r="O580" s="25"/>
      <c r="Q580" s="25"/>
      <c r="R580" s="25"/>
      <c r="S580" s="25"/>
    </row>
    <row r="581" spans="1:19" x14ac:dyDescent="0.25">
      <c r="A581" s="25"/>
      <c r="B581" s="25"/>
      <c r="C581" s="25"/>
      <c r="M581" s="25"/>
      <c r="N581" s="25"/>
      <c r="O581" s="25"/>
      <c r="Q581" s="25"/>
      <c r="R581" s="25"/>
      <c r="S581" s="25"/>
    </row>
    <row r="582" spans="1:19" x14ac:dyDescent="0.25">
      <c r="A582" s="25"/>
      <c r="B582" s="25"/>
      <c r="C582" s="25"/>
      <c r="M582" s="25"/>
      <c r="N582" s="25"/>
      <c r="O582" s="25"/>
      <c r="Q582" s="25"/>
      <c r="R582" s="25"/>
      <c r="S582" s="25"/>
    </row>
    <row r="583" spans="1:19" x14ac:dyDescent="0.25">
      <c r="A583" s="25"/>
      <c r="B583" s="25"/>
      <c r="C583" s="25"/>
      <c r="M583" s="25"/>
      <c r="N583" s="25"/>
      <c r="O583" s="25"/>
      <c r="Q583" s="25"/>
      <c r="R583" s="25"/>
      <c r="S583" s="25"/>
    </row>
    <row r="584" spans="1:19" x14ac:dyDescent="0.25">
      <c r="A584" s="25"/>
      <c r="B584" s="25"/>
      <c r="C584" s="25"/>
      <c r="M584" s="25"/>
      <c r="N584" s="25"/>
      <c r="O584" s="25"/>
      <c r="Q584" s="25"/>
      <c r="R584" s="25"/>
      <c r="S584" s="25"/>
    </row>
    <row r="585" spans="1:19" x14ac:dyDescent="0.25">
      <c r="A585" s="25"/>
      <c r="B585" s="25"/>
      <c r="C585" s="25"/>
      <c r="M585" s="25"/>
      <c r="N585" s="25"/>
      <c r="O585" s="25"/>
      <c r="Q585" s="25"/>
      <c r="R585" s="25"/>
      <c r="S585" s="25"/>
    </row>
    <row r="586" spans="1:19" x14ac:dyDescent="0.25">
      <c r="A586" s="25"/>
      <c r="B586" s="25"/>
      <c r="C586" s="25"/>
      <c r="M586" s="25"/>
      <c r="N586" s="25"/>
      <c r="O586" s="25"/>
      <c r="Q586" s="25"/>
      <c r="R586" s="25"/>
      <c r="S586" s="25"/>
    </row>
    <row r="587" spans="1:19" x14ac:dyDescent="0.25">
      <c r="A587" s="25"/>
      <c r="B587" s="25"/>
      <c r="C587" s="25"/>
      <c r="M587" s="25"/>
      <c r="N587" s="25"/>
      <c r="O587" s="25"/>
      <c r="Q587" s="25"/>
      <c r="R587" s="25"/>
      <c r="S587" s="25"/>
    </row>
    <row r="588" spans="1:19" x14ac:dyDescent="0.25">
      <c r="A588" s="25"/>
      <c r="B588" s="25"/>
      <c r="C588" s="25"/>
      <c r="M588" s="25"/>
      <c r="N588" s="25"/>
      <c r="O588" s="25"/>
      <c r="Q588" s="25"/>
      <c r="R588" s="25"/>
      <c r="S588" s="25"/>
    </row>
    <row r="589" spans="1:19" x14ac:dyDescent="0.25">
      <c r="A589" s="25"/>
      <c r="B589" s="25"/>
      <c r="C589" s="25"/>
      <c r="M589" s="25"/>
      <c r="N589" s="25"/>
      <c r="O589" s="25"/>
      <c r="Q589" s="25"/>
      <c r="R589" s="25"/>
      <c r="S589" s="25"/>
    </row>
    <row r="590" spans="1:19" x14ac:dyDescent="0.25">
      <c r="A590" s="25"/>
      <c r="B590" s="25"/>
      <c r="C590" s="25"/>
      <c r="M590" s="25"/>
      <c r="N590" s="25"/>
      <c r="O590" s="25"/>
      <c r="Q590" s="25"/>
      <c r="R590" s="25"/>
      <c r="S590" s="25"/>
    </row>
    <row r="591" spans="1:19" x14ac:dyDescent="0.25">
      <c r="A591" s="25"/>
      <c r="B591" s="25"/>
      <c r="C591" s="25"/>
      <c r="M591" s="25"/>
      <c r="N591" s="25"/>
      <c r="O591" s="25"/>
      <c r="Q591" s="25"/>
      <c r="R591" s="25"/>
      <c r="S591" s="25"/>
    </row>
    <row r="592" spans="1:19" x14ac:dyDescent="0.25">
      <c r="A592" s="25"/>
      <c r="B592" s="25"/>
      <c r="C592" s="25"/>
      <c r="M592" s="25"/>
      <c r="N592" s="25"/>
      <c r="O592" s="25"/>
      <c r="Q592" s="25"/>
      <c r="R592" s="25"/>
      <c r="S592" s="25"/>
    </row>
    <row r="593" spans="1:19" x14ac:dyDescent="0.25">
      <c r="A593" s="25"/>
      <c r="B593" s="25"/>
      <c r="C593" s="25"/>
      <c r="M593" s="25"/>
      <c r="N593" s="25"/>
      <c r="O593" s="25"/>
      <c r="Q593" s="25"/>
      <c r="R593" s="25"/>
      <c r="S593" s="25"/>
    </row>
    <row r="594" spans="1:19" x14ac:dyDescent="0.25">
      <c r="A594" s="25"/>
      <c r="B594" s="25"/>
      <c r="C594" s="25"/>
      <c r="M594" s="25"/>
      <c r="N594" s="25"/>
      <c r="O594" s="25"/>
      <c r="Q594" s="25"/>
      <c r="R594" s="25"/>
      <c r="S594" s="25"/>
    </row>
    <row r="595" spans="1:19" x14ac:dyDescent="0.25">
      <c r="A595" s="25"/>
      <c r="B595" s="25"/>
      <c r="C595" s="25"/>
      <c r="M595" s="25"/>
      <c r="N595" s="25"/>
      <c r="O595" s="25"/>
      <c r="Q595" s="25"/>
      <c r="R595" s="25"/>
      <c r="S595" s="25"/>
    </row>
    <row r="596" spans="1:19" x14ac:dyDescent="0.25">
      <c r="A596" s="25"/>
      <c r="B596" s="25"/>
      <c r="C596" s="25"/>
      <c r="M596" s="25"/>
      <c r="N596" s="25"/>
      <c r="O596" s="25"/>
      <c r="Q596" s="25"/>
      <c r="R596" s="25"/>
      <c r="S596" s="25"/>
    </row>
    <row r="597" spans="1:19" x14ac:dyDescent="0.25">
      <c r="A597" s="25"/>
      <c r="B597" s="25"/>
      <c r="C597" s="25"/>
      <c r="M597" s="25"/>
      <c r="N597" s="25"/>
      <c r="O597" s="25"/>
      <c r="Q597" s="25"/>
      <c r="R597" s="25"/>
      <c r="S597" s="25"/>
    </row>
    <row r="598" spans="1:19" x14ac:dyDescent="0.25">
      <c r="A598" s="25"/>
      <c r="B598" s="25"/>
      <c r="C598" s="25"/>
      <c r="M598" s="25"/>
      <c r="N598" s="25"/>
      <c r="O598" s="25"/>
      <c r="Q598" s="25"/>
      <c r="R598" s="25"/>
      <c r="S598" s="25"/>
    </row>
    <row r="599" spans="1:19" x14ac:dyDescent="0.25">
      <c r="A599" s="25"/>
      <c r="B599" s="25"/>
      <c r="C599" s="25"/>
      <c r="M599" s="25"/>
      <c r="N599" s="25"/>
      <c r="O599" s="25"/>
      <c r="Q599" s="25"/>
      <c r="R599" s="25"/>
      <c r="S599" s="25"/>
    </row>
    <row r="600" spans="1:19" x14ac:dyDescent="0.25">
      <c r="A600" s="25"/>
      <c r="B600" s="25"/>
      <c r="C600" s="25"/>
      <c r="M600" s="25"/>
      <c r="N600" s="25"/>
      <c r="O600" s="25"/>
      <c r="Q600" s="25"/>
      <c r="R600" s="25"/>
      <c r="S600" s="25"/>
    </row>
    <row r="601" spans="1:19" x14ac:dyDescent="0.25">
      <c r="A601" s="25"/>
      <c r="B601" s="25"/>
      <c r="C601" s="25"/>
      <c r="M601" s="25"/>
      <c r="N601" s="25"/>
      <c r="O601" s="25"/>
      <c r="Q601" s="25"/>
      <c r="R601" s="25"/>
      <c r="S601" s="25"/>
    </row>
    <row r="602" spans="1:19" x14ac:dyDescent="0.25">
      <c r="A602" s="25"/>
      <c r="B602" s="25"/>
      <c r="C602" s="25"/>
      <c r="M602" s="25"/>
      <c r="N602" s="25"/>
      <c r="O602" s="25"/>
      <c r="Q602" s="25"/>
      <c r="R602" s="25"/>
      <c r="S602" s="25"/>
    </row>
    <row r="603" spans="1:19" x14ac:dyDescent="0.25">
      <c r="A603" s="25"/>
      <c r="B603" s="25"/>
      <c r="C603" s="25"/>
      <c r="M603" s="25"/>
      <c r="N603" s="25"/>
      <c r="O603" s="25"/>
      <c r="Q603" s="25"/>
      <c r="R603" s="25"/>
      <c r="S603" s="25"/>
    </row>
    <row r="604" spans="1:19" x14ac:dyDescent="0.25">
      <c r="A604" s="25"/>
      <c r="B604" s="25"/>
      <c r="C604" s="25"/>
      <c r="M604" s="25"/>
      <c r="N604" s="25"/>
      <c r="O604" s="25"/>
      <c r="Q604" s="25"/>
      <c r="R604" s="25"/>
      <c r="S604" s="25"/>
    </row>
    <row r="605" spans="1:19" x14ac:dyDescent="0.25">
      <c r="A605" s="25"/>
      <c r="B605" s="25"/>
      <c r="C605" s="25"/>
      <c r="M605" s="25"/>
      <c r="N605" s="25"/>
      <c r="O605" s="25"/>
      <c r="Q605" s="25"/>
      <c r="R605" s="25"/>
      <c r="S605" s="25"/>
    </row>
    <row r="606" spans="1:19" x14ac:dyDescent="0.25">
      <c r="A606" s="25"/>
      <c r="B606" s="25"/>
      <c r="C606" s="25"/>
      <c r="M606" s="25"/>
      <c r="N606" s="25"/>
      <c r="O606" s="25"/>
      <c r="Q606" s="25"/>
      <c r="R606" s="25"/>
      <c r="S606" s="25"/>
    </row>
    <row r="607" spans="1:19" x14ac:dyDescent="0.25">
      <c r="A607" s="25"/>
      <c r="B607" s="25"/>
      <c r="C607" s="25"/>
      <c r="M607" s="25"/>
      <c r="N607" s="25"/>
      <c r="O607" s="25"/>
      <c r="Q607" s="25"/>
      <c r="R607" s="25"/>
      <c r="S607" s="25"/>
    </row>
    <row r="608" spans="1:19" x14ac:dyDescent="0.25">
      <c r="A608" s="25"/>
      <c r="B608" s="25"/>
      <c r="C608" s="25"/>
      <c r="M608" s="25"/>
      <c r="N608" s="25"/>
      <c r="O608" s="25"/>
      <c r="Q608" s="25"/>
      <c r="R608" s="25"/>
      <c r="S608" s="25"/>
    </row>
    <row r="609" spans="1:19" x14ac:dyDescent="0.25">
      <c r="A609" s="25"/>
      <c r="B609" s="25"/>
      <c r="C609" s="25"/>
      <c r="M609" s="25"/>
      <c r="N609" s="25"/>
      <c r="O609" s="25"/>
      <c r="Q609" s="25"/>
      <c r="R609" s="25"/>
      <c r="S609" s="25"/>
    </row>
    <row r="610" spans="1:19" x14ac:dyDescent="0.25">
      <c r="A610" s="25"/>
      <c r="B610" s="25"/>
      <c r="C610" s="25"/>
      <c r="M610" s="25"/>
      <c r="N610" s="25"/>
      <c r="O610" s="25"/>
      <c r="Q610" s="25"/>
      <c r="R610" s="25"/>
      <c r="S610" s="25"/>
    </row>
    <row r="611" spans="1:19" x14ac:dyDescent="0.25">
      <c r="A611" s="25"/>
      <c r="B611" s="25"/>
      <c r="C611" s="25"/>
      <c r="M611" s="25"/>
      <c r="N611" s="25"/>
      <c r="O611" s="25"/>
      <c r="Q611" s="25"/>
      <c r="R611" s="25"/>
      <c r="S611" s="25"/>
    </row>
    <row r="612" spans="1:19" x14ac:dyDescent="0.25">
      <c r="A612" s="25"/>
      <c r="B612" s="25"/>
      <c r="C612" s="25"/>
      <c r="M612" s="25"/>
      <c r="N612" s="25"/>
      <c r="O612" s="25"/>
      <c r="Q612" s="25"/>
      <c r="R612" s="25"/>
      <c r="S612" s="25"/>
    </row>
    <row r="613" spans="1:19" x14ac:dyDescent="0.25">
      <c r="A613" s="25"/>
      <c r="B613" s="25"/>
      <c r="C613" s="25"/>
      <c r="M613" s="25"/>
      <c r="N613" s="25"/>
      <c r="O613" s="25"/>
      <c r="Q613" s="25"/>
      <c r="R613" s="25"/>
      <c r="S613" s="25"/>
    </row>
    <row r="614" spans="1:19" x14ac:dyDescent="0.25">
      <c r="A614" s="25"/>
      <c r="B614" s="25"/>
      <c r="C614" s="25"/>
      <c r="M614" s="25"/>
      <c r="N614" s="25"/>
      <c r="O614" s="25"/>
      <c r="Q614" s="25"/>
      <c r="R614" s="25"/>
      <c r="S614" s="25"/>
    </row>
    <row r="615" spans="1:19" x14ac:dyDescent="0.25">
      <c r="A615" s="25"/>
      <c r="B615" s="25"/>
      <c r="C615" s="25"/>
      <c r="M615" s="25"/>
      <c r="N615" s="25"/>
      <c r="O615" s="25"/>
      <c r="Q615" s="25"/>
      <c r="R615" s="25"/>
      <c r="S615" s="25"/>
    </row>
    <row r="616" spans="1:19" x14ac:dyDescent="0.25">
      <c r="A616" s="25"/>
      <c r="B616" s="25"/>
      <c r="C616" s="25"/>
      <c r="M616" s="25"/>
      <c r="N616" s="25"/>
      <c r="O616" s="25"/>
      <c r="Q616" s="25"/>
      <c r="R616" s="25"/>
      <c r="S616" s="25"/>
    </row>
    <row r="617" spans="1:19" x14ac:dyDescent="0.25">
      <c r="A617" s="25"/>
      <c r="B617" s="25"/>
      <c r="C617" s="25"/>
      <c r="M617" s="25"/>
      <c r="N617" s="25"/>
      <c r="O617" s="25"/>
      <c r="Q617" s="25"/>
      <c r="R617" s="25"/>
      <c r="S617" s="25"/>
    </row>
    <row r="618" spans="1:19" x14ac:dyDescent="0.25">
      <c r="A618" s="25"/>
      <c r="B618" s="25"/>
      <c r="C618" s="25"/>
      <c r="M618" s="25"/>
      <c r="N618" s="25"/>
      <c r="O618" s="25"/>
      <c r="Q618" s="25"/>
      <c r="R618" s="25"/>
      <c r="S618" s="25"/>
    </row>
    <row r="619" spans="1:19" x14ac:dyDescent="0.25">
      <c r="A619" s="25"/>
      <c r="B619" s="25"/>
      <c r="C619" s="25"/>
      <c r="M619" s="25"/>
      <c r="N619" s="25"/>
      <c r="O619" s="25"/>
      <c r="Q619" s="25"/>
      <c r="R619" s="25"/>
      <c r="S619" s="25"/>
    </row>
    <row r="620" spans="1:19" x14ac:dyDescent="0.25">
      <c r="A620" s="25"/>
      <c r="B620" s="25"/>
      <c r="C620" s="25"/>
      <c r="M620" s="25"/>
      <c r="N620" s="25"/>
      <c r="O620" s="25"/>
      <c r="Q620" s="25"/>
      <c r="R620" s="25"/>
      <c r="S620" s="25"/>
    </row>
    <row r="621" spans="1:19" x14ac:dyDescent="0.25">
      <c r="A621" s="25"/>
      <c r="B621" s="25"/>
      <c r="C621" s="25"/>
      <c r="M621" s="25"/>
      <c r="N621" s="25"/>
      <c r="O621" s="25"/>
      <c r="Q621" s="25"/>
      <c r="R621" s="25"/>
      <c r="S621" s="25"/>
    </row>
    <row r="622" spans="1:19" x14ac:dyDescent="0.25">
      <c r="A622" s="25"/>
      <c r="B622" s="25"/>
      <c r="C622" s="25"/>
      <c r="M622" s="25"/>
      <c r="N622" s="25"/>
      <c r="O622" s="25"/>
      <c r="Q622" s="25"/>
      <c r="R622" s="25"/>
      <c r="S622" s="25"/>
    </row>
    <row r="623" spans="1:19" x14ac:dyDescent="0.25">
      <c r="A623" s="25"/>
      <c r="B623" s="25"/>
      <c r="C623" s="25"/>
      <c r="M623" s="25"/>
      <c r="N623" s="25"/>
      <c r="O623" s="25"/>
      <c r="Q623" s="25"/>
      <c r="R623" s="25"/>
      <c r="S623" s="25"/>
    </row>
    <row r="624" spans="1:19" x14ac:dyDescent="0.25">
      <c r="A624" s="25"/>
      <c r="B624" s="25"/>
      <c r="C624" s="25"/>
      <c r="M624" s="25"/>
      <c r="N624" s="25"/>
      <c r="O624" s="25"/>
      <c r="Q624" s="25"/>
      <c r="R624" s="25"/>
      <c r="S624" s="25"/>
    </row>
    <row r="625" spans="1:19" x14ac:dyDescent="0.25">
      <c r="A625" s="25"/>
      <c r="B625" s="25"/>
      <c r="C625" s="25"/>
      <c r="M625" s="25"/>
      <c r="N625" s="25"/>
      <c r="O625" s="25"/>
      <c r="Q625" s="25"/>
      <c r="R625" s="25"/>
      <c r="S625" s="25"/>
    </row>
    <row r="626" spans="1:19" x14ac:dyDescent="0.25">
      <c r="A626" s="25"/>
      <c r="B626" s="25"/>
      <c r="C626" s="25"/>
      <c r="M626" s="25"/>
      <c r="N626" s="25"/>
      <c r="O626" s="25"/>
      <c r="Q626" s="25"/>
      <c r="R626" s="25"/>
      <c r="S626" s="25"/>
    </row>
    <row r="627" spans="1:19" x14ac:dyDescent="0.25">
      <c r="A627" s="25"/>
      <c r="B627" s="25"/>
      <c r="C627" s="25"/>
      <c r="M627" s="25"/>
      <c r="N627" s="25"/>
      <c r="O627" s="25"/>
      <c r="Q627" s="25"/>
      <c r="R627" s="25"/>
      <c r="S627" s="25"/>
    </row>
    <row r="628" spans="1:19" x14ac:dyDescent="0.25">
      <c r="A628" s="25"/>
      <c r="B628" s="25"/>
      <c r="C628" s="25"/>
      <c r="M628" s="25"/>
      <c r="N628" s="25"/>
      <c r="O628" s="25"/>
      <c r="Q628" s="25"/>
      <c r="R628" s="25"/>
      <c r="S628" s="25"/>
    </row>
    <row r="629" spans="1:19" x14ac:dyDescent="0.25">
      <c r="A629" s="25"/>
      <c r="B629" s="25"/>
      <c r="C629" s="25"/>
      <c r="M629" s="25"/>
      <c r="N629" s="25"/>
      <c r="O629" s="25"/>
      <c r="Q629" s="25"/>
      <c r="R629" s="25"/>
      <c r="S629" s="25"/>
    </row>
    <row r="630" spans="1:19" x14ac:dyDescent="0.25">
      <c r="A630" s="25"/>
      <c r="B630" s="25"/>
      <c r="C630" s="25"/>
      <c r="M630" s="25"/>
      <c r="N630" s="25"/>
      <c r="O630" s="25"/>
      <c r="Q630" s="25"/>
      <c r="R630" s="25"/>
      <c r="S630" s="25"/>
    </row>
    <row r="631" spans="1:19" x14ac:dyDescent="0.25">
      <c r="A631" s="25"/>
      <c r="B631" s="25"/>
      <c r="C631" s="25"/>
      <c r="M631" s="25"/>
      <c r="N631" s="25"/>
      <c r="O631" s="25"/>
      <c r="Q631" s="25"/>
      <c r="R631" s="25"/>
      <c r="S631" s="25"/>
    </row>
    <row r="632" spans="1:19" x14ac:dyDescent="0.25">
      <c r="A632" s="25"/>
      <c r="B632" s="25"/>
      <c r="C632" s="25"/>
      <c r="M632" s="25"/>
      <c r="N632" s="25"/>
      <c r="O632" s="25"/>
      <c r="Q632" s="25"/>
      <c r="R632" s="25"/>
      <c r="S632" s="25"/>
    </row>
    <row r="633" spans="1:19" x14ac:dyDescent="0.25">
      <c r="A633" s="25"/>
      <c r="B633" s="25"/>
      <c r="C633" s="25"/>
      <c r="M633" s="25"/>
      <c r="N633" s="25"/>
      <c r="O633" s="25"/>
      <c r="Q633" s="25"/>
      <c r="R633" s="25"/>
      <c r="S633" s="25"/>
    </row>
    <row r="634" spans="1:19" x14ac:dyDescent="0.25">
      <c r="A634" s="25"/>
      <c r="B634" s="25"/>
      <c r="C634" s="25"/>
      <c r="M634" s="25"/>
      <c r="N634" s="25"/>
      <c r="O634" s="25"/>
      <c r="Q634" s="25"/>
      <c r="R634" s="25"/>
      <c r="S634" s="25"/>
    </row>
    <row r="635" spans="1:19" x14ac:dyDescent="0.25">
      <c r="A635" s="25"/>
      <c r="B635" s="25"/>
      <c r="C635" s="25"/>
      <c r="M635" s="25"/>
      <c r="N635" s="25"/>
      <c r="O635" s="25"/>
      <c r="Q635" s="25"/>
      <c r="R635" s="25"/>
      <c r="S635" s="25"/>
    </row>
    <row r="636" spans="1:19" x14ac:dyDescent="0.25">
      <c r="A636" s="25"/>
      <c r="B636" s="25"/>
      <c r="C636" s="25"/>
      <c r="M636" s="25"/>
      <c r="N636" s="25"/>
      <c r="O636" s="25"/>
      <c r="Q636" s="25"/>
      <c r="R636" s="25"/>
      <c r="S636" s="25"/>
    </row>
    <row r="637" spans="1:19" x14ac:dyDescent="0.25">
      <c r="A637" s="25"/>
      <c r="B637" s="25"/>
      <c r="C637" s="25"/>
      <c r="M637" s="25"/>
      <c r="N637" s="25"/>
      <c r="O637" s="25"/>
      <c r="Q637" s="25"/>
      <c r="R637" s="25"/>
      <c r="S637" s="25"/>
    </row>
    <row r="638" spans="1:19" x14ac:dyDescent="0.25">
      <c r="A638" s="25"/>
      <c r="B638" s="25"/>
      <c r="C638" s="25"/>
      <c r="M638" s="25"/>
      <c r="N638" s="25"/>
      <c r="O638" s="25"/>
      <c r="Q638" s="25"/>
      <c r="R638" s="25"/>
      <c r="S638" s="25"/>
    </row>
    <row r="639" spans="1:19" x14ac:dyDescent="0.25">
      <c r="A639" s="25"/>
      <c r="B639" s="25"/>
      <c r="C639" s="25"/>
      <c r="M639" s="25"/>
      <c r="N639" s="25"/>
      <c r="O639" s="25"/>
      <c r="Q639" s="25"/>
      <c r="R639" s="25"/>
      <c r="S639" s="25"/>
    </row>
    <row r="640" spans="1:19" x14ac:dyDescent="0.25">
      <c r="A640" s="25"/>
      <c r="B640" s="25"/>
      <c r="C640" s="25"/>
      <c r="M640" s="25"/>
      <c r="N640" s="25"/>
      <c r="O640" s="25"/>
      <c r="Q640" s="25"/>
      <c r="R640" s="25"/>
      <c r="S640" s="25"/>
    </row>
    <row r="641" spans="1:19" x14ac:dyDescent="0.25">
      <c r="A641" s="25"/>
      <c r="B641" s="25"/>
      <c r="C641" s="25"/>
      <c r="M641" s="25"/>
      <c r="N641" s="25"/>
      <c r="O641" s="25"/>
      <c r="Q641" s="25"/>
      <c r="R641" s="25"/>
      <c r="S641" s="25"/>
    </row>
    <row r="642" spans="1:19" x14ac:dyDescent="0.25">
      <c r="A642" s="25"/>
      <c r="B642" s="25"/>
      <c r="C642" s="25"/>
      <c r="M642" s="25"/>
      <c r="N642" s="25"/>
      <c r="O642" s="25"/>
      <c r="Q642" s="25"/>
      <c r="R642" s="25"/>
      <c r="S642" s="25"/>
    </row>
    <row r="643" spans="1:19" x14ac:dyDescent="0.25">
      <c r="A643" s="25"/>
      <c r="B643" s="25"/>
      <c r="C643" s="25"/>
      <c r="M643" s="25"/>
      <c r="N643" s="25"/>
      <c r="O643" s="25"/>
      <c r="Q643" s="25"/>
      <c r="R643" s="25"/>
      <c r="S643" s="25"/>
    </row>
    <row r="644" spans="1:19" x14ac:dyDescent="0.25">
      <c r="A644" s="25"/>
      <c r="B644" s="25"/>
      <c r="C644" s="25"/>
      <c r="M644" s="25"/>
      <c r="N644" s="25"/>
      <c r="O644" s="25"/>
      <c r="Q644" s="25"/>
      <c r="R644" s="25"/>
      <c r="S644" s="25"/>
    </row>
    <row r="645" spans="1:19" x14ac:dyDescent="0.25">
      <c r="A645" s="25"/>
      <c r="B645" s="25"/>
      <c r="C645" s="25"/>
      <c r="M645" s="25"/>
      <c r="N645" s="25"/>
      <c r="O645" s="25"/>
      <c r="Q645" s="25"/>
      <c r="R645" s="25"/>
      <c r="S645" s="25"/>
    </row>
    <row r="646" spans="1:19" x14ac:dyDescent="0.25">
      <c r="A646" s="25"/>
      <c r="B646" s="25"/>
      <c r="C646" s="25"/>
      <c r="M646" s="25"/>
      <c r="N646" s="25"/>
      <c r="O646" s="25"/>
      <c r="Q646" s="25"/>
      <c r="R646" s="25"/>
      <c r="S646" s="25"/>
    </row>
    <row r="647" spans="1:19" x14ac:dyDescent="0.25">
      <c r="A647" s="25"/>
      <c r="B647" s="25"/>
      <c r="C647" s="25"/>
      <c r="M647" s="25"/>
      <c r="N647" s="25"/>
      <c r="O647" s="25"/>
      <c r="Q647" s="25"/>
      <c r="R647" s="25"/>
      <c r="S647" s="25"/>
    </row>
    <row r="648" spans="1:19" x14ac:dyDescent="0.25">
      <c r="A648" s="25"/>
      <c r="B648" s="25"/>
      <c r="C648" s="25"/>
      <c r="M648" s="25"/>
      <c r="N648" s="25"/>
      <c r="O648" s="25"/>
      <c r="Q648" s="25"/>
      <c r="R648" s="25"/>
      <c r="S648" s="25"/>
    </row>
    <row r="649" spans="1:19" x14ac:dyDescent="0.25">
      <c r="A649" s="25"/>
      <c r="B649" s="25"/>
      <c r="C649" s="25"/>
      <c r="M649" s="25"/>
      <c r="N649" s="25"/>
      <c r="O649" s="25"/>
      <c r="Q649" s="25"/>
      <c r="R649" s="25"/>
      <c r="S649" s="25"/>
    </row>
    <row r="650" spans="1:19" x14ac:dyDescent="0.25">
      <c r="A650" s="25"/>
      <c r="B650" s="25"/>
      <c r="C650" s="25"/>
      <c r="M650" s="25"/>
      <c r="N650" s="25"/>
      <c r="O650" s="25"/>
      <c r="Q650" s="25"/>
      <c r="R650" s="25"/>
      <c r="S650" s="25"/>
    </row>
    <row r="651" spans="1:19" x14ac:dyDescent="0.25">
      <c r="A651" s="25"/>
      <c r="B651" s="25"/>
      <c r="C651" s="25"/>
      <c r="M651" s="25"/>
      <c r="N651" s="25"/>
      <c r="O651" s="25"/>
      <c r="Q651" s="25"/>
      <c r="R651" s="25"/>
      <c r="S651" s="25"/>
    </row>
    <row r="652" spans="1:19" x14ac:dyDescent="0.25">
      <c r="A652" s="25"/>
      <c r="B652" s="25"/>
      <c r="C652" s="25"/>
      <c r="M652" s="25"/>
      <c r="N652" s="25"/>
      <c r="O652" s="25"/>
      <c r="Q652" s="25"/>
      <c r="R652" s="25"/>
      <c r="S652" s="25"/>
    </row>
    <row r="653" spans="1:19" x14ac:dyDescent="0.25">
      <c r="A653" s="25"/>
      <c r="B653" s="25"/>
      <c r="C653" s="25"/>
      <c r="M653" s="25"/>
      <c r="N653" s="25"/>
      <c r="O653" s="25"/>
      <c r="Q653" s="25"/>
      <c r="R653" s="25"/>
      <c r="S653" s="25"/>
    </row>
    <row r="654" spans="1:19" x14ac:dyDescent="0.25">
      <c r="A654" s="25"/>
      <c r="B654" s="25"/>
      <c r="C654" s="25"/>
      <c r="M654" s="25"/>
      <c r="N654" s="25"/>
      <c r="O654" s="25"/>
      <c r="Q654" s="25"/>
      <c r="R654" s="25"/>
      <c r="S654" s="25"/>
    </row>
    <row r="655" spans="1:19" x14ac:dyDescent="0.25">
      <c r="A655" s="25"/>
      <c r="B655" s="25"/>
      <c r="C655" s="25"/>
      <c r="M655" s="25"/>
      <c r="N655" s="25"/>
      <c r="O655" s="25"/>
      <c r="Q655" s="25"/>
      <c r="R655" s="25"/>
      <c r="S655" s="25"/>
    </row>
    <row r="656" spans="1:19" x14ac:dyDescent="0.25">
      <c r="A656" s="25"/>
      <c r="B656" s="25"/>
      <c r="C656" s="25"/>
      <c r="M656" s="25"/>
      <c r="N656" s="25"/>
      <c r="O656" s="25"/>
      <c r="Q656" s="25"/>
      <c r="R656" s="25"/>
      <c r="S656" s="25"/>
    </row>
    <row r="657" spans="1:19" x14ac:dyDescent="0.25">
      <c r="A657" s="25"/>
      <c r="B657" s="25"/>
      <c r="C657" s="25"/>
      <c r="M657" s="25"/>
      <c r="N657" s="25"/>
      <c r="O657" s="25"/>
      <c r="Q657" s="25"/>
      <c r="R657" s="25"/>
      <c r="S657" s="25"/>
    </row>
    <row r="658" spans="1:19" x14ac:dyDescent="0.25">
      <c r="A658" s="25"/>
      <c r="B658" s="25"/>
      <c r="C658" s="25"/>
      <c r="M658" s="25"/>
      <c r="N658" s="25"/>
      <c r="O658" s="25"/>
      <c r="Q658" s="25"/>
      <c r="R658" s="25"/>
      <c r="S658" s="25"/>
    </row>
    <row r="659" spans="1:19" x14ac:dyDescent="0.25">
      <c r="A659" s="25"/>
      <c r="B659" s="25"/>
      <c r="C659" s="25"/>
      <c r="M659" s="25"/>
      <c r="N659" s="25"/>
      <c r="O659" s="25"/>
      <c r="Q659" s="25"/>
      <c r="R659" s="25"/>
      <c r="S659" s="25"/>
    </row>
    <row r="660" spans="1:19" x14ac:dyDescent="0.25">
      <c r="A660" s="25"/>
      <c r="B660" s="25"/>
      <c r="C660" s="25"/>
      <c r="M660" s="25"/>
      <c r="N660" s="25"/>
      <c r="O660" s="25"/>
      <c r="Q660" s="25"/>
      <c r="R660" s="25"/>
      <c r="S660" s="25"/>
    </row>
    <row r="661" spans="1:19" x14ac:dyDescent="0.25">
      <c r="A661" s="25"/>
      <c r="B661" s="25"/>
      <c r="C661" s="25"/>
      <c r="M661" s="25"/>
      <c r="N661" s="25"/>
      <c r="O661" s="25"/>
      <c r="Q661" s="25"/>
      <c r="R661" s="25"/>
      <c r="S661" s="25"/>
    </row>
    <row r="662" spans="1:19" x14ac:dyDescent="0.25">
      <c r="A662" s="25"/>
      <c r="B662" s="25"/>
      <c r="C662" s="25"/>
      <c r="M662" s="25"/>
      <c r="N662" s="25"/>
      <c r="O662" s="25"/>
      <c r="Q662" s="25"/>
      <c r="R662" s="25"/>
      <c r="S662" s="25"/>
    </row>
    <row r="663" spans="1:19" x14ac:dyDescent="0.25">
      <c r="A663" s="25"/>
      <c r="B663" s="25"/>
      <c r="C663" s="25"/>
      <c r="M663" s="25"/>
      <c r="N663" s="25"/>
      <c r="O663" s="25"/>
      <c r="Q663" s="25"/>
      <c r="R663" s="25"/>
      <c r="S663" s="25"/>
    </row>
    <row r="664" spans="1:19" x14ac:dyDescent="0.25">
      <c r="A664" s="25"/>
      <c r="B664" s="25"/>
      <c r="C664" s="25"/>
      <c r="M664" s="25"/>
      <c r="N664" s="25"/>
      <c r="O664" s="25"/>
      <c r="Q664" s="25"/>
      <c r="R664" s="25"/>
      <c r="S664" s="25"/>
    </row>
    <row r="665" spans="1:19" x14ac:dyDescent="0.25">
      <c r="A665" s="25"/>
      <c r="B665" s="25"/>
      <c r="C665" s="25"/>
      <c r="M665" s="25"/>
      <c r="N665" s="25"/>
      <c r="O665" s="25"/>
      <c r="Q665" s="25"/>
      <c r="R665" s="25"/>
      <c r="S665" s="25"/>
    </row>
    <row r="666" spans="1:19" x14ac:dyDescent="0.25">
      <c r="A666" s="25"/>
      <c r="B666" s="25"/>
      <c r="C666" s="25"/>
      <c r="M666" s="25"/>
      <c r="N666" s="25"/>
      <c r="O666" s="25"/>
      <c r="Q666" s="25"/>
      <c r="R666" s="25"/>
      <c r="S666" s="25"/>
    </row>
    <row r="667" spans="1:19" x14ac:dyDescent="0.25">
      <c r="A667" s="25"/>
      <c r="B667" s="25"/>
      <c r="C667" s="25"/>
      <c r="M667" s="25"/>
      <c r="N667" s="25"/>
      <c r="O667" s="25"/>
      <c r="Q667" s="25"/>
      <c r="R667" s="25"/>
      <c r="S667" s="25"/>
    </row>
    <row r="668" spans="1:19" x14ac:dyDescent="0.25">
      <c r="A668" s="25"/>
      <c r="B668" s="25"/>
      <c r="C668" s="25"/>
      <c r="M668" s="25"/>
      <c r="N668" s="25"/>
      <c r="O668" s="25"/>
      <c r="Q668" s="25"/>
      <c r="R668" s="25"/>
      <c r="S668" s="25"/>
    </row>
    <row r="669" spans="1:19" x14ac:dyDescent="0.25">
      <c r="A669" s="25"/>
      <c r="B669" s="25"/>
      <c r="C669" s="25"/>
      <c r="M669" s="25"/>
      <c r="N669" s="25"/>
      <c r="O669" s="25"/>
      <c r="Q669" s="25"/>
      <c r="R669" s="25"/>
      <c r="S669" s="25"/>
    </row>
    <row r="670" spans="1:19" x14ac:dyDescent="0.25">
      <c r="A670" s="25"/>
      <c r="B670" s="25"/>
      <c r="C670" s="25"/>
      <c r="M670" s="25"/>
      <c r="N670" s="25"/>
      <c r="O670" s="25"/>
      <c r="Q670" s="25"/>
      <c r="R670" s="25"/>
      <c r="S670" s="25"/>
    </row>
    <row r="671" spans="1:19" x14ac:dyDescent="0.25">
      <c r="A671" s="25"/>
      <c r="B671" s="25"/>
      <c r="C671" s="25"/>
      <c r="M671" s="25"/>
      <c r="N671" s="25"/>
      <c r="O671" s="25"/>
      <c r="Q671" s="25"/>
      <c r="R671" s="25"/>
      <c r="S671" s="25"/>
    </row>
    <row r="672" spans="1:19" x14ac:dyDescent="0.25">
      <c r="A672" s="25"/>
      <c r="B672" s="25"/>
      <c r="C672" s="25"/>
      <c r="M672" s="25"/>
      <c r="N672" s="25"/>
      <c r="O672" s="25"/>
      <c r="Q672" s="25"/>
      <c r="R672" s="25"/>
      <c r="S672" s="25"/>
    </row>
    <row r="673" spans="1:19" x14ac:dyDescent="0.25">
      <c r="A673" s="25"/>
      <c r="B673" s="25"/>
      <c r="C673" s="25"/>
      <c r="M673" s="25"/>
      <c r="N673" s="25"/>
      <c r="O673" s="25"/>
      <c r="Q673" s="25"/>
      <c r="R673" s="25"/>
      <c r="S673" s="25"/>
    </row>
    <row r="674" spans="1:19" x14ac:dyDescent="0.25">
      <c r="A674" s="25"/>
      <c r="B674" s="25"/>
      <c r="C674" s="25"/>
      <c r="M674" s="25"/>
      <c r="N674" s="25"/>
      <c r="O674" s="25"/>
      <c r="Q674" s="25"/>
      <c r="R674" s="25"/>
      <c r="S674" s="25"/>
    </row>
    <row r="675" spans="1:19" x14ac:dyDescent="0.25">
      <c r="A675" s="25"/>
      <c r="B675" s="25"/>
      <c r="C675" s="25"/>
      <c r="M675" s="25"/>
      <c r="N675" s="25"/>
      <c r="O675" s="25"/>
      <c r="Q675" s="25"/>
      <c r="R675" s="25"/>
      <c r="S675" s="25"/>
    </row>
    <row r="676" spans="1:19" x14ac:dyDescent="0.25">
      <c r="A676" s="25"/>
      <c r="B676" s="25"/>
      <c r="C676" s="25"/>
      <c r="M676" s="25"/>
      <c r="N676" s="25"/>
      <c r="O676" s="25"/>
      <c r="Q676" s="25"/>
      <c r="R676" s="25"/>
      <c r="S676" s="25"/>
    </row>
    <row r="677" spans="1:19" x14ac:dyDescent="0.25">
      <c r="A677" s="25"/>
      <c r="B677" s="25"/>
      <c r="C677" s="25"/>
      <c r="M677" s="25"/>
      <c r="N677" s="25"/>
      <c r="O677" s="25"/>
      <c r="Q677" s="25"/>
      <c r="R677" s="25"/>
      <c r="S677" s="25"/>
    </row>
    <row r="678" spans="1:19" x14ac:dyDescent="0.25">
      <c r="A678" s="25"/>
      <c r="B678" s="25"/>
      <c r="C678" s="25"/>
      <c r="M678" s="25"/>
      <c r="N678" s="25"/>
      <c r="O678" s="25"/>
      <c r="Q678" s="25"/>
      <c r="R678" s="25"/>
      <c r="S678" s="25"/>
    </row>
    <row r="679" spans="1:19" x14ac:dyDescent="0.25">
      <c r="A679" s="25"/>
      <c r="B679" s="25"/>
      <c r="C679" s="25"/>
      <c r="M679" s="25"/>
      <c r="N679" s="25"/>
      <c r="O679" s="25"/>
      <c r="Q679" s="25"/>
      <c r="R679" s="25"/>
      <c r="S679" s="25"/>
    </row>
    <row r="680" spans="1:19" x14ac:dyDescent="0.25">
      <c r="A680" s="25"/>
      <c r="B680" s="25"/>
      <c r="C680" s="25"/>
      <c r="M680" s="25"/>
      <c r="N680" s="25"/>
      <c r="O680" s="25"/>
      <c r="Q680" s="25"/>
      <c r="R680" s="25"/>
      <c r="S680" s="25"/>
    </row>
    <row r="681" spans="1:19" x14ac:dyDescent="0.25">
      <c r="A681" s="25"/>
      <c r="B681" s="25"/>
      <c r="C681" s="25"/>
      <c r="M681" s="25"/>
      <c r="N681" s="25"/>
      <c r="O681" s="25"/>
      <c r="Q681" s="25"/>
      <c r="R681" s="25"/>
      <c r="S681" s="25"/>
    </row>
    <row r="682" spans="1:19" x14ac:dyDescent="0.25">
      <c r="A682" s="25"/>
      <c r="B682" s="25"/>
      <c r="C682" s="25"/>
      <c r="M682" s="25"/>
      <c r="N682" s="25"/>
      <c r="O682" s="25"/>
      <c r="Q682" s="25"/>
      <c r="R682" s="25"/>
      <c r="S682" s="25"/>
    </row>
    <row r="683" spans="1:19" x14ac:dyDescent="0.25">
      <c r="A683" s="25"/>
      <c r="B683" s="25"/>
      <c r="C683" s="25"/>
      <c r="M683" s="25"/>
      <c r="N683" s="25"/>
      <c r="O683" s="25"/>
      <c r="Q683" s="25"/>
      <c r="R683" s="25"/>
      <c r="S683" s="25"/>
    </row>
    <row r="684" spans="1:19" x14ac:dyDescent="0.25">
      <c r="A684" s="25"/>
      <c r="B684" s="25"/>
      <c r="C684" s="25"/>
      <c r="M684" s="25"/>
      <c r="N684" s="25"/>
      <c r="O684" s="25"/>
      <c r="Q684" s="25"/>
      <c r="R684" s="25"/>
      <c r="S684" s="25"/>
    </row>
    <row r="685" spans="1:19" x14ac:dyDescent="0.25">
      <c r="A685" s="25"/>
      <c r="B685" s="25"/>
      <c r="C685" s="25"/>
      <c r="M685" s="25"/>
      <c r="N685" s="25"/>
      <c r="O685" s="25"/>
      <c r="Q685" s="25"/>
      <c r="R685" s="25"/>
      <c r="S685" s="25"/>
    </row>
    <row r="686" spans="1:19" x14ac:dyDescent="0.25">
      <c r="A686" s="25"/>
      <c r="B686" s="25"/>
      <c r="C686" s="25"/>
      <c r="M686" s="25"/>
      <c r="N686" s="25"/>
      <c r="O686" s="25"/>
      <c r="Q686" s="25"/>
      <c r="R686" s="25"/>
      <c r="S686" s="25"/>
    </row>
    <row r="687" spans="1:19" x14ac:dyDescent="0.25">
      <c r="A687" s="25"/>
      <c r="B687" s="25"/>
      <c r="C687" s="25"/>
      <c r="M687" s="25"/>
      <c r="N687" s="25"/>
      <c r="O687" s="25"/>
      <c r="Q687" s="25"/>
      <c r="R687" s="25"/>
      <c r="S687" s="25"/>
    </row>
    <row r="688" spans="1:19" x14ac:dyDescent="0.25">
      <c r="A688" s="25"/>
      <c r="B688" s="25"/>
      <c r="C688" s="25"/>
      <c r="M688" s="25"/>
      <c r="N688" s="25"/>
      <c r="O688" s="25"/>
      <c r="Q688" s="25"/>
      <c r="R688" s="25"/>
      <c r="S688" s="25"/>
    </row>
    <row r="689" spans="1:19" x14ac:dyDescent="0.25">
      <c r="A689" s="25"/>
      <c r="B689" s="25"/>
      <c r="C689" s="25"/>
      <c r="M689" s="25"/>
      <c r="N689" s="25"/>
      <c r="O689" s="25"/>
      <c r="Q689" s="25"/>
      <c r="R689" s="25"/>
      <c r="S689" s="25"/>
    </row>
    <row r="690" spans="1:19" x14ac:dyDescent="0.25">
      <c r="A690" s="25"/>
      <c r="B690" s="25"/>
      <c r="C690" s="25"/>
      <c r="M690" s="25"/>
      <c r="N690" s="25"/>
      <c r="O690" s="25"/>
      <c r="Q690" s="25"/>
      <c r="R690" s="25"/>
      <c r="S690" s="25"/>
    </row>
    <row r="691" spans="1:19" x14ac:dyDescent="0.25">
      <c r="A691" s="25"/>
      <c r="B691" s="25"/>
      <c r="C691" s="25"/>
      <c r="M691" s="25"/>
      <c r="N691" s="25"/>
      <c r="O691" s="25"/>
      <c r="Q691" s="25"/>
      <c r="R691" s="25"/>
      <c r="S691" s="25"/>
    </row>
    <row r="692" spans="1:19" x14ac:dyDescent="0.25">
      <c r="A692" s="25"/>
      <c r="B692" s="25"/>
      <c r="C692" s="25"/>
      <c r="M692" s="25"/>
      <c r="N692" s="25"/>
      <c r="O692" s="25"/>
      <c r="Q692" s="25"/>
      <c r="R692" s="25"/>
      <c r="S692" s="25"/>
    </row>
    <row r="693" spans="1:19" x14ac:dyDescent="0.25">
      <c r="A693" s="25"/>
      <c r="B693" s="25"/>
      <c r="C693" s="25"/>
      <c r="M693" s="25"/>
      <c r="N693" s="25"/>
      <c r="O693" s="25"/>
      <c r="Q693" s="25"/>
      <c r="R693" s="25"/>
      <c r="S693" s="25"/>
    </row>
    <row r="694" spans="1:19" x14ac:dyDescent="0.25">
      <c r="A694" s="25"/>
      <c r="B694" s="25"/>
      <c r="C694" s="25"/>
      <c r="M694" s="25"/>
      <c r="N694" s="25"/>
      <c r="O694" s="25"/>
      <c r="Q694" s="25"/>
      <c r="R694" s="25"/>
      <c r="S694" s="25"/>
    </row>
    <row r="695" spans="1:19" x14ac:dyDescent="0.25">
      <c r="A695" s="25"/>
      <c r="B695" s="25"/>
      <c r="C695" s="25"/>
      <c r="M695" s="25"/>
      <c r="N695" s="25"/>
      <c r="O695" s="25"/>
      <c r="Q695" s="25"/>
      <c r="R695" s="25"/>
      <c r="S695" s="25"/>
    </row>
    <row r="696" spans="1:19" x14ac:dyDescent="0.25">
      <c r="A696" s="25"/>
      <c r="B696" s="25"/>
      <c r="C696" s="25"/>
      <c r="M696" s="25"/>
      <c r="N696" s="25"/>
      <c r="O696" s="25"/>
      <c r="Q696" s="25"/>
      <c r="R696" s="25"/>
      <c r="S696" s="25"/>
    </row>
    <row r="697" spans="1:19" x14ac:dyDescent="0.25">
      <c r="A697" s="25"/>
      <c r="B697" s="25"/>
      <c r="C697" s="25"/>
      <c r="M697" s="25"/>
      <c r="N697" s="25"/>
      <c r="O697" s="25"/>
      <c r="Q697" s="25"/>
      <c r="R697" s="25"/>
      <c r="S697" s="25"/>
    </row>
    <row r="698" spans="1:19" x14ac:dyDescent="0.25">
      <c r="A698" s="25"/>
      <c r="B698" s="25"/>
      <c r="C698" s="25"/>
      <c r="M698" s="25"/>
      <c r="N698" s="25"/>
      <c r="O698" s="25"/>
      <c r="Q698" s="25"/>
      <c r="R698" s="25"/>
      <c r="S698" s="25"/>
    </row>
    <row r="699" spans="1:19" x14ac:dyDescent="0.25">
      <c r="A699" s="25"/>
      <c r="B699" s="25"/>
      <c r="C699" s="25"/>
      <c r="M699" s="25"/>
      <c r="N699" s="25"/>
      <c r="O699" s="25"/>
      <c r="Q699" s="25"/>
      <c r="R699" s="25"/>
      <c r="S699" s="25"/>
    </row>
    <row r="700" spans="1:19" x14ac:dyDescent="0.25">
      <c r="A700" s="25"/>
      <c r="B700" s="25"/>
      <c r="C700" s="25"/>
      <c r="M700" s="25"/>
      <c r="N700" s="25"/>
      <c r="O700" s="25"/>
      <c r="Q700" s="25"/>
      <c r="R700" s="25"/>
      <c r="S700" s="25"/>
    </row>
    <row r="701" spans="1:19" x14ac:dyDescent="0.25">
      <c r="A701" s="25"/>
      <c r="B701" s="25"/>
      <c r="C701" s="25"/>
      <c r="M701" s="25"/>
      <c r="N701" s="25"/>
      <c r="O701" s="25"/>
      <c r="Q701" s="25"/>
      <c r="R701" s="25"/>
      <c r="S701" s="25"/>
    </row>
    <row r="702" spans="1:19" x14ac:dyDescent="0.25">
      <c r="A702" s="25"/>
      <c r="B702" s="25"/>
      <c r="C702" s="25"/>
      <c r="M702" s="25"/>
      <c r="N702" s="25"/>
      <c r="O702" s="25"/>
      <c r="Q702" s="25"/>
      <c r="R702" s="25"/>
      <c r="S702" s="25"/>
    </row>
    <row r="703" spans="1:19" x14ac:dyDescent="0.25">
      <c r="A703" s="25"/>
      <c r="B703" s="25"/>
      <c r="C703" s="25"/>
      <c r="M703" s="25"/>
      <c r="N703" s="25"/>
      <c r="O703" s="25"/>
      <c r="Q703" s="25"/>
      <c r="R703" s="25"/>
      <c r="S703" s="25"/>
    </row>
    <row r="704" spans="1:19" x14ac:dyDescent="0.25">
      <c r="A704" s="25"/>
      <c r="B704" s="25"/>
      <c r="C704" s="25"/>
      <c r="M704" s="25"/>
      <c r="N704" s="25"/>
      <c r="O704" s="25"/>
      <c r="Q704" s="25"/>
      <c r="R704" s="25"/>
      <c r="S704" s="25"/>
    </row>
    <row r="705" spans="1:19" x14ac:dyDescent="0.25">
      <c r="A705" s="25"/>
      <c r="B705" s="25"/>
      <c r="C705" s="25"/>
      <c r="M705" s="25"/>
      <c r="N705" s="25"/>
      <c r="O705" s="25"/>
      <c r="Q705" s="25"/>
      <c r="R705" s="25"/>
      <c r="S705" s="25"/>
    </row>
    <row r="706" spans="1:19" x14ac:dyDescent="0.25">
      <c r="A706" s="25"/>
      <c r="B706" s="25"/>
      <c r="C706" s="25"/>
      <c r="M706" s="25"/>
      <c r="N706" s="25"/>
      <c r="O706" s="25"/>
      <c r="Q706" s="25"/>
      <c r="R706" s="25"/>
      <c r="S706" s="25"/>
    </row>
    <row r="707" spans="1:19" x14ac:dyDescent="0.25">
      <c r="A707" s="25"/>
      <c r="B707" s="25"/>
      <c r="C707" s="25"/>
      <c r="M707" s="25"/>
      <c r="N707" s="25"/>
      <c r="O707" s="25"/>
      <c r="Q707" s="25"/>
      <c r="R707" s="25"/>
      <c r="S707" s="25"/>
    </row>
    <row r="708" spans="1:19" x14ac:dyDescent="0.25">
      <c r="A708" s="25"/>
      <c r="B708" s="25"/>
      <c r="C708" s="25"/>
      <c r="M708" s="25"/>
      <c r="N708" s="25"/>
      <c r="O708" s="25"/>
      <c r="Q708" s="25"/>
      <c r="R708" s="25"/>
      <c r="S708" s="25"/>
    </row>
    <row r="709" spans="1:19" x14ac:dyDescent="0.25">
      <c r="A709" s="25"/>
      <c r="B709" s="25"/>
      <c r="C709" s="25"/>
      <c r="M709" s="25"/>
      <c r="N709" s="25"/>
      <c r="O709" s="25"/>
      <c r="Q709" s="25"/>
      <c r="R709" s="25"/>
      <c r="S709" s="25"/>
    </row>
    <row r="710" spans="1:19" x14ac:dyDescent="0.25">
      <c r="A710" s="25"/>
      <c r="B710" s="25"/>
      <c r="C710" s="25"/>
      <c r="M710" s="25"/>
      <c r="N710" s="25"/>
      <c r="O710" s="25"/>
      <c r="Q710" s="25"/>
      <c r="R710" s="25"/>
      <c r="S710" s="25"/>
    </row>
    <row r="711" spans="1:19" x14ac:dyDescent="0.25">
      <c r="A711" s="25"/>
      <c r="B711" s="25"/>
      <c r="C711" s="25"/>
      <c r="M711" s="25"/>
      <c r="N711" s="25"/>
      <c r="O711" s="25"/>
      <c r="Q711" s="25"/>
      <c r="R711" s="25"/>
      <c r="S711" s="25"/>
    </row>
    <row r="712" spans="1:19" x14ac:dyDescent="0.25">
      <c r="A712" s="25"/>
      <c r="B712" s="25"/>
      <c r="C712" s="25"/>
      <c r="M712" s="25"/>
      <c r="N712" s="25"/>
      <c r="O712" s="25"/>
      <c r="Q712" s="25"/>
      <c r="R712" s="25"/>
      <c r="S712" s="25"/>
    </row>
    <row r="713" spans="1:19" x14ac:dyDescent="0.25">
      <c r="A713" s="25"/>
      <c r="B713" s="25"/>
      <c r="C713" s="25"/>
      <c r="M713" s="25"/>
      <c r="N713" s="25"/>
      <c r="O713" s="25"/>
      <c r="Q713" s="25"/>
      <c r="R713" s="25"/>
      <c r="S713" s="25"/>
    </row>
    <row r="714" spans="1:19" x14ac:dyDescent="0.25">
      <c r="A714" s="25"/>
      <c r="B714" s="25"/>
      <c r="C714" s="25"/>
      <c r="M714" s="25"/>
      <c r="N714" s="25"/>
      <c r="O714" s="25"/>
      <c r="Q714" s="25"/>
      <c r="R714" s="25"/>
      <c r="S714" s="25"/>
    </row>
    <row r="715" spans="1:19" x14ac:dyDescent="0.25">
      <c r="A715" s="25"/>
      <c r="B715" s="25"/>
      <c r="C715" s="25"/>
      <c r="M715" s="25"/>
      <c r="N715" s="25"/>
      <c r="O715" s="25"/>
      <c r="Q715" s="25"/>
      <c r="R715" s="25"/>
      <c r="S715" s="25"/>
    </row>
    <row r="716" spans="1:19" x14ac:dyDescent="0.25">
      <c r="A716" s="25"/>
      <c r="B716" s="25"/>
      <c r="C716" s="25"/>
      <c r="M716" s="25"/>
      <c r="N716" s="25"/>
      <c r="O716" s="25"/>
      <c r="Q716" s="25"/>
      <c r="R716" s="25"/>
      <c r="S716" s="25"/>
    </row>
    <row r="717" spans="1:19" x14ac:dyDescent="0.25">
      <c r="A717" s="25"/>
      <c r="B717" s="25"/>
      <c r="C717" s="25"/>
      <c r="M717" s="25"/>
      <c r="N717" s="25"/>
      <c r="O717" s="25"/>
      <c r="Q717" s="25"/>
      <c r="R717" s="25"/>
      <c r="S717" s="25"/>
    </row>
    <row r="718" spans="1:19" x14ac:dyDescent="0.25">
      <c r="A718" s="25"/>
      <c r="B718" s="25"/>
      <c r="C718" s="25"/>
      <c r="M718" s="25"/>
      <c r="N718" s="25"/>
      <c r="O718" s="25"/>
      <c r="Q718" s="25"/>
      <c r="R718" s="25"/>
      <c r="S718" s="25"/>
    </row>
    <row r="719" spans="1:19" x14ac:dyDescent="0.25">
      <c r="A719" s="25"/>
      <c r="B719" s="25"/>
      <c r="C719" s="25"/>
      <c r="M719" s="25"/>
      <c r="N719" s="25"/>
      <c r="O719" s="25"/>
      <c r="Q719" s="25"/>
      <c r="R719" s="25"/>
      <c r="S719" s="25"/>
    </row>
    <row r="720" spans="1:19" x14ac:dyDescent="0.25">
      <c r="A720" s="25"/>
      <c r="B720" s="25"/>
      <c r="C720" s="25"/>
      <c r="M720" s="25"/>
      <c r="N720" s="25"/>
      <c r="O720" s="25"/>
      <c r="Q720" s="25"/>
      <c r="R720" s="25"/>
      <c r="S720" s="25"/>
    </row>
    <row r="721" spans="1:19" x14ac:dyDescent="0.25">
      <c r="A721" s="25"/>
      <c r="B721" s="25"/>
      <c r="C721" s="25"/>
      <c r="M721" s="25"/>
      <c r="N721" s="25"/>
      <c r="O721" s="25"/>
      <c r="Q721" s="25"/>
      <c r="R721" s="25"/>
      <c r="S721" s="25"/>
    </row>
    <row r="722" spans="1:19" x14ac:dyDescent="0.25">
      <c r="A722" s="25"/>
      <c r="B722" s="25"/>
      <c r="C722" s="25"/>
      <c r="M722" s="25"/>
      <c r="N722" s="25"/>
      <c r="O722" s="25"/>
      <c r="Q722" s="25"/>
      <c r="R722" s="25"/>
      <c r="S722" s="25"/>
    </row>
    <row r="723" spans="1:19" x14ac:dyDescent="0.25">
      <c r="A723" s="25"/>
      <c r="B723" s="25"/>
      <c r="C723" s="25"/>
      <c r="M723" s="25"/>
      <c r="N723" s="25"/>
      <c r="O723" s="25"/>
      <c r="Q723" s="25"/>
      <c r="R723" s="25"/>
      <c r="S723" s="25"/>
    </row>
    <row r="724" spans="1:19" x14ac:dyDescent="0.25">
      <c r="A724" s="25"/>
      <c r="B724" s="25"/>
      <c r="C724" s="25"/>
      <c r="M724" s="25"/>
      <c r="N724" s="25"/>
      <c r="O724" s="25"/>
      <c r="Q724" s="25"/>
      <c r="R724" s="25"/>
      <c r="S724" s="25"/>
    </row>
    <row r="725" spans="1:19" x14ac:dyDescent="0.25">
      <c r="A725" s="25"/>
      <c r="B725" s="25"/>
      <c r="C725" s="25"/>
      <c r="M725" s="25"/>
      <c r="N725" s="25"/>
      <c r="O725" s="25"/>
      <c r="Q725" s="25"/>
      <c r="R725" s="25"/>
      <c r="S725" s="25"/>
    </row>
    <row r="726" spans="1:19" x14ac:dyDescent="0.25">
      <c r="A726" s="25"/>
      <c r="B726" s="25"/>
      <c r="C726" s="25"/>
      <c r="M726" s="25"/>
      <c r="N726" s="25"/>
      <c r="O726" s="25"/>
      <c r="Q726" s="25"/>
      <c r="R726" s="25"/>
      <c r="S726" s="25"/>
    </row>
    <row r="727" spans="1:19" x14ac:dyDescent="0.25">
      <c r="A727" s="25"/>
      <c r="B727" s="25"/>
      <c r="C727" s="25"/>
      <c r="M727" s="25"/>
      <c r="N727" s="25"/>
      <c r="O727" s="25"/>
      <c r="Q727" s="25"/>
      <c r="R727" s="25"/>
      <c r="S727" s="25"/>
    </row>
    <row r="728" spans="1:19" x14ac:dyDescent="0.25">
      <c r="A728" s="25"/>
      <c r="B728" s="25"/>
      <c r="C728" s="25"/>
      <c r="M728" s="25"/>
      <c r="N728" s="25"/>
      <c r="O728" s="25"/>
      <c r="Q728" s="25"/>
      <c r="R728" s="25"/>
      <c r="S728" s="25"/>
    </row>
    <row r="729" spans="1:19" x14ac:dyDescent="0.25">
      <c r="A729" s="25"/>
      <c r="B729" s="25"/>
      <c r="C729" s="25"/>
      <c r="M729" s="25"/>
      <c r="N729" s="25"/>
      <c r="O729" s="25"/>
      <c r="Q729" s="25"/>
      <c r="R729" s="25"/>
      <c r="S729" s="25"/>
    </row>
    <row r="730" spans="1:19" x14ac:dyDescent="0.25">
      <c r="A730" s="25"/>
      <c r="B730" s="25"/>
      <c r="C730" s="25"/>
      <c r="M730" s="25"/>
      <c r="N730" s="25"/>
      <c r="O730" s="25"/>
      <c r="Q730" s="25"/>
      <c r="R730" s="25"/>
      <c r="S730" s="25"/>
    </row>
    <row r="731" spans="1:19" x14ac:dyDescent="0.25">
      <c r="A731" s="25"/>
      <c r="B731" s="25"/>
      <c r="C731" s="25"/>
      <c r="M731" s="25"/>
      <c r="N731" s="25"/>
      <c r="O731" s="25"/>
      <c r="Q731" s="25"/>
      <c r="R731" s="25"/>
      <c r="S731" s="25"/>
    </row>
    <row r="732" spans="1:19" x14ac:dyDescent="0.25">
      <c r="A732" s="25"/>
      <c r="B732" s="25"/>
      <c r="C732" s="25"/>
      <c r="M732" s="25"/>
      <c r="N732" s="25"/>
      <c r="O732" s="25"/>
      <c r="Q732" s="25"/>
      <c r="R732" s="25"/>
      <c r="S732" s="25"/>
    </row>
    <row r="733" spans="1:19" x14ac:dyDescent="0.25">
      <c r="A733" s="25"/>
      <c r="B733" s="25"/>
      <c r="C733" s="25"/>
      <c r="M733" s="25"/>
      <c r="N733" s="25"/>
      <c r="O733" s="25"/>
      <c r="Q733" s="25"/>
      <c r="R733" s="25"/>
      <c r="S733" s="25"/>
    </row>
    <row r="734" spans="1:19" x14ac:dyDescent="0.25">
      <c r="A734" s="25"/>
      <c r="B734" s="25"/>
      <c r="C734" s="25"/>
      <c r="M734" s="25"/>
      <c r="N734" s="25"/>
      <c r="O734" s="25"/>
      <c r="Q734" s="25"/>
      <c r="R734" s="25"/>
      <c r="S734" s="25"/>
    </row>
    <row r="735" spans="1:19" x14ac:dyDescent="0.25">
      <c r="A735" s="25"/>
      <c r="B735" s="25"/>
      <c r="C735" s="25"/>
      <c r="M735" s="25"/>
      <c r="N735" s="25"/>
      <c r="O735" s="25"/>
      <c r="Q735" s="25"/>
      <c r="R735" s="25"/>
      <c r="S735" s="25"/>
    </row>
    <row r="736" spans="1:19" x14ac:dyDescent="0.25">
      <c r="A736" s="25"/>
      <c r="B736" s="25"/>
      <c r="C736" s="25"/>
      <c r="M736" s="25"/>
      <c r="N736" s="25"/>
      <c r="O736" s="25"/>
      <c r="Q736" s="25"/>
      <c r="R736" s="25"/>
      <c r="S736" s="25"/>
    </row>
    <row r="737" spans="1:19" x14ac:dyDescent="0.25">
      <c r="A737" s="25"/>
      <c r="B737" s="25"/>
      <c r="C737" s="25"/>
      <c r="M737" s="25"/>
      <c r="N737" s="25"/>
      <c r="O737" s="25"/>
      <c r="Q737" s="25"/>
      <c r="R737" s="25"/>
      <c r="S737" s="25"/>
    </row>
    <row r="738" spans="1:19" x14ac:dyDescent="0.25">
      <c r="A738" s="25"/>
      <c r="B738" s="25"/>
      <c r="C738" s="25"/>
      <c r="M738" s="25"/>
      <c r="N738" s="25"/>
      <c r="O738" s="25"/>
      <c r="Q738" s="25"/>
      <c r="R738" s="25"/>
      <c r="S738" s="25"/>
    </row>
    <row r="739" spans="1:19" x14ac:dyDescent="0.25">
      <c r="A739" s="25"/>
      <c r="B739" s="25"/>
      <c r="C739" s="25"/>
      <c r="M739" s="25"/>
      <c r="N739" s="25"/>
      <c r="O739" s="25"/>
      <c r="Q739" s="25"/>
      <c r="R739" s="25"/>
      <c r="S739" s="25"/>
    </row>
    <row r="740" spans="1:19" x14ac:dyDescent="0.25">
      <c r="A740" s="25"/>
      <c r="B740" s="25"/>
      <c r="C740" s="25"/>
      <c r="M740" s="25"/>
      <c r="N740" s="25"/>
      <c r="O740" s="25"/>
      <c r="Q740" s="25"/>
      <c r="R740" s="25"/>
      <c r="S740" s="25"/>
    </row>
    <row r="741" spans="1:19" x14ac:dyDescent="0.25">
      <c r="A741" s="25"/>
      <c r="B741" s="25"/>
      <c r="C741" s="25"/>
      <c r="M741" s="25"/>
      <c r="N741" s="25"/>
      <c r="O741" s="25"/>
      <c r="Q741" s="25"/>
      <c r="R741" s="25"/>
      <c r="S741" s="25"/>
    </row>
    <row r="742" spans="1:19" x14ac:dyDescent="0.25">
      <c r="A742" s="25"/>
      <c r="B742" s="25"/>
      <c r="C742" s="25"/>
      <c r="M742" s="25"/>
      <c r="N742" s="25"/>
      <c r="O742" s="25"/>
      <c r="Q742" s="25"/>
      <c r="R742" s="25"/>
      <c r="S742" s="25"/>
    </row>
    <row r="743" spans="1:19" x14ac:dyDescent="0.25">
      <c r="A743" s="25"/>
      <c r="B743" s="25"/>
      <c r="C743" s="25"/>
      <c r="M743" s="25"/>
      <c r="N743" s="25"/>
      <c r="O743" s="25"/>
      <c r="Q743" s="25"/>
      <c r="R743" s="25"/>
      <c r="S743" s="25"/>
    </row>
    <row r="744" spans="1:19" x14ac:dyDescent="0.25">
      <c r="A744" s="25"/>
      <c r="B744" s="25"/>
      <c r="C744" s="25"/>
      <c r="M744" s="25"/>
      <c r="N744" s="25"/>
      <c r="O744" s="25"/>
      <c r="Q744" s="25"/>
      <c r="R744" s="25"/>
      <c r="S744" s="25"/>
    </row>
    <row r="745" spans="1:19" x14ac:dyDescent="0.25">
      <c r="A745" s="25"/>
      <c r="B745" s="25"/>
      <c r="C745" s="25"/>
      <c r="M745" s="25"/>
      <c r="N745" s="25"/>
      <c r="O745" s="25"/>
      <c r="Q745" s="25"/>
      <c r="R745" s="25"/>
      <c r="S745" s="25"/>
    </row>
    <row r="746" spans="1:19" x14ac:dyDescent="0.25">
      <c r="A746" s="25"/>
      <c r="B746" s="25"/>
      <c r="C746" s="25"/>
      <c r="M746" s="25"/>
      <c r="N746" s="25"/>
      <c r="O746" s="25"/>
      <c r="Q746" s="25"/>
      <c r="R746" s="25"/>
      <c r="S746" s="25"/>
    </row>
    <row r="747" spans="1:19" x14ac:dyDescent="0.25">
      <c r="A747" s="25"/>
      <c r="B747" s="25"/>
      <c r="C747" s="25"/>
      <c r="M747" s="25"/>
      <c r="N747" s="25"/>
      <c r="O747" s="25"/>
      <c r="Q747" s="25"/>
      <c r="R747" s="25"/>
      <c r="S747" s="25"/>
    </row>
    <row r="748" spans="1:19" x14ac:dyDescent="0.25">
      <c r="A748" s="25"/>
      <c r="B748" s="25"/>
      <c r="C748" s="25"/>
      <c r="M748" s="25"/>
      <c r="N748" s="25"/>
      <c r="O748" s="25"/>
      <c r="Q748" s="25"/>
      <c r="R748" s="25"/>
      <c r="S748" s="25"/>
    </row>
    <row r="749" spans="1:19" x14ac:dyDescent="0.25">
      <c r="A749" s="25"/>
      <c r="B749" s="25"/>
      <c r="C749" s="25"/>
      <c r="M749" s="25"/>
      <c r="N749" s="25"/>
      <c r="O749" s="25"/>
      <c r="Q749" s="25"/>
      <c r="R749" s="25"/>
      <c r="S749" s="25"/>
    </row>
    <row r="750" spans="1:19" x14ac:dyDescent="0.25">
      <c r="A750" s="25"/>
      <c r="B750" s="25"/>
      <c r="C750" s="25"/>
      <c r="M750" s="25"/>
      <c r="N750" s="25"/>
      <c r="O750" s="25"/>
      <c r="Q750" s="25"/>
      <c r="R750" s="25"/>
      <c r="S750" s="25"/>
    </row>
    <row r="751" spans="1:19" x14ac:dyDescent="0.25">
      <c r="A751" s="25"/>
      <c r="B751" s="25"/>
      <c r="C751" s="25"/>
      <c r="M751" s="25"/>
      <c r="N751" s="25"/>
      <c r="O751" s="25"/>
      <c r="Q751" s="25"/>
      <c r="R751" s="25"/>
      <c r="S751" s="25"/>
    </row>
    <row r="752" spans="1:19" x14ac:dyDescent="0.25">
      <c r="A752" s="25"/>
      <c r="B752" s="25"/>
      <c r="C752" s="25"/>
      <c r="Q752" s="25"/>
      <c r="R752" s="25"/>
      <c r="S752" s="25"/>
    </row>
    <row r="753" spans="1:19" x14ac:dyDescent="0.25">
      <c r="A753" s="25"/>
      <c r="B753" s="25"/>
      <c r="C753" s="25"/>
      <c r="Q753" s="25"/>
      <c r="R753" s="25"/>
      <c r="S753" s="25"/>
    </row>
    <row r="754" spans="1:19" x14ac:dyDescent="0.25">
      <c r="A754" s="25"/>
      <c r="B754" s="25"/>
      <c r="C754" s="25"/>
      <c r="Q754" s="25"/>
      <c r="R754" s="25"/>
      <c r="S754" s="25"/>
    </row>
    <row r="755" spans="1:19" x14ac:dyDescent="0.25">
      <c r="A755" s="25"/>
      <c r="B755" s="25"/>
      <c r="C755" s="25"/>
      <c r="Q755" s="25"/>
      <c r="R755" s="25"/>
      <c r="S755" s="25"/>
    </row>
    <row r="756" spans="1:19" x14ac:dyDescent="0.25">
      <c r="A756" s="25"/>
      <c r="B756" s="25"/>
      <c r="C756" s="25"/>
      <c r="Q756" s="25"/>
      <c r="R756" s="25"/>
      <c r="S756" s="25"/>
    </row>
    <row r="757" spans="1:19" x14ac:dyDescent="0.25">
      <c r="A757" s="25"/>
      <c r="B757" s="25"/>
      <c r="C757" s="25"/>
      <c r="Q757" s="25"/>
      <c r="R757" s="25"/>
      <c r="S757" s="25"/>
    </row>
    <row r="758" spans="1:19" x14ac:dyDescent="0.25">
      <c r="A758" s="25"/>
      <c r="B758" s="25"/>
      <c r="C758" s="25"/>
      <c r="Q758" s="25"/>
      <c r="R758" s="25"/>
      <c r="S758" s="25"/>
    </row>
    <row r="759" spans="1:19" x14ac:dyDescent="0.25">
      <c r="A759" s="25"/>
      <c r="B759" s="25"/>
      <c r="C759" s="25"/>
      <c r="Q759" s="25"/>
      <c r="R759" s="25"/>
      <c r="S759" s="25"/>
    </row>
    <row r="760" spans="1:19" x14ac:dyDescent="0.25">
      <c r="A760" s="25"/>
      <c r="B760" s="25"/>
      <c r="C760" s="25"/>
      <c r="Q760" s="25"/>
      <c r="R760" s="25"/>
      <c r="S760" s="25"/>
    </row>
    <row r="761" spans="1:19" x14ac:dyDescent="0.25">
      <c r="A761" s="25"/>
      <c r="B761" s="25"/>
      <c r="C761" s="25"/>
      <c r="Q761" s="25"/>
      <c r="R761" s="25"/>
      <c r="S761" s="25"/>
    </row>
    <row r="762" spans="1:19" x14ac:dyDescent="0.25">
      <c r="A762" s="25"/>
      <c r="B762" s="25"/>
      <c r="C762" s="25"/>
      <c r="Q762" s="25"/>
      <c r="R762" s="25"/>
      <c r="S762" s="25"/>
    </row>
    <row r="763" spans="1:19" x14ac:dyDescent="0.25">
      <c r="A763" s="25"/>
      <c r="B763" s="25"/>
      <c r="C763" s="25"/>
      <c r="Q763" s="25"/>
      <c r="R763" s="25"/>
      <c r="S763" s="25"/>
    </row>
    <row r="764" spans="1:19" x14ac:dyDescent="0.25">
      <c r="A764" s="25"/>
      <c r="B764" s="25"/>
      <c r="C764" s="25"/>
      <c r="Q764" s="25"/>
      <c r="R764" s="25"/>
      <c r="S764" s="25"/>
    </row>
    <row r="765" spans="1:19" x14ac:dyDescent="0.25">
      <c r="A765" s="25"/>
      <c r="B765" s="25"/>
      <c r="C765" s="25"/>
      <c r="Q765" s="25"/>
      <c r="R765" s="25"/>
      <c r="S765" s="25"/>
    </row>
    <row r="766" spans="1:19" x14ac:dyDescent="0.25">
      <c r="A766" s="25"/>
      <c r="B766" s="25"/>
      <c r="C766" s="25"/>
      <c r="Q766" s="25"/>
      <c r="R766" s="25"/>
      <c r="S766" s="25"/>
    </row>
    <row r="767" spans="1:19" x14ac:dyDescent="0.25">
      <c r="A767" s="25"/>
      <c r="B767" s="25"/>
      <c r="C767" s="25"/>
      <c r="Q767" s="25"/>
      <c r="R767" s="25"/>
      <c r="S767" s="25"/>
    </row>
    <row r="768" spans="1:19" x14ac:dyDescent="0.25">
      <c r="A768" s="25"/>
      <c r="B768" s="25"/>
      <c r="C768" s="25"/>
      <c r="Q768" s="25"/>
      <c r="R768" s="25"/>
      <c r="S768" s="25"/>
    </row>
    <row r="769" spans="1:19" x14ac:dyDescent="0.25">
      <c r="A769" s="25"/>
      <c r="B769" s="25"/>
      <c r="C769" s="25"/>
      <c r="Q769" s="25"/>
      <c r="R769" s="25"/>
      <c r="S769" s="25"/>
    </row>
    <row r="770" spans="1:19" x14ac:dyDescent="0.25">
      <c r="A770" s="25"/>
      <c r="B770" s="25"/>
      <c r="C770" s="25"/>
      <c r="Q770" s="25"/>
      <c r="R770" s="25"/>
      <c r="S770" s="25"/>
    </row>
    <row r="771" spans="1:19" x14ac:dyDescent="0.25">
      <c r="A771" s="25"/>
      <c r="B771" s="25"/>
      <c r="C771" s="25"/>
      <c r="Q771" s="25"/>
      <c r="R771" s="25"/>
      <c r="S771" s="25"/>
    </row>
    <row r="772" spans="1:19" x14ac:dyDescent="0.25">
      <c r="A772" s="25"/>
      <c r="B772" s="25"/>
      <c r="C772" s="25"/>
      <c r="Q772" s="25"/>
      <c r="R772" s="25"/>
      <c r="S772" s="25"/>
    </row>
    <row r="773" spans="1:19" x14ac:dyDescent="0.25">
      <c r="A773" s="25"/>
      <c r="B773" s="25"/>
      <c r="C773" s="25"/>
      <c r="Q773" s="25"/>
      <c r="R773" s="25"/>
      <c r="S773" s="25"/>
    </row>
    <row r="774" spans="1:19" x14ac:dyDescent="0.25">
      <c r="A774" s="25"/>
      <c r="B774" s="25"/>
      <c r="C774" s="25"/>
      <c r="Q774" s="25"/>
      <c r="R774" s="25"/>
      <c r="S774" s="25"/>
    </row>
    <row r="775" spans="1:19" x14ac:dyDescent="0.25">
      <c r="A775" s="25"/>
      <c r="B775" s="25"/>
      <c r="C775" s="25"/>
      <c r="Q775" s="25"/>
      <c r="R775" s="25"/>
      <c r="S775" s="25"/>
    </row>
    <row r="776" spans="1:19" x14ac:dyDescent="0.25">
      <c r="A776" s="25"/>
      <c r="B776" s="25"/>
      <c r="C776" s="25"/>
      <c r="Q776" s="25"/>
      <c r="R776" s="25"/>
      <c r="S776" s="25"/>
    </row>
    <row r="777" spans="1:19" x14ac:dyDescent="0.25">
      <c r="A777" s="25"/>
      <c r="B777" s="25"/>
      <c r="C777" s="25"/>
      <c r="Q777" s="25"/>
      <c r="R777" s="25"/>
      <c r="S777" s="25"/>
    </row>
    <row r="778" spans="1:19" x14ac:dyDescent="0.25">
      <c r="A778" s="25"/>
      <c r="B778" s="25"/>
      <c r="C778" s="25"/>
      <c r="Q778" s="25"/>
      <c r="R778" s="25"/>
      <c r="S778" s="25"/>
    </row>
    <row r="779" spans="1:19" x14ac:dyDescent="0.25">
      <c r="A779" s="25"/>
      <c r="B779" s="25"/>
      <c r="C779" s="25"/>
      <c r="Q779" s="25"/>
      <c r="R779" s="25"/>
      <c r="S779" s="25"/>
    </row>
    <row r="780" spans="1:19" x14ac:dyDescent="0.25">
      <c r="A780" s="25"/>
      <c r="B780" s="25"/>
      <c r="C780" s="25"/>
      <c r="Q780" s="25"/>
      <c r="R780" s="25"/>
      <c r="S780" s="25"/>
    </row>
    <row r="781" spans="1:19" x14ac:dyDescent="0.25">
      <c r="A781" s="25"/>
      <c r="B781" s="25"/>
      <c r="C781" s="25"/>
      <c r="Q781" s="25"/>
      <c r="R781" s="25"/>
      <c r="S781" s="25"/>
    </row>
    <row r="782" spans="1:19" x14ac:dyDescent="0.25">
      <c r="A782" s="25"/>
      <c r="B782" s="25"/>
      <c r="C782" s="25"/>
      <c r="Q782" s="25"/>
      <c r="R782" s="25"/>
      <c r="S782" s="25"/>
    </row>
    <row r="783" spans="1:19" x14ac:dyDescent="0.25">
      <c r="A783" s="25"/>
      <c r="B783" s="25"/>
      <c r="C783" s="25"/>
      <c r="Q783" s="25"/>
      <c r="R783" s="25"/>
      <c r="S783" s="25"/>
    </row>
    <row r="784" spans="1:19" x14ac:dyDescent="0.25">
      <c r="A784" s="25"/>
      <c r="B784" s="25"/>
      <c r="C784" s="25"/>
      <c r="Q784" s="25"/>
      <c r="R784" s="25"/>
      <c r="S784" s="25"/>
    </row>
    <row r="785" spans="1:19" x14ac:dyDescent="0.25">
      <c r="A785" s="25"/>
      <c r="B785" s="25"/>
      <c r="C785" s="25"/>
      <c r="Q785" s="25"/>
      <c r="R785" s="25"/>
      <c r="S785" s="25"/>
    </row>
    <row r="786" spans="1:19" x14ac:dyDescent="0.25">
      <c r="A786" s="25"/>
      <c r="B786" s="25"/>
      <c r="C786" s="25"/>
      <c r="Q786" s="25"/>
      <c r="R786" s="25"/>
      <c r="S786" s="25"/>
    </row>
    <row r="787" spans="1:19" x14ac:dyDescent="0.25">
      <c r="A787" s="25"/>
      <c r="B787" s="25"/>
      <c r="C787" s="25"/>
      <c r="Q787" s="25"/>
      <c r="R787" s="25"/>
      <c r="S787" s="25"/>
    </row>
    <row r="788" spans="1:19" x14ac:dyDescent="0.25">
      <c r="A788" s="25"/>
      <c r="B788" s="25"/>
      <c r="C788" s="25"/>
    </row>
    <row r="789" spans="1:19" x14ac:dyDescent="0.25">
      <c r="A789" s="25"/>
      <c r="B789" s="25"/>
      <c r="C789" s="25"/>
    </row>
    <row r="790" spans="1:19" x14ac:dyDescent="0.25">
      <c r="A790" s="25"/>
      <c r="B790" s="25"/>
      <c r="C790" s="25"/>
    </row>
    <row r="791" spans="1:19" x14ac:dyDescent="0.25">
      <c r="A791" s="25"/>
      <c r="B791" s="25"/>
      <c r="C791" s="25"/>
    </row>
    <row r="792" spans="1:19" x14ac:dyDescent="0.25">
      <c r="A792" s="25"/>
      <c r="B792" s="25"/>
      <c r="C792" s="25"/>
    </row>
    <row r="793" spans="1:19" x14ac:dyDescent="0.25">
      <c r="A793" s="25"/>
      <c r="B793" s="25"/>
      <c r="C793" s="25"/>
    </row>
    <row r="794" spans="1:19" x14ac:dyDescent="0.25">
      <c r="A794" s="25"/>
      <c r="B794" s="25"/>
      <c r="C794" s="25"/>
    </row>
    <row r="795" spans="1:19" x14ac:dyDescent="0.25">
      <c r="A795" s="25"/>
      <c r="B795" s="25"/>
      <c r="C795" s="25"/>
    </row>
    <row r="796" spans="1:19" x14ac:dyDescent="0.25">
      <c r="A796" s="25"/>
      <c r="B796" s="25"/>
      <c r="C796" s="25"/>
    </row>
    <row r="797" spans="1:19" x14ac:dyDescent="0.25">
      <c r="A797" s="25"/>
      <c r="B797" s="25"/>
      <c r="C797" s="25"/>
    </row>
    <row r="798" spans="1:19" x14ac:dyDescent="0.25">
      <c r="A798" s="25"/>
      <c r="B798" s="25"/>
      <c r="C798" s="25"/>
    </row>
    <row r="799" spans="1:19" x14ac:dyDescent="0.25">
      <c r="A799" s="25"/>
      <c r="B799" s="25"/>
      <c r="C799" s="25"/>
    </row>
    <row r="800" spans="1:19" x14ac:dyDescent="0.25">
      <c r="A800" s="25"/>
      <c r="B800" s="25"/>
      <c r="C800" s="25"/>
    </row>
    <row r="801" spans="1:3" x14ac:dyDescent="0.25">
      <c r="A801" s="25"/>
      <c r="B801" s="25"/>
      <c r="C801" s="25"/>
    </row>
    <row r="802" spans="1:3" x14ac:dyDescent="0.25">
      <c r="A802" s="25"/>
      <c r="B802" s="25"/>
      <c r="C802" s="25"/>
    </row>
    <row r="803" spans="1:3" x14ac:dyDescent="0.25">
      <c r="A803" s="25"/>
      <c r="B803" s="25"/>
      <c r="C803" s="25"/>
    </row>
    <row r="804" spans="1:3" x14ac:dyDescent="0.25">
      <c r="A804" s="25"/>
      <c r="B804" s="25"/>
      <c r="C804" s="25"/>
    </row>
    <row r="805" spans="1:3" x14ac:dyDescent="0.25">
      <c r="A805" s="25"/>
      <c r="B805" s="25"/>
      <c r="C805" s="25"/>
    </row>
    <row r="806" spans="1:3" x14ac:dyDescent="0.25">
      <c r="A806" s="25"/>
      <c r="B806" s="25"/>
      <c r="C806" s="25"/>
    </row>
    <row r="807" spans="1:3" x14ac:dyDescent="0.25">
      <c r="A807" s="25"/>
      <c r="B807" s="25"/>
      <c r="C807" s="25"/>
    </row>
    <row r="808" spans="1:3" x14ac:dyDescent="0.25">
      <c r="A808" s="25"/>
      <c r="B808" s="25"/>
      <c r="C808" s="25"/>
    </row>
    <row r="809" spans="1:3" x14ac:dyDescent="0.25">
      <c r="A809" s="25"/>
      <c r="B809" s="25"/>
      <c r="C809" s="25"/>
    </row>
    <row r="810" spans="1:3" x14ac:dyDescent="0.25">
      <c r="A810" s="25"/>
      <c r="B810" s="25"/>
      <c r="C810" s="25"/>
    </row>
    <row r="811" spans="1:3" x14ac:dyDescent="0.25">
      <c r="A811" s="25"/>
      <c r="B811" s="25"/>
      <c r="C811" s="25"/>
    </row>
    <row r="812" spans="1:3" x14ac:dyDescent="0.25">
      <c r="A812" s="25"/>
      <c r="B812" s="25"/>
      <c r="C812" s="25"/>
    </row>
    <row r="813" spans="1:3" x14ac:dyDescent="0.25">
      <c r="A813" s="25"/>
      <c r="B813" s="25"/>
      <c r="C813" s="25"/>
    </row>
    <row r="814" spans="1:3" x14ac:dyDescent="0.25">
      <c r="A814" s="25"/>
      <c r="B814" s="25"/>
      <c r="C814" s="25"/>
    </row>
    <row r="815" spans="1:3" x14ac:dyDescent="0.25">
      <c r="A815" s="25"/>
      <c r="B815" s="25"/>
      <c r="C815" s="25"/>
    </row>
    <row r="816" spans="1:3" x14ac:dyDescent="0.25">
      <c r="A816" s="25"/>
      <c r="B816" s="25"/>
      <c r="C816" s="25"/>
    </row>
    <row r="817" spans="1:3" x14ac:dyDescent="0.25">
      <c r="A817" s="25"/>
      <c r="B817" s="25"/>
      <c r="C817" s="25"/>
    </row>
    <row r="818" spans="1:3" x14ac:dyDescent="0.25">
      <c r="A818" s="25"/>
      <c r="B818" s="25"/>
      <c r="C818" s="25"/>
    </row>
    <row r="819" spans="1:3" x14ac:dyDescent="0.25">
      <c r="A819" s="25"/>
      <c r="B819" s="25"/>
      <c r="C819" s="25"/>
    </row>
    <row r="820" spans="1:3" x14ac:dyDescent="0.25">
      <c r="A820" s="25"/>
      <c r="B820" s="25"/>
      <c r="C820" s="25"/>
    </row>
    <row r="821" spans="1:3" x14ac:dyDescent="0.25">
      <c r="A821" s="25"/>
      <c r="B821" s="25"/>
      <c r="C821" s="25"/>
    </row>
    <row r="822" spans="1:3" x14ac:dyDescent="0.25">
      <c r="A822" s="25"/>
      <c r="B822" s="25"/>
      <c r="C822" s="25"/>
    </row>
    <row r="823" spans="1:3" x14ac:dyDescent="0.25">
      <c r="A823" s="25"/>
      <c r="B823" s="25"/>
      <c r="C823" s="25"/>
    </row>
    <row r="824" spans="1:3" x14ac:dyDescent="0.25">
      <c r="A824" s="25"/>
      <c r="B824" s="25"/>
      <c r="C824" s="25"/>
    </row>
    <row r="825" spans="1:3" x14ac:dyDescent="0.25">
      <c r="A825" s="25"/>
      <c r="B825" s="25"/>
      <c r="C825" s="25"/>
    </row>
    <row r="826" spans="1:3" x14ac:dyDescent="0.25">
      <c r="A826" s="25"/>
      <c r="B826" s="25"/>
      <c r="C826" s="25"/>
    </row>
    <row r="827" spans="1:3" x14ac:dyDescent="0.25">
      <c r="A827" s="25"/>
      <c r="B827" s="25"/>
      <c r="C827" s="25"/>
    </row>
    <row r="828" spans="1:3" x14ac:dyDescent="0.25">
      <c r="A828" s="25"/>
      <c r="B828" s="25"/>
      <c r="C828" s="25"/>
    </row>
    <row r="829" spans="1:3" x14ac:dyDescent="0.25">
      <c r="A829" s="25"/>
      <c r="B829" s="25"/>
      <c r="C829" s="25"/>
    </row>
    <row r="830" spans="1:3" x14ac:dyDescent="0.25">
      <c r="A830" s="25"/>
      <c r="B830" s="25"/>
      <c r="C830" s="25"/>
    </row>
    <row r="831" spans="1:3" x14ac:dyDescent="0.25">
      <c r="A831" s="25"/>
      <c r="B831" s="25"/>
      <c r="C831" s="25"/>
    </row>
    <row r="832" spans="1:3" x14ac:dyDescent="0.25">
      <c r="A832" s="25"/>
      <c r="B832" s="25"/>
      <c r="C832" s="25"/>
    </row>
    <row r="833" spans="1:3" x14ac:dyDescent="0.25">
      <c r="A833" s="25"/>
      <c r="B833" s="25"/>
      <c r="C833" s="25"/>
    </row>
    <row r="834" spans="1:3" x14ac:dyDescent="0.25">
      <c r="A834" s="25"/>
      <c r="B834" s="25"/>
      <c r="C834" s="25"/>
    </row>
    <row r="835" spans="1:3" x14ac:dyDescent="0.25">
      <c r="A835" s="25"/>
      <c r="B835" s="25"/>
      <c r="C835" s="25"/>
    </row>
    <row r="836" spans="1:3" x14ac:dyDescent="0.25">
      <c r="A836" s="25"/>
      <c r="B836" s="25"/>
      <c r="C836" s="25"/>
    </row>
    <row r="837" spans="1:3" x14ac:dyDescent="0.25">
      <c r="A837" s="25"/>
      <c r="B837" s="25"/>
      <c r="C837" s="25"/>
    </row>
    <row r="838" spans="1:3" x14ac:dyDescent="0.25">
      <c r="A838" s="25"/>
      <c r="B838" s="25"/>
      <c r="C838" s="25"/>
    </row>
    <row r="839" spans="1:3" x14ac:dyDescent="0.25">
      <c r="A839" s="25"/>
      <c r="B839" s="25"/>
      <c r="C839" s="25"/>
    </row>
    <row r="840" spans="1:3" x14ac:dyDescent="0.25">
      <c r="A840" s="25"/>
      <c r="B840" s="25"/>
      <c r="C840" s="25"/>
    </row>
    <row r="841" spans="1:3" x14ac:dyDescent="0.25">
      <c r="A841" s="25"/>
      <c r="B841" s="25"/>
      <c r="C841" s="25"/>
    </row>
    <row r="842" spans="1:3" x14ac:dyDescent="0.25">
      <c r="A842" s="25"/>
      <c r="B842" s="25"/>
      <c r="C842" s="25"/>
    </row>
    <row r="843" spans="1:3" x14ac:dyDescent="0.25">
      <c r="A843" s="25"/>
      <c r="B843" s="25"/>
      <c r="C843" s="25"/>
    </row>
    <row r="844" spans="1:3" x14ac:dyDescent="0.25">
      <c r="A844" s="25"/>
      <c r="B844" s="25"/>
      <c r="C844" s="25"/>
    </row>
    <row r="845" spans="1:3" x14ac:dyDescent="0.25">
      <c r="A845" s="25"/>
      <c r="B845" s="25"/>
      <c r="C845" s="25"/>
    </row>
    <row r="846" spans="1:3" x14ac:dyDescent="0.25">
      <c r="A846" s="25"/>
      <c r="B846" s="25"/>
      <c r="C846" s="25"/>
    </row>
    <row r="847" spans="1:3" x14ac:dyDescent="0.25">
      <c r="A847" s="25"/>
      <c r="B847" s="25"/>
      <c r="C847" s="25"/>
    </row>
    <row r="848" spans="1:3" x14ac:dyDescent="0.25">
      <c r="A848" s="25"/>
      <c r="B848" s="25"/>
      <c r="C848" s="25"/>
    </row>
    <row r="849" spans="1:3" x14ac:dyDescent="0.25">
      <c r="A849" s="25"/>
      <c r="B849" s="25"/>
      <c r="C849" s="25"/>
    </row>
    <row r="850" spans="1:3" x14ac:dyDescent="0.25">
      <c r="A850" s="25"/>
      <c r="B850" s="25"/>
      <c r="C850" s="25"/>
    </row>
    <row r="851" spans="1:3" x14ac:dyDescent="0.25">
      <c r="A851" s="25"/>
      <c r="B851" s="25"/>
      <c r="C851" s="25"/>
    </row>
    <row r="852" spans="1:3" x14ac:dyDescent="0.25">
      <c r="A852" s="25"/>
      <c r="B852" s="25"/>
      <c r="C85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</vt:lpstr>
      <vt:lpstr>Wafer1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Zafrani</dc:creator>
  <cp:lastModifiedBy>Shmoil Pourdavoud</cp:lastModifiedBy>
  <dcterms:created xsi:type="dcterms:W3CDTF">2020-09-25T20:08:18Z</dcterms:created>
  <dcterms:modified xsi:type="dcterms:W3CDTF">2024-09-16T09:20:04Z</dcterms:modified>
</cp:coreProperties>
</file>