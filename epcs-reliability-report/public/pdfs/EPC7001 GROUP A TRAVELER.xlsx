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hared With Me\Reliability\COMPREHENSIVE RELIABILITY\GROUP A\"/>
    </mc:Choice>
  </mc:AlternateContent>
  <xr:revisionPtr revIDLastSave="0" documentId="13_ncr:1_{028F2C47-57D8-432B-B705-8DBD375F1EDB}" xr6:coauthVersionLast="47" xr6:coauthVersionMax="47" xr10:uidLastSave="{00000000-0000-0000-0000-000000000000}"/>
  <workbookProtection workbookAlgorithmName="SHA-512" workbookHashValue="pzhkejPndqupsYee1AwvXAM0tvpaLtnn9/fz0BLYa5BEyCCkVHF9OxJ6+wYuZw8L9KkDUy7JrxguJokOp8RlTw==" workbookSaltValue="eAiVQx0oeKesHcR3N2bzRA==" workbookSpinCount="100000" lockStructure="1"/>
  <bookViews>
    <workbookView xWindow="-25560" yWindow="2880" windowWidth="21600" windowHeight="11835" xr2:uid="{128251C8-F2DF-461C-8510-1D1364F912FA}"/>
  </bookViews>
  <sheets>
    <sheet name="Group A Traveler" sheetId="1" r:id="rId1"/>
    <sheet name="GROUP A1" sheetId="2" r:id="rId2"/>
    <sheet name="GROUP A2 25C" sheetId="3" r:id="rId3"/>
    <sheet name="GROUP A3 125C" sheetId="4" r:id="rId4"/>
    <sheet name="GROUP A3 -55C" sheetId="5" r:id="rId5"/>
    <sheet name="GROUP A7 CAPACITANCE" sheetId="6" r:id="rId6"/>
    <sheet name="GROUP A7 GATE CHARGE" sheetId="7" r:id="rId7"/>
  </sheets>
  <definedNames>
    <definedName name="_xlnm._FilterDatabase" localSheetId="2" hidden="1">'GROUP A2 25C'!$A$10:$Q$126</definedName>
    <definedName name="_xlnm._FilterDatabase" localSheetId="3" hidden="1">'GROUP A3 125C'!$A$10:$N$126</definedName>
    <definedName name="_xlnm._FilterDatabase" localSheetId="4" hidden="1">'GROUP A3 -55C'!$A$13:$H$129</definedName>
    <definedName name="_xlnm._FilterDatabase" localSheetId="5" hidden="1">'GROUP A7 CAPACITANCE'!$A$10:$E$10</definedName>
    <definedName name="DELTA_HTGB">#REF!</definedName>
    <definedName name="DELTA_HTGB_IDSS">#REF!</definedName>
    <definedName name="DELTA_HTGB_IGSSF">#REF!</definedName>
    <definedName name="DELTA_HTGB_IGSSR">#REF!</definedName>
    <definedName name="DELTA_HTGB_NAME">#REF!</definedName>
    <definedName name="DELTA_HTGB_RDSON">#REF!</definedName>
    <definedName name="DELTA_HTGB_VTH">#REF!</definedName>
    <definedName name="DELTA_HTRB">#REF!</definedName>
    <definedName name="DELTA_HTRB_IDSS">#REF!</definedName>
    <definedName name="DELTA_HTRB_IGSSF">#REF!</definedName>
    <definedName name="DELTA_HTRB_IGSSR">#REF!</definedName>
    <definedName name="DELTA_HTRB_NAME">#REF!</definedName>
    <definedName name="DELTA_HTRB_RDSON">#REF!</definedName>
    <definedName name="DELTA_HTRB_VTH">#REF!</definedName>
    <definedName name="DRDON_OOF_FINAL_POS">#REF!</definedName>
    <definedName name="DRDON_OOF_FINAL_REQ">#REF!</definedName>
    <definedName name="HTGB_PDA">#REF!</definedName>
    <definedName name="HTRB_PDA">#REF!</definedName>
    <definedName name="IDSS_125">#REF!</definedName>
    <definedName name="IDSS_25">#REF!</definedName>
    <definedName name="IDSS_COLD_OOF_POS">#REF!</definedName>
    <definedName name="IDSS_COLD_OOF_REQ">#REF!</definedName>
    <definedName name="IDSS_DELTA_LIMIT_HTGB">#REF!</definedName>
    <definedName name="IDSS_DELTA_LIMIT_HTRB">#REF!</definedName>
    <definedName name="IDSS_FINAL_OOF_POS">#REF!</definedName>
    <definedName name="IDSS_FINAL_OOF_REQ">#REF!</definedName>
    <definedName name="IDSS_HOT_OOF_POS">#REF!</definedName>
    <definedName name="IDSS_HOT_OOF_REQ">#REF!</definedName>
    <definedName name="IDSS_HTGB_REQ">#REF!</definedName>
    <definedName name="IDSS_HTRB_OOF_POS">#REF!</definedName>
    <definedName name="IDSS_HTRB_OOF_REQ">#REF!</definedName>
    <definedName name="IDSS_HTRB_REQ">#REF!</definedName>
    <definedName name="IDSS_PERCENTAGE_HTGB">#REF!</definedName>
    <definedName name="IDSS_PERCENTAGE_HTRB">#REF!</definedName>
    <definedName name="IDSS_POST_HTGB_OOF_POS">#REF!</definedName>
    <definedName name="IDSS_POST_HTGB_OOF_REQ">#REF!</definedName>
    <definedName name="IDSS_PRE_HTGB_OOF_POS">#REF!</definedName>
    <definedName name="IDSS_PRE_HTGB_OOF_REQ">#REF!</definedName>
    <definedName name="IGSSF1_125">#REF!</definedName>
    <definedName name="IGSSF1_25">#REF!</definedName>
    <definedName name="IGSSF1_COLD_OOF_POS">#REF!</definedName>
    <definedName name="IGSSF1_COLD_OOF_REQ">#REF!</definedName>
    <definedName name="IGSSF1_DELTA_LIMIT_HTGB">#REF!</definedName>
    <definedName name="IGSSF1_DELTA_LIMIT_HTRB">#REF!</definedName>
    <definedName name="IGSSF1_FINAL_OOF_POS">#REF!</definedName>
    <definedName name="IGSSF1_FINAL_OOF_REQ">#REF!</definedName>
    <definedName name="IGSSF1_HOT_FINAL_OOF_LIMIT">#REF!</definedName>
    <definedName name="IGSSF1_HOT_FINAL_OOF_POS">#REF!</definedName>
    <definedName name="IGSSF1_HOT_FINAL_OOF_REQ">#REF!</definedName>
    <definedName name="IGSSF1_HOT_OOF_POS">#REF!</definedName>
    <definedName name="IGSSF1_HOT_OOF_REQ">#REF!</definedName>
    <definedName name="IGSSF1_HTGB_REQ">#REF!</definedName>
    <definedName name="IGSSF1_HTRB_OOF_POS">#REF!</definedName>
    <definedName name="IGSSF1_HTRB_OOF_REQ">#REF!</definedName>
    <definedName name="IGSSF1_HTRB_REQ">#REF!</definedName>
    <definedName name="IGSSF1_PERCENTAGE_HTGB">#REF!</definedName>
    <definedName name="IGSSF1_PERCENTAGE_HTRB">#REF!</definedName>
    <definedName name="IGSSF1_POST_HTGB_OOF_POS">#REF!</definedName>
    <definedName name="IGSSF1_POST_HTGB_OOF_REQ">#REF!</definedName>
    <definedName name="IGSSF1_PRE_HTGB_OOF_POS">#REF!</definedName>
    <definedName name="IGSSF1_PRE_HTGB_OOF_REQ">#REF!</definedName>
    <definedName name="IGSSF2_125">#REF!</definedName>
    <definedName name="IGSSF2_25">#REF!</definedName>
    <definedName name="IGSSF2_COLD_OOF_POS">#REF!</definedName>
    <definedName name="IGSSF2_COLD_OOF_REQ">#REF!</definedName>
    <definedName name="IGSSF2_FINAL_OOF_POS">#REF!</definedName>
    <definedName name="IGSSF2_FINAL_OOF_REQ">#REF!</definedName>
    <definedName name="IGSSF2_HOT_OOF_POS">#REF!</definedName>
    <definedName name="IGSSF2_HOT_OOF_REQ">#REF!</definedName>
    <definedName name="IGSSF2_HTRB_OOF_POS">#REF!</definedName>
    <definedName name="IGSSF2_HTRB_OOF_REQ">#REF!</definedName>
    <definedName name="IGSSF2_POST_HTGB_OOF_POS">#REF!</definedName>
    <definedName name="IGSSF2_POST_HTGB_OOF_REQ">#REF!</definedName>
    <definedName name="IGSSF2_PRE_HTGB_OOF_POS">#REF!</definedName>
    <definedName name="IGSSF2_PRE_HTGB_OOF_REQ">#REF!</definedName>
    <definedName name="IGSSR_125">#REF!</definedName>
    <definedName name="IGSSR_25">#REF!</definedName>
    <definedName name="IGSSR_COLD_OOF_POS">#REF!</definedName>
    <definedName name="IGSSR_COLD_OOF_REQ">#REF!</definedName>
    <definedName name="IGSSR_DELTA_LIMIT_HTGB">#REF!</definedName>
    <definedName name="IGSSR_DELTA_LIMIT_HTRB">#REF!</definedName>
    <definedName name="IGSSR_FINAL_OOF_POS">#REF!</definedName>
    <definedName name="IGSSR_FINAL_OOF_REQ">#REF!</definedName>
    <definedName name="IGSSR_HOT_OOF_POS">#REF!</definedName>
    <definedName name="IGSSR_HOT_OOF_REQ">#REF!</definedName>
    <definedName name="IGSSR_HTGB_REQ">#REF!</definedName>
    <definedName name="IGSSR_HTRB_OOF_POS">#REF!</definedName>
    <definedName name="IGSSR_HTRB_OOF_REQ">#REF!</definedName>
    <definedName name="IGSSR_HTRB_REQ">#REF!</definedName>
    <definedName name="IGSSR_PERCENTAGE_HTGB">#REF!</definedName>
    <definedName name="IGSSR_PERCENTAGE_HTRB">#REF!</definedName>
    <definedName name="IGSSR_POST_HTGB_OOF_POS">#REF!</definedName>
    <definedName name="IGSSR_POST_HTGB_OOF_REQ">#REF!</definedName>
    <definedName name="IGSSR_PRE_HTGB_OOF_POS">#REF!</definedName>
    <definedName name="IGSSR_PRE_HTGB_OOF_REQ">#REF!</definedName>
    <definedName name="PDA_MAX">#REF!</definedName>
    <definedName name="POST_HTGB_HTGB">#REF!</definedName>
    <definedName name="POST_HTRB_HTRB">#REF!</definedName>
    <definedName name="PRE_HTGB_HTGB">#REF!</definedName>
    <definedName name="PRE_HTGB_HTRB">#REF!</definedName>
    <definedName name="RDSON_125">#REF!</definedName>
    <definedName name="RDSON_25">#REF!</definedName>
    <definedName name="RDSON_COLD_OOF_POS">#REF!</definedName>
    <definedName name="RDSON_COLD_OOF_REQ">#REF!</definedName>
    <definedName name="RDSON_DELTA_LIMIT_HTGB">#REF!</definedName>
    <definedName name="RDSON_DELTA_LIMIY_HTRB">#REF!</definedName>
    <definedName name="RDSON_FINAL_OOF_POS">#REF!</definedName>
    <definedName name="RDSON_FINAL_OOF_REQ">#REF!</definedName>
    <definedName name="RDSON_HOT_OOF_POS">#REF!</definedName>
    <definedName name="RDSON_HOT_OOF_REQ">#REF!</definedName>
    <definedName name="RDSON_HTGB_REQ">#REF!</definedName>
    <definedName name="RDSON_HTRB_OOF_POS">#REF!</definedName>
    <definedName name="RDSON_HTRB_OOF_REQ">#REF!</definedName>
    <definedName name="RDSON_HTRB_REQ">#REF!</definedName>
    <definedName name="RDSON_PERCENTAGE_HTGB">#REF!</definedName>
    <definedName name="RDSON_PERCENTAGE_HTRB">#REF!</definedName>
    <definedName name="RDSON_POST_HTGB_OOF_POS">#REF!</definedName>
    <definedName name="RDSON_POST_HTGB_OOF_REQ">#REF!</definedName>
    <definedName name="RDSON_PRE_HTGB_OOF_POS">#REF!</definedName>
    <definedName name="RDSON_PRE_HTGB_OOF_REQ">#REF!</definedName>
    <definedName name="VTH_125">#REF!</definedName>
    <definedName name="VTH_25">#REF!</definedName>
    <definedName name="VTH_55">#REF!</definedName>
    <definedName name="VTH_COLD_OOF_POS">#REF!</definedName>
    <definedName name="VTH_COLD_OOF_REQ">#REF!</definedName>
    <definedName name="VTH_DELTA_LIMIT_HTGB">#REF!</definedName>
    <definedName name="VTH_DELTA_LIMIT_HTRB">#REF!</definedName>
    <definedName name="VTH_FINAL_OOF_POS">#REF!</definedName>
    <definedName name="VTH_FINAL_OOF_REQ">#REF!</definedName>
    <definedName name="VTH_HOT_OOF_POS">#REF!</definedName>
    <definedName name="VTH_HOT_OOF_REQ">#REF!</definedName>
    <definedName name="VTH_HTGB_REQ">#REF!</definedName>
    <definedName name="VTH_HTRB_OOF_POS">#REF!</definedName>
    <definedName name="VTH_HTRB_OOF_REQ">#REF!</definedName>
    <definedName name="VTH_HTRB_REQ">#REF!</definedName>
    <definedName name="VTH_PERCENTAGE_HTGB">#REF!</definedName>
    <definedName name="VTH_PERCENTAGE_HTRB">#REF!</definedName>
    <definedName name="VTH_POST_HTGB_OOF_POS">#REF!</definedName>
    <definedName name="VTH_POST_HTGB_OOF_REQ">#REF!</definedName>
    <definedName name="VTH_PRE_HTGB_OOF_POS">#REF!</definedName>
    <definedName name="VTH_PRE_HTGB_OOF_REQ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7" l="1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A5" i="7" s="1"/>
  <c r="E11" i="7"/>
  <c r="E10" i="7"/>
  <c r="A4" i="7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A5" i="6" s="1"/>
  <c r="E16" i="6"/>
  <c r="E15" i="6"/>
  <c r="E14" i="6"/>
  <c r="E13" i="6"/>
  <c r="E12" i="6"/>
  <c r="E11" i="6"/>
  <c r="E10" i="6"/>
  <c r="A4" i="6"/>
  <c r="B10" i="5"/>
  <c r="B9" i="5"/>
  <c r="B11" i="5" s="1"/>
  <c r="B8" i="5"/>
  <c r="B8" i="4"/>
  <c r="B7" i="4"/>
  <c r="B6" i="4"/>
  <c r="B5" i="4"/>
  <c r="A4" i="4" s="1"/>
  <c r="B7" i="3"/>
  <c r="B6" i="3"/>
  <c r="B5" i="3"/>
  <c r="B8" i="3" s="1"/>
  <c r="A4" i="3"/>
  <c r="A7" i="5" l="1"/>
</calcChain>
</file>

<file path=xl/sharedStrings.xml><?xml version="1.0" encoding="utf-8"?>
<sst xmlns="http://schemas.openxmlformats.org/spreadsheetml/2006/main" count="538" uniqueCount="105">
  <si>
    <t>GROUP A TRAVELER</t>
  </si>
  <si>
    <t>INDEX</t>
  </si>
  <si>
    <t>QCI SAMPLE SELECTION</t>
  </si>
  <si>
    <t>.</t>
  </si>
  <si>
    <t>GROUP A1 PHYSICAL</t>
  </si>
  <si>
    <t>GROUP A2 25C ELECTRICALS</t>
  </si>
  <si>
    <t>SUMMARY</t>
  </si>
  <si>
    <t>SCREENING STATUS</t>
  </si>
  <si>
    <t>N=116 C=0</t>
  </si>
  <si>
    <t>TOTAL SUBMITTED</t>
  </si>
  <si>
    <t>TOTAL PASS</t>
  </si>
  <si>
    <t xml:space="preserve">  1) IDON      [&gt; 4.000MA]</t>
  </si>
  <si>
    <t xml:space="preserve">  2) IGSSF     [&lt; 500.1UA]</t>
  </si>
  <si>
    <t xml:space="preserve">  3) IDSS      [&lt; 400.0UA]</t>
  </si>
  <si>
    <t xml:space="preserve">  4) IGSSF     [&lt; 500.1UA]</t>
  </si>
  <si>
    <t xml:space="preserve">  5) IGSSR     [&lt; 400.0UA]</t>
  </si>
  <si>
    <t xml:space="preserve">  6) VGSTH     [&gt;   800MV]</t>
  </si>
  <si>
    <t xml:space="preserve">  7) VGSTH     [&lt; 2.500]</t>
  </si>
  <si>
    <t xml:space="preserve">  8) RDSON     [&lt; 10.00M]</t>
  </si>
  <si>
    <t xml:space="preserve">  9) VSD       [&lt; 3.001 V]</t>
  </si>
  <si>
    <t xml:space="preserve"> 10) IDSS      [&lt; 400.0UA]</t>
  </si>
  <si>
    <t xml:space="preserve"> 11) IGSSF     [&lt; 500.1UA]</t>
  </si>
  <si>
    <t>TOTAL EMPTY</t>
  </si>
  <si>
    <t xml:space="preserve">   IDON &gt; 4.000MA</t>
  </si>
  <si>
    <t xml:space="preserve">  IGSSF &lt; 500.1UA</t>
  </si>
  <si>
    <t xml:space="preserve">   IDSS &lt; 400.0UA</t>
  </si>
  <si>
    <t xml:space="preserve">  IGSSR &lt; 400.0UA</t>
  </si>
  <si>
    <t xml:space="preserve">  VGSTH &gt; 801.0MV</t>
  </si>
  <si>
    <t xml:space="preserve">VGSTH &lt; 2.500 </t>
  </si>
  <si>
    <t xml:space="preserve">  RDSON &lt; 10.01M </t>
  </si>
  <si>
    <t xml:space="preserve">    VSD &lt; 3.001 V</t>
  </si>
  <si>
    <t>TOTAL REJECTS</t>
  </si>
  <si>
    <t xml:space="preserve">    VDS = 19.54MV</t>
  </si>
  <si>
    <t xml:space="preserve">   VGSF = 4.000 V</t>
  </si>
  <si>
    <t xml:space="preserve">    VDS = 10.01 V</t>
  </si>
  <si>
    <t xml:space="preserve">   VGSF = 6.000 V</t>
  </si>
  <si>
    <t xml:space="preserve">   VGSR = 4.000 V</t>
  </si>
  <si>
    <t xml:space="preserve">     ID = 9.001MA</t>
  </si>
  <si>
    <t>VGSTH = S6</t>
  </si>
  <si>
    <t xml:space="preserve">    VGS = 5.001 V</t>
  </si>
  <si>
    <t xml:space="preserve">     IS = 500.1MA</t>
  </si>
  <si>
    <t xml:space="preserve">    VDS = 40.00 V</t>
  </si>
  <si>
    <t xml:space="preserve">   VGSF = 5.499 V</t>
  </si>
  <si>
    <t>Card-Position</t>
  </si>
  <si>
    <t>Serial No</t>
  </si>
  <si>
    <t>Label</t>
  </si>
  <si>
    <t>Sort</t>
  </si>
  <si>
    <t>Bin</t>
  </si>
  <si>
    <t xml:space="preserve">     ID = 30.01 A</t>
  </si>
  <si>
    <t>All Pass</t>
  </si>
  <si>
    <t>GROUP A3 125C ELECTRICALS</t>
  </si>
  <si>
    <t xml:space="preserve">  2) IGSSF     [&lt; 10.01MA]</t>
  </si>
  <si>
    <t xml:space="preserve">  3) IGSSR     [&lt; 4.000MA]</t>
  </si>
  <si>
    <t xml:space="preserve">  4) VGSTH     [&gt;   700MV]</t>
  </si>
  <si>
    <t xml:space="preserve">  5) VGSTH     [&lt; 3.500]</t>
  </si>
  <si>
    <t xml:space="preserve">  6) RDSON     [&lt; 17.98M]</t>
  </si>
  <si>
    <t xml:space="preserve">  7) VSD       [&lt; 4.000 V]</t>
  </si>
  <si>
    <t xml:space="preserve">  8) IDSS      [&lt; 800.0UA]</t>
  </si>
  <si>
    <t xml:space="preserve">  9) IGSSF     [&lt; 10.01MA]</t>
  </si>
  <si>
    <t xml:space="preserve">  IGSSF &lt; 10.01MA</t>
  </si>
  <si>
    <t xml:space="preserve">  IGSSR &lt; 4.000MA</t>
  </si>
  <si>
    <t xml:space="preserve">  VGSTH &gt; 700.9MV</t>
  </si>
  <si>
    <t xml:space="preserve">VGSTH &lt; 3.500 </t>
  </si>
  <si>
    <t xml:space="preserve">  RDSON &lt; 17.98M </t>
  </si>
  <si>
    <t xml:space="preserve">    VSD &lt; 4.000 V</t>
  </si>
  <si>
    <t xml:space="preserve">   IDSS &lt; 800.0UA</t>
  </si>
  <si>
    <t>VGSTH = S4</t>
  </si>
  <si>
    <t>GROUP A SUBGROUP 3</t>
  </si>
  <si>
    <t>DC ELECTRICALS 125C</t>
  </si>
  <si>
    <t xml:space="preserve">  2) VGSTH     [&gt;   500MV]</t>
  </si>
  <si>
    <t xml:space="preserve">  3) VGSTH     [&lt; 2.700]</t>
  </si>
  <si>
    <t xml:space="preserve">  VGSTH &gt; 500.6MV</t>
  </si>
  <si>
    <t xml:space="preserve">VGSTH &lt; 2.700 </t>
  </si>
  <si>
    <t>VGSTH = S2</t>
  </si>
  <si>
    <t>A7 CAPACITANCE</t>
  </si>
  <si>
    <t>LMR</t>
  </si>
  <si>
    <t>Conditions:</t>
  </si>
  <si>
    <t>Frequency</t>
  </si>
  <si>
    <t>VDS</t>
  </si>
  <si>
    <t>1 MHz</t>
  </si>
  <si>
    <t>Volts</t>
  </si>
  <si>
    <t>Max Limit</t>
  </si>
  <si>
    <t>Serial #</t>
  </si>
  <si>
    <t>Ciss</t>
  </si>
  <si>
    <t>Coss</t>
  </si>
  <si>
    <t>Crss</t>
  </si>
  <si>
    <t>P/F</t>
  </si>
  <si>
    <t>A7 GATE CHARGE</t>
  </si>
  <si>
    <t>OPERATOR</t>
  </si>
  <si>
    <t>DATE</t>
  </si>
  <si>
    <t>GateCharge-3.0</t>
  </si>
  <si>
    <t>GateCharge-3.1</t>
  </si>
  <si>
    <t>GateCharge-3.2</t>
  </si>
  <si>
    <t>Description</t>
  </si>
  <si>
    <t>Qgs</t>
  </si>
  <si>
    <t>Qgd</t>
  </si>
  <si>
    <t>Qg_ 5.00V</t>
  </si>
  <si>
    <t>UNIT</t>
  </si>
  <si>
    <t>nC</t>
  </si>
  <si>
    <t>MAX LIMIT</t>
  </si>
  <si>
    <t>SCD PART NUMBER</t>
  </si>
  <si>
    <t>EPCS PART NUMBER</t>
  </si>
  <si>
    <t>LOT</t>
  </si>
  <si>
    <t>DATE CODE</t>
  </si>
  <si>
    <t>EPC7001BSH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</si>
</sst>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.0E+00"/>
    <numFmt numFmtId="165" formatCode="###.00E+00"/>
    <numFmt numFmtId="166" formatCode="###.000E+00"/>
    <numFmt numFmtId="167" formatCode="0.000"/>
  </numFmts>
  <fonts count="16" x14ac:knownFonts="1">
    <font>
      <sz val="11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4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8"/>
      <color rgb="FF00B05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3" borderId="0" xfId="1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3" borderId="0" xfId="1" applyFont="1" applyFill="1" applyBorder="1" applyAlignment="1">
      <alignment horizontal="left" vertical="center"/>
    </xf>
    <xf numFmtId="0" fontId="4" fillId="4" borderId="2" xfId="1" applyFont="1" applyFill="1" applyBorder="1" applyAlignment="1">
      <alignment horizontal="center" vertical="top"/>
    </xf>
    <xf numFmtId="0" fontId="7" fillId="6" borderId="6" xfId="0" applyFont="1" applyFill="1" applyBorder="1"/>
    <xf numFmtId="0" fontId="7" fillId="6" borderId="6" xfId="0" applyFont="1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right"/>
    </xf>
    <xf numFmtId="0" fontId="7" fillId="6" borderId="2" xfId="0" applyFont="1" applyFill="1" applyBorder="1"/>
    <xf numFmtId="0" fontId="7" fillId="6" borderId="2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2" xfId="0" applyFill="1" applyBorder="1"/>
    <xf numFmtId="0" fontId="0" fillId="8" borderId="2" xfId="0" applyFill="1" applyBorder="1" applyAlignment="1">
      <alignment horizontal="left"/>
    </xf>
    <xf numFmtId="0" fontId="0" fillId="8" borderId="2" xfId="0" applyFill="1" applyBorder="1" applyAlignment="1">
      <alignment horizontal="right"/>
    </xf>
    <xf numFmtId="0" fontId="0" fillId="9" borderId="9" xfId="0" applyFill="1" applyBorder="1" applyAlignment="1">
      <alignment horizontal="center"/>
    </xf>
    <xf numFmtId="0" fontId="8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1" fontId="0" fillId="0" borderId="2" xfId="0" applyNumberFormat="1" applyBorder="1"/>
    <xf numFmtId="11" fontId="8" fillId="0" borderId="2" xfId="0" applyNumberFormat="1" applyFont="1" applyBorder="1"/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164" fontId="0" fillId="10" borderId="9" xfId="0" applyNumberFormat="1" applyFill="1" applyBorder="1" applyAlignment="1">
      <alignment horizontal="center"/>
    </xf>
    <xf numFmtId="165" fontId="0" fillId="10" borderId="9" xfId="0" applyNumberFormat="1" applyFill="1" applyBorder="1" applyAlignment="1">
      <alignment horizontal="center"/>
    </xf>
    <xf numFmtId="165" fontId="0" fillId="10" borderId="9" xfId="0" applyNumberFormat="1" applyFill="1" applyBorder="1"/>
    <xf numFmtId="164" fontId="0" fillId="10" borderId="9" xfId="0" applyNumberFormat="1" applyFill="1" applyBorder="1"/>
    <xf numFmtId="167" fontId="0" fillId="10" borderId="9" xfId="0" applyNumberFormat="1" applyFill="1" applyBorder="1"/>
    <xf numFmtId="166" fontId="0" fillId="10" borderId="9" xfId="0" applyNumberFormat="1" applyFill="1" applyBorder="1"/>
    <xf numFmtId="0" fontId="8" fillId="10" borderId="9" xfId="0" applyFont="1" applyFill="1" applyBorder="1"/>
    <xf numFmtId="0" fontId="4" fillId="4" borderId="2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vertical="top"/>
    </xf>
    <xf numFmtId="0" fontId="4" fillId="4" borderId="6" xfId="1" applyFont="1" applyFill="1" applyBorder="1" applyAlignment="1">
      <alignment horizontal="center" vertical="top"/>
    </xf>
    <xf numFmtId="0" fontId="2" fillId="11" borderId="0" xfId="1" quotePrefix="1" applyFill="1" applyBorder="1" applyAlignment="1">
      <alignment horizontal="left" vertical="top"/>
    </xf>
    <xf numFmtId="0" fontId="9" fillId="6" borderId="7" xfId="0" applyFont="1" applyFill="1" applyBorder="1" applyAlignment="1">
      <alignment horizontal="center" vertical="top"/>
    </xf>
    <xf numFmtId="0" fontId="9" fillId="6" borderId="11" xfId="0" applyFont="1" applyFill="1" applyBorder="1" applyAlignment="1">
      <alignment horizontal="center" vertical="top"/>
    </xf>
    <xf numFmtId="0" fontId="10" fillId="12" borderId="2" xfId="0" applyFont="1" applyFill="1" applyBorder="1" applyAlignment="1">
      <alignment horizontal="center"/>
    </xf>
    <xf numFmtId="0" fontId="11" fillId="13" borderId="2" xfId="0" applyFont="1" applyFill="1" applyBorder="1" applyAlignment="1">
      <alignment horizontal="left"/>
    </xf>
    <xf numFmtId="0" fontId="11" fillId="13" borderId="2" xfId="0" applyFont="1" applyFill="1" applyBorder="1" applyAlignment="1">
      <alignment horizontal="center"/>
    </xf>
    <xf numFmtId="0" fontId="11" fillId="11" borderId="0" xfId="0" applyFont="1" applyFill="1" applyAlignment="1">
      <alignment horizontal="center"/>
    </xf>
    <xf numFmtId="0" fontId="6" fillId="0" borderId="2" xfId="0" applyFont="1" applyBorder="1" applyAlignment="1">
      <alignment horizontal="center"/>
    </xf>
    <xf numFmtId="14" fontId="11" fillId="13" borderId="2" xfId="0" applyNumberFormat="1" applyFont="1" applyFill="1" applyBorder="1"/>
    <xf numFmtId="0" fontId="12" fillId="14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vertical="center"/>
    </xf>
    <xf numFmtId="0" fontId="11" fillId="11" borderId="0" xfId="0" applyFont="1" applyFill="1" applyAlignment="1">
      <alignment horizontal="center" vertical="center"/>
    </xf>
    <xf numFmtId="0" fontId="12" fillId="14" borderId="9" xfId="0" applyFont="1" applyFill="1" applyBorder="1" applyAlignment="1">
      <alignment horizontal="center" vertical="center"/>
    </xf>
    <xf numFmtId="0" fontId="12" fillId="14" borderId="9" xfId="0" applyFont="1" applyFill="1" applyBorder="1" applyAlignment="1">
      <alignment vertical="center"/>
    </xf>
    <xf numFmtId="0" fontId="13" fillId="14" borderId="2" xfId="0" applyFont="1" applyFill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0" fontId="14" fillId="14" borderId="7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15" borderId="6" xfId="0" applyFont="1" applyFill="1" applyBorder="1" applyAlignment="1">
      <alignment horizontal="center" vertical="center"/>
    </xf>
    <xf numFmtId="0" fontId="15" fillId="15" borderId="10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1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15" borderId="2" xfId="0" applyFill="1" applyBorder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0" fillId="0" borderId="5" xfId="0" applyBorder="1"/>
    <xf numFmtId="0" fontId="0" fillId="16" borderId="0" xfId="0" applyFill="1"/>
    <xf numFmtId="0" fontId="0" fillId="16" borderId="12" xfId="0" applyFill="1" applyBorder="1"/>
    <xf numFmtId="2" fontId="13" fillId="14" borderId="2" xfId="0" applyNumberFormat="1" applyFont="1" applyFill="1" applyBorder="1" applyAlignment="1">
      <alignment horizontal="center" vertical="center"/>
    </xf>
    <xf numFmtId="2" fontId="15" fillId="15" borderId="6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top"/>
    </xf>
    <xf numFmtId="0" fontId="5" fillId="5" borderId="3" xfId="1" applyFont="1" applyFill="1" applyBorder="1" applyAlignment="1">
      <alignment horizontal="center" vertical="top"/>
    </xf>
    <xf numFmtId="0" fontId="5" fillId="5" borderId="0" xfId="1" applyFont="1" applyFill="1" applyBorder="1" applyAlignment="1">
      <alignment horizontal="center" vertical="top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5" fillId="5" borderId="4" xfId="1" applyFont="1" applyFill="1" applyBorder="1" applyAlignment="1">
      <alignment horizontal="center" vertical="top"/>
    </xf>
    <xf numFmtId="0" fontId="5" fillId="5" borderId="5" xfId="1" applyFont="1" applyFill="1" applyBorder="1" applyAlignment="1">
      <alignment horizontal="center" vertical="top"/>
    </xf>
    <xf numFmtId="0" fontId="6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3" borderId="1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44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52</xdr:row>
      <xdr:rowOff>117729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C5FA1E-6C10-4158-8848-FD49A604A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2420"/>
          <a:ext cx="6705600" cy="98370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11</xdr:col>
      <xdr:colOff>0</xdr:colOff>
      <xdr:row>102</xdr:row>
      <xdr:rowOff>117729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FDA688-85D6-43EB-B2CF-A911EA66B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37420"/>
          <a:ext cx="6705600" cy="9837039"/>
        </a:xfrm>
        <a:prstGeom prst="rect">
          <a:avLst/>
        </a:prstGeom>
      </xdr:spPr>
    </xdr:pic>
    <xdr:clientData/>
  </xdr:twoCellAnchor>
  <xdr:twoCellAnchor>
    <xdr:from>
      <xdr:col>1</xdr:col>
      <xdr:colOff>457200</xdr:colOff>
      <xdr:row>7</xdr:row>
      <xdr:rowOff>114300</xdr:rowOff>
    </xdr:from>
    <xdr:to>
      <xdr:col>2</xdr:col>
      <xdr:colOff>381000</xdr:colOff>
      <xdr:row>8</xdr:row>
      <xdr:rowOff>95250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2E3599C-9E38-77FE-6DCD-F7D771A7E111}"/>
            </a:ext>
          </a:extLst>
        </xdr:cNvPr>
        <xdr:cNvSpPr/>
      </xdr:nvSpPr>
      <xdr:spPr>
        <a:xfrm>
          <a:off x="1066800" y="1571625"/>
          <a:ext cx="533400" cy="1714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457200</xdr:colOff>
      <xdr:row>57</xdr:row>
      <xdr:rowOff>152400</xdr:rowOff>
    </xdr:from>
    <xdr:to>
      <xdr:col>2</xdr:col>
      <xdr:colOff>419100</xdr:colOff>
      <xdr:row>58</xdr:row>
      <xdr:rowOff>104775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0E21315-05CA-FF20-3B9D-FCF2CD45F00D}"/>
            </a:ext>
          </a:extLst>
        </xdr:cNvPr>
        <xdr:cNvSpPr/>
      </xdr:nvSpPr>
      <xdr:spPr>
        <a:xfrm>
          <a:off x="1066800" y="11134725"/>
          <a:ext cx="571500" cy="1428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606292</xdr:colOff>
      <xdr:row>19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73EA97-1D36-4501-8761-4E9E46A20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7180"/>
          <a:ext cx="6694672" cy="3238500"/>
        </a:xfrm>
        <a:prstGeom prst="rect">
          <a:avLst/>
        </a:prstGeom>
      </xdr:spPr>
    </xdr:pic>
    <xdr:clientData/>
  </xdr:twoCellAnchor>
  <xdr:twoCellAnchor>
    <xdr:from>
      <xdr:col>1</xdr:col>
      <xdr:colOff>323850</xdr:colOff>
      <xdr:row>8</xdr:row>
      <xdr:rowOff>47625</xdr:rowOff>
    </xdr:from>
    <xdr:to>
      <xdr:col>2</xdr:col>
      <xdr:colOff>238125</xdr:colOff>
      <xdr:row>8</xdr:row>
      <xdr:rowOff>180975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4A0F866-2E3A-AE42-0B8C-194E26085EBB}"/>
            </a:ext>
          </a:extLst>
        </xdr:cNvPr>
        <xdr:cNvSpPr/>
      </xdr:nvSpPr>
      <xdr:spPr>
        <a:xfrm>
          <a:off x="933450" y="1495425"/>
          <a:ext cx="523875" cy="13335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4B80B-908E-4EBF-B972-F236D1394E2E}">
  <sheetPr>
    <tabColor theme="4" tint="-0.249977111117893"/>
  </sheetPr>
  <dimension ref="A1:K103"/>
  <sheetViews>
    <sheetView tabSelected="1" zoomScaleNormal="100"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.75" customHeight="1" x14ac:dyDescent="0.25">
      <c r="A1" s="73" t="s">
        <v>0</v>
      </c>
      <c r="B1" s="73"/>
      <c r="C1" s="73"/>
      <c r="D1" s="73"/>
      <c r="E1" s="2" t="s">
        <v>1</v>
      </c>
      <c r="F1" s="2"/>
      <c r="G1" s="2"/>
      <c r="H1" s="2"/>
      <c r="I1" s="74" t="s">
        <v>2</v>
      </c>
      <c r="J1" s="74"/>
      <c r="K1" s="74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</sheetData>
  <sheetProtection algorithmName="SHA-512" hashValue="CR67jMKaYv7hYqYYsdH+BKD0+dzfSb8XDQehDSo9EqAPZz7xOOP/f+yPhXMknZ6DGWtUegD5JWJNuv9dZZjehA==" saltValue="L9QhthxD/fw5g2J3hLnTBQ==" spinCount="100000" sheet="1" objects="1" scenarios="1" sort="0" autoFilter="0"/>
  <mergeCells count="2">
    <mergeCell ref="A1:D1"/>
    <mergeCell ref="I1:K1"/>
  </mergeCells>
  <hyperlinks>
    <hyperlink ref="E1" location="INDEX!A1" display="RETURN TO INDEX" xr:uid="{540EECD4-7D12-4A12-9B29-4A234F13B20B}"/>
    <hyperlink ref="E1:F1" location="INDEX!A1" display="RETURN TO INDEX" xr:uid="{549304B1-5F8C-48DC-9277-94FE7DD121FE}"/>
    <hyperlink ref="I1:K1" location="'QCI Sample Selection'!A1" display="QCI SAMPLE SELECTION" xr:uid="{E797768C-632F-4693-A11D-810DDF7F9FFE}"/>
  </hyperlinks>
  <pageMargins left="0.25" right="0.25" top="0.25" bottom="0.2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B9217-E319-4B63-8F05-3386FAA9A79A}">
  <sheetPr>
    <tabColor theme="4" tint="-0.249977111117893"/>
  </sheetPr>
  <dimension ref="A1:K25"/>
  <sheetViews>
    <sheetView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" x14ac:dyDescent="0.25">
      <c r="A1" s="73" t="s">
        <v>4</v>
      </c>
      <c r="B1" s="73"/>
      <c r="C1" s="73"/>
      <c r="D1" s="73"/>
      <c r="E1" s="2" t="s">
        <v>1</v>
      </c>
      <c r="F1" s="2"/>
      <c r="G1" s="2"/>
      <c r="H1" s="3"/>
      <c r="I1" s="74" t="s">
        <v>2</v>
      </c>
      <c r="J1" s="74"/>
      <c r="K1" s="74"/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customFormat="1" x14ac:dyDescent="0.25"/>
    <row r="18" customFormat="1" x14ac:dyDescent="0.25"/>
    <row r="19" customFormat="1" x14ac:dyDescent="0.25"/>
    <row r="20" customFormat="1" ht="15" hidden="1" customHeight="1" x14ac:dyDescent="0.25"/>
    <row r="21" customFormat="1" ht="15" hidden="1" customHeight="1" x14ac:dyDescent="0.25"/>
    <row r="22" customFormat="1" ht="15" hidden="1" customHeight="1" x14ac:dyDescent="0.25"/>
    <row r="23" customFormat="1" ht="15" hidden="1" customHeight="1" x14ac:dyDescent="0.25"/>
    <row r="24" customFormat="1" ht="15" hidden="1" customHeight="1" x14ac:dyDescent="0.25"/>
    <row r="25" customFormat="1" ht="15" hidden="1" customHeight="1" x14ac:dyDescent="0.25"/>
  </sheetData>
  <sheetProtection algorithmName="SHA-512" hashValue="YMPVt4AGkrHR0ufjUwyJvuJxzz4QmQdJuuIimsytaU1tWjlMELxASiBd4lM1qUUV/GM53/DqbDXhsetYxYZyBA==" saltValue="X6RePMSZvFRdAH5e99aiXw==" spinCount="100000" sheet="1" objects="1" scenarios="1" sort="0" autoFilter="0"/>
  <mergeCells count="2">
    <mergeCell ref="A1:D1"/>
    <mergeCell ref="I1:K1"/>
  </mergeCells>
  <hyperlinks>
    <hyperlink ref="E1" location="INDEX!A1" display="RETURN TO INDEX" xr:uid="{009D20CB-3B28-48E7-AC97-3790213E1D77}"/>
    <hyperlink ref="I1:K1" location="'QCI Sample Selection'!A1" display="QCI SAMPLE SELECTION" xr:uid="{FF4A229A-5970-40CF-837C-BF472DDE639F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A66B4-C3DF-46D2-BEF7-BAF5BBD4B233}">
  <sheetPr>
    <tabColor theme="4" tint="-0.249977111117893"/>
  </sheetPr>
  <dimension ref="A1:Q126"/>
  <sheetViews>
    <sheetView zoomScale="95" zoomScaleNormal="95" workbookViewId="0">
      <pane xSplit="3" ySplit="10" topLeftCell="D11" activePane="bottomRight" state="frozen"/>
      <selection activeCell="D250" sqref="D250"/>
      <selection pane="topRight" activeCell="D250" sqref="D250"/>
      <selection pane="bottomLeft" activeCell="D250" sqref="D250"/>
      <selection pane="bottomRight" activeCell="D11" sqref="D11"/>
    </sheetView>
  </sheetViews>
  <sheetFormatPr defaultColWidth="0" defaultRowHeight="15" zeroHeight="1" x14ac:dyDescent="0.25"/>
  <cols>
    <col min="1" max="1" width="18.85546875" style="21" customWidth="1"/>
    <col min="2" max="2" width="12.28515625" style="21" customWidth="1"/>
    <col min="3" max="3" width="13.5703125" style="21" customWidth="1"/>
    <col min="4" max="4" width="5.5703125" style="21" customWidth="1"/>
    <col min="5" max="5" width="3.85546875" style="21" customWidth="1"/>
    <col min="6" max="14" width="18.7109375" customWidth="1"/>
    <col min="15" max="15" width="21.42578125" bestFit="1" customWidth="1"/>
    <col min="16" max="16" width="22" bestFit="1" customWidth="1"/>
    <col min="17" max="17" width="9.140625" hidden="1"/>
  </cols>
  <sheetData>
    <row r="1" spans="1:17" ht="24" x14ac:dyDescent="0.25">
      <c r="A1" s="80" t="s">
        <v>5</v>
      </c>
      <c r="B1" s="80"/>
      <c r="C1" s="80"/>
      <c r="D1" s="80"/>
      <c r="E1" s="80"/>
      <c r="F1" s="80"/>
      <c r="G1" s="4"/>
      <c r="H1" s="2" t="s">
        <v>1</v>
      </c>
      <c r="I1" s="2"/>
      <c r="J1" s="5" t="s">
        <v>6</v>
      </c>
      <c r="K1" s="74" t="s">
        <v>7</v>
      </c>
      <c r="L1" s="74"/>
      <c r="M1" s="74" t="s">
        <v>2</v>
      </c>
      <c r="N1" s="74"/>
      <c r="O1" s="81"/>
      <c r="P1" s="81"/>
    </row>
    <row r="2" spans="1:17" ht="24" x14ac:dyDescent="0.25">
      <c r="A2" s="75" t="s">
        <v>100</v>
      </c>
      <c r="B2" s="75"/>
      <c r="C2" s="75" t="s">
        <v>101</v>
      </c>
      <c r="D2" s="75"/>
      <c r="E2" s="75" t="s">
        <v>102</v>
      </c>
      <c r="F2" s="75"/>
      <c r="G2" s="6" t="s">
        <v>103</v>
      </c>
      <c r="H2" s="76" t="s">
        <v>8</v>
      </c>
      <c r="I2" s="77"/>
      <c r="J2" s="77"/>
      <c r="K2" s="77"/>
      <c r="L2" s="77"/>
      <c r="M2" s="77"/>
      <c r="N2" s="77"/>
      <c r="O2" s="77"/>
      <c r="P2" s="77"/>
      <c r="Q2" s="77"/>
    </row>
    <row r="3" spans="1:17" ht="24" x14ac:dyDescent="0.25">
      <c r="A3" s="75" t="s">
        <v>104</v>
      </c>
      <c r="B3" s="75"/>
      <c r="C3" s="75" t="s">
        <v>104</v>
      </c>
      <c r="D3" s="75"/>
      <c r="E3" s="75"/>
      <c r="F3" s="75"/>
      <c r="G3" s="6">
        <v>2342</v>
      </c>
      <c r="H3" s="76"/>
      <c r="I3" s="77"/>
      <c r="J3" s="77"/>
      <c r="K3" s="77"/>
      <c r="L3" s="77"/>
      <c r="M3" s="77"/>
      <c r="N3" s="77"/>
      <c r="O3" s="77"/>
      <c r="P3" s="77"/>
      <c r="Q3" s="77"/>
    </row>
    <row r="4" spans="1:17" ht="24" x14ac:dyDescent="0.4">
      <c r="A4" s="78" t="str">
        <f>IF($B$5=$B$6,"PASS","FAIL")</f>
        <v>PASS</v>
      </c>
      <c r="B4" s="79"/>
      <c r="C4" s="79"/>
      <c r="D4" s="79"/>
      <c r="E4" s="79"/>
      <c r="F4" s="79"/>
      <c r="G4" s="79"/>
      <c r="H4" s="77"/>
      <c r="I4" s="77"/>
      <c r="J4" s="77"/>
      <c r="K4" s="77"/>
      <c r="L4" s="77"/>
      <c r="M4" s="77"/>
      <c r="N4" s="77"/>
      <c r="O4" s="77"/>
      <c r="P4" s="77"/>
      <c r="Q4" s="77"/>
    </row>
    <row r="5" spans="1:17" x14ac:dyDescent="0.25">
      <c r="A5" s="7" t="s">
        <v>9</v>
      </c>
      <c r="B5" s="8">
        <f>COUNTA(C$11:C$2000)-COUNTIF(C11:C$2000,"ND")</f>
        <v>116</v>
      </c>
      <c r="C5" s="9"/>
      <c r="D5" s="10"/>
      <c r="E5" s="10"/>
      <c r="F5" s="11"/>
      <c r="G5" s="11"/>
      <c r="H5" s="12"/>
      <c r="I5" s="11"/>
      <c r="J5" s="11"/>
      <c r="K5" s="11"/>
      <c r="L5" s="11"/>
      <c r="M5" s="11"/>
      <c r="N5" s="11"/>
      <c r="O5" s="11"/>
      <c r="P5" s="11"/>
    </row>
    <row r="6" spans="1:17" x14ac:dyDescent="0.25">
      <c r="A6" s="13" t="s">
        <v>10</v>
      </c>
      <c r="B6" s="14">
        <f>COUNTIF(C11:C$2000,"All Pass")</f>
        <v>116</v>
      </c>
      <c r="C6" s="15"/>
      <c r="D6" s="15"/>
      <c r="E6" s="15"/>
      <c r="F6" s="15" t="s">
        <v>11</v>
      </c>
      <c r="G6" s="16" t="s">
        <v>12</v>
      </c>
      <c r="H6" s="17" t="s">
        <v>13</v>
      </c>
      <c r="I6" s="16" t="s">
        <v>14</v>
      </c>
      <c r="J6" s="16" t="s">
        <v>15</v>
      </c>
      <c r="K6" s="16" t="s">
        <v>16</v>
      </c>
      <c r="L6" s="16" t="s">
        <v>17</v>
      </c>
      <c r="M6" s="16" t="s">
        <v>18</v>
      </c>
      <c r="N6" s="16" t="s">
        <v>19</v>
      </c>
      <c r="O6" s="16" t="s">
        <v>20</v>
      </c>
      <c r="P6" s="16" t="s">
        <v>21</v>
      </c>
    </row>
    <row r="7" spans="1:17" x14ac:dyDescent="0.25">
      <c r="A7" s="13" t="s">
        <v>22</v>
      </c>
      <c r="B7" s="14">
        <f>COUNTIF(C11:C$2000,"ND")</f>
        <v>0</v>
      </c>
      <c r="C7" s="15"/>
      <c r="D7" s="15"/>
      <c r="E7" s="15"/>
      <c r="F7" s="15" t="s">
        <v>23</v>
      </c>
      <c r="G7" s="16" t="s">
        <v>24</v>
      </c>
      <c r="H7" s="17" t="s">
        <v>25</v>
      </c>
      <c r="I7" s="16" t="s">
        <v>24</v>
      </c>
      <c r="J7" s="16" t="s">
        <v>26</v>
      </c>
      <c r="K7" s="16" t="s">
        <v>27</v>
      </c>
      <c r="L7" s="16" t="s">
        <v>28</v>
      </c>
      <c r="M7" s="16" t="s">
        <v>29</v>
      </c>
      <c r="N7" s="16" t="s">
        <v>30</v>
      </c>
      <c r="O7" s="16" t="s">
        <v>25</v>
      </c>
      <c r="P7" s="16" t="s">
        <v>24</v>
      </c>
    </row>
    <row r="8" spans="1:17" x14ac:dyDescent="0.25">
      <c r="A8" s="13" t="s">
        <v>31</v>
      </c>
      <c r="B8" s="14">
        <f>B5-B6</f>
        <v>0</v>
      </c>
      <c r="C8" s="15"/>
      <c r="D8" s="15"/>
      <c r="E8" s="15"/>
      <c r="F8" s="15" t="s">
        <v>32</v>
      </c>
      <c r="G8" s="16" t="s">
        <v>33</v>
      </c>
      <c r="H8" s="17" t="s">
        <v>34</v>
      </c>
      <c r="I8" s="16" t="s">
        <v>35</v>
      </c>
      <c r="J8" s="16" t="s">
        <v>36</v>
      </c>
      <c r="K8" s="16" t="s">
        <v>37</v>
      </c>
      <c r="L8" s="16" t="s">
        <v>38</v>
      </c>
      <c r="M8" s="16" t="s">
        <v>39</v>
      </c>
      <c r="N8" s="16" t="s">
        <v>40</v>
      </c>
      <c r="O8" s="16" t="s">
        <v>41</v>
      </c>
      <c r="P8" s="16" t="s">
        <v>42</v>
      </c>
    </row>
    <row r="9" spans="1:17" x14ac:dyDescent="0.25">
      <c r="A9" s="15" t="s">
        <v>43</v>
      </c>
      <c r="B9" s="15" t="s">
        <v>44</v>
      </c>
      <c r="C9" s="15" t="s">
        <v>45</v>
      </c>
      <c r="D9" s="15" t="s">
        <v>46</v>
      </c>
      <c r="E9" s="15" t="s">
        <v>47</v>
      </c>
      <c r="F9" s="15" t="s">
        <v>39</v>
      </c>
      <c r="G9" s="16"/>
      <c r="H9" s="18"/>
      <c r="I9" s="16"/>
      <c r="J9" s="16"/>
      <c r="K9" s="16"/>
      <c r="L9" s="16"/>
      <c r="M9" s="16" t="s">
        <v>48</v>
      </c>
      <c r="N9" s="16"/>
      <c r="O9" s="16"/>
      <c r="P9" s="16"/>
    </row>
    <row r="10" spans="1:17" s="20" customFormat="1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7" s="20" customFormat="1" x14ac:dyDescent="0.25">
      <c r="A11" s="21"/>
      <c r="B11" s="22">
        <v>1</v>
      </c>
      <c r="C11" s="22" t="s">
        <v>49</v>
      </c>
      <c r="D11" s="22"/>
      <c r="E11" s="22">
        <v>1</v>
      </c>
      <c r="F11" s="22">
        <v>2.476</v>
      </c>
      <c r="G11" s="23">
        <v>7.8900000000000012E-8</v>
      </c>
      <c r="H11" s="23">
        <v>1.7200000000000002E-8</v>
      </c>
      <c r="I11" s="23">
        <v>2.7460000000000001E-6</v>
      </c>
      <c r="J11" s="23">
        <v>1.4300000000000002E-8</v>
      </c>
      <c r="K11" s="23">
        <v>1.571</v>
      </c>
      <c r="L11" s="23">
        <v>1.571</v>
      </c>
      <c r="M11" s="23">
        <v>6.7599999999999995E-3</v>
      </c>
      <c r="N11" s="24">
        <v>1.9339999999999999</v>
      </c>
      <c r="O11" s="24">
        <v>6.4799999999999998E-8</v>
      </c>
      <c r="P11" s="24">
        <v>9.8870000000000016E-7</v>
      </c>
    </row>
    <row r="12" spans="1:17" s="20" customFormat="1" x14ac:dyDescent="0.25">
      <c r="A12" s="21"/>
      <c r="B12" s="22">
        <v>6</v>
      </c>
      <c r="C12" s="25" t="s">
        <v>49</v>
      </c>
      <c r="D12" s="25"/>
      <c r="E12" s="22">
        <v>1</v>
      </c>
      <c r="F12" s="22">
        <v>2.548</v>
      </c>
      <c r="G12" s="23">
        <v>3.5510000000000005E-7</v>
      </c>
      <c r="H12" s="23">
        <v>9.3000000000000006E-9</v>
      </c>
      <c r="I12" s="23">
        <v>8.2579999999999995E-6</v>
      </c>
      <c r="J12" s="23">
        <v>2.4699999999999999E-8</v>
      </c>
      <c r="K12" s="23">
        <v>1.6120000000000001</v>
      </c>
      <c r="L12" s="23">
        <v>1.6120000000000001</v>
      </c>
      <c r="M12" s="23">
        <v>6.6500000000000005E-3</v>
      </c>
      <c r="N12" s="24">
        <v>1.919</v>
      </c>
      <c r="O12" s="24">
        <v>7.3599999999999997E-8</v>
      </c>
      <c r="P12" s="24">
        <v>3.112E-6</v>
      </c>
    </row>
    <row r="13" spans="1:17" x14ac:dyDescent="0.25">
      <c r="B13" s="22">
        <v>10</v>
      </c>
      <c r="C13" s="25" t="s">
        <v>49</v>
      </c>
      <c r="D13" s="26"/>
      <c r="E13" s="22">
        <v>1</v>
      </c>
      <c r="F13" s="22">
        <v>2.4649999999999999</v>
      </c>
      <c r="G13" s="23">
        <v>3.3939999999999998E-7</v>
      </c>
      <c r="H13" s="23">
        <v>1.07E-8</v>
      </c>
      <c r="I13" s="23">
        <v>1.0720000000000001E-5</v>
      </c>
      <c r="J13" s="23">
        <v>1.7E-8</v>
      </c>
      <c r="K13" s="23">
        <v>1.585</v>
      </c>
      <c r="L13" s="23">
        <v>1.585</v>
      </c>
      <c r="M13" s="23">
        <v>6.9400000000000009E-3</v>
      </c>
      <c r="N13" s="23">
        <v>1.865</v>
      </c>
      <c r="O13" s="23">
        <v>8.8599999999999999E-8</v>
      </c>
      <c r="P13" s="23">
        <v>3.7869999999999999E-6</v>
      </c>
    </row>
    <row r="14" spans="1:17" s="20" customFormat="1" x14ac:dyDescent="0.25">
      <c r="A14" s="21"/>
      <c r="B14" s="22">
        <v>12</v>
      </c>
      <c r="C14" s="25" t="s">
        <v>49</v>
      </c>
      <c r="D14" s="25"/>
      <c r="E14" s="22">
        <v>1</v>
      </c>
      <c r="F14" s="22">
        <v>2.5819999999999999</v>
      </c>
      <c r="G14" s="23">
        <v>1.452E-7</v>
      </c>
      <c r="H14" s="23">
        <v>8.6000000000000009E-9</v>
      </c>
      <c r="I14" s="23">
        <v>6.8920000000000003E-6</v>
      </c>
      <c r="J14" s="23">
        <v>1.3000000000000001E-8</v>
      </c>
      <c r="K14" s="23">
        <v>1.5820000000000001</v>
      </c>
      <c r="L14" s="23">
        <v>1.5820000000000001</v>
      </c>
      <c r="M14" s="23">
        <v>6.5100000000000002E-3</v>
      </c>
      <c r="N14" s="24">
        <v>1.9059999999999999</v>
      </c>
      <c r="O14" s="24">
        <v>6.2200000000000001E-8</v>
      </c>
      <c r="P14" s="24">
        <v>2.3130000000000001E-6</v>
      </c>
    </row>
    <row r="15" spans="1:17" x14ac:dyDescent="0.25">
      <c r="B15" s="22">
        <v>14</v>
      </c>
      <c r="C15" s="25" t="s">
        <v>49</v>
      </c>
      <c r="D15" s="26"/>
      <c r="E15" s="22">
        <v>1</v>
      </c>
      <c r="F15" s="22">
        <v>2.5070000000000001</v>
      </c>
      <c r="G15" s="23">
        <v>1.244E-7</v>
      </c>
      <c r="H15" s="23">
        <v>9.4000000000000015E-9</v>
      </c>
      <c r="I15" s="23">
        <v>3.8549999999999995E-6</v>
      </c>
      <c r="J15" s="23">
        <v>1.5400000000000002E-8</v>
      </c>
      <c r="K15" s="23">
        <v>1.5880000000000001</v>
      </c>
      <c r="L15" s="23">
        <v>1.5880000000000001</v>
      </c>
      <c r="M15" s="23">
        <v>6.79E-3</v>
      </c>
      <c r="N15" s="23">
        <v>1.891</v>
      </c>
      <c r="O15" s="23">
        <v>5.6600000000000004E-8</v>
      </c>
      <c r="P15" s="23">
        <v>1.454E-6</v>
      </c>
    </row>
    <row r="16" spans="1:17" s="20" customFormat="1" x14ac:dyDescent="0.25">
      <c r="A16" s="21"/>
      <c r="B16" s="22">
        <v>19</v>
      </c>
      <c r="C16" s="25" t="s">
        <v>49</v>
      </c>
      <c r="D16" s="25"/>
      <c r="E16" s="22">
        <v>1</v>
      </c>
      <c r="F16" s="22">
        <v>2.456</v>
      </c>
      <c r="G16" s="23">
        <v>9.4000000000000008E-8</v>
      </c>
      <c r="H16" s="23">
        <v>7.9000000000000013E-9</v>
      </c>
      <c r="I16" s="23">
        <v>3.117E-6</v>
      </c>
      <c r="J16" s="23">
        <v>1.2500000000000001E-8</v>
      </c>
      <c r="K16" s="23">
        <v>1.5860000000000001</v>
      </c>
      <c r="L16" s="23">
        <v>1.5860000000000001</v>
      </c>
      <c r="M16" s="23">
        <v>6.9000000000000008E-3</v>
      </c>
      <c r="N16" s="24">
        <v>1.909</v>
      </c>
      <c r="O16" s="24">
        <v>5.0200000000000006E-8</v>
      </c>
      <c r="P16" s="24">
        <v>1.0629999999999998E-6</v>
      </c>
    </row>
    <row r="17" spans="1:16" s="20" customFormat="1" x14ac:dyDescent="0.25">
      <c r="A17" s="21"/>
      <c r="B17" s="22">
        <v>23</v>
      </c>
      <c r="C17" s="25" t="s">
        <v>49</v>
      </c>
      <c r="D17" s="26"/>
      <c r="E17" s="22">
        <v>1</v>
      </c>
      <c r="F17" s="22">
        <v>2.387</v>
      </c>
      <c r="G17" s="23">
        <v>2.9150000000000004E-7</v>
      </c>
      <c r="H17" s="23">
        <v>1.1199999999999999E-8</v>
      </c>
      <c r="I17" s="23">
        <v>9.8149999999999984E-6</v>
      </c>
      <c r="J17" s="23">
        <v>1.7600000000000002E-8</v>
      </c>
      <c r="K17" s="23">
        <v>1.556</v>
      </c>
      <c r="L17" s="23">
        <v>1.556</v>
      </c>
      <c r="M17" s="23">
        <v>7.0899999999999999E-3</v>
      </c>
      <c r="N17" s="24">
        <v>1.835</v>
      </c>
      <c r="O17" s="24">
        <v>1.016E-7</v>
      </c>
      <c r="P17" s="24">
        <v>3.5659999999999998E-6</v>
      </c>
    </row>
    <row r="18" spans="1:16" s="20" customFormat="1" x14ac:dyDescent="0.25">
      <c r="A18" s="21"/>
      <c r="B18" s="22">
        <v>25</v>
      </c>
      <c r="C18" s="25" t="s">
        <v>49</v>
      </c>
      <c r="D18" s="25"/>
      <c r="E18" s="22">
        <v>1</v>
      </c>
      <c r="F18" s="22">
        <v>2.5249999999999999</v>
      </c>
      <c r="G18" s="23">
        <v>7.1700000000000013E-8</v>
      </c>
      <c r="H18" s="23">
        <v>7.500000000000001E-9</v>
      </c>
      <c r="I18" s="23">
        <v>2.8639999999999996E-6</v>
      </c>
      <c r="J18" s="23">
        <v>9.5000000000000007E-9</v>
      </c>
      <c r="K18" s="23">
        <v>1.556</v>
      </c>
      <c r="L18" s="23">
        <v>1.556</v>
      </c>
      <c r="M18" s="23">
        <v>6.7200000000000003E-3</v>
      </c>
      <c r="N18" s="24">
        <v>1.9139999999999999</v>
      </c>
      <c r="O18" s="24">
        <v>4.73E-8</v>
      </c>
      <c r="P18" s="24">
        <v>9.3360000000000005E-7</v>
      </c>
    </row>
    <row r="19" spans="1:16" s="20" customFormat="1" x14ac:dyDescent="0.25">
      <c r="A19" s="21"/>
      <c r="B19" s="22">
        <v>33</v>
      </c>
      <c r="C19" s="25" t="s">
        <v>49</v>
      </c>
      <c r="D19" s="25"/>
      <c r="E19" s="22">
        <v>1</v>
      </c>
      <c r="F19" s="22">
        <v>2.5609999999999999</v>
      </c>
      <c r="G19" s="23">
        <v>1.4420000000000001E-7</v>
      </c>
      <c r="H19" s="23">
        <v>8.199999999999999E-9</v>
      </c>
      <c r="I19" s="23">
        <v>6.0460000000000002E-6</v>
      </c>
      <c r="J19" s="23">
        <v>1.8600000000000001E-8</v>
      </c>
      <c r="K19" s="23">
        <v>1.577</v>
      </c>
      <c r="L19" s="23">
        <v>1.577</v>
      </c>
      <c r="M19" s="23">
        <v>6.5500000000000003E-3</v>
      </c>
      <c r="N19" s="24">
        <v>1.901</v>
      </c>
      <c r="O19" s="24">
        <v>7.2000000000000009E-8</v>
      </c>
      <c r="P19" s="24">
        <v>2.1969999999999999E-6</v>
      </c>
    </row>
    <row r="20" spans="1:16" s="20" customFormat="1" x14ac:dyDescent="0.25">
      <c r="A20" s="21"/>
      <c r="B20" s="22">
        <v>35</v>
      </c>
      <c r="C20" s="25" t="s">
        <v>49</v>
      </c>
      <c r="D20" s="25"/>
      <c r="E20" s="22">
        <v>1</v>
      </c>
      <c r="F20" s="22">
        <v>2.4950000000000001</v>
      </c>
      <c r="G20" s="23">
        <v>1.2570000000000002E-7</v>
      </c>
      <c r="H20" s="23">
        <v>1.0099999999999999E-8</v>
      </c>
      <c r="I20" s="23">
        <v>7.5499999999999997E-6</v>
      </c>
      <c r="J20" s="23">
        <v>2.2800000000000002E-8</v>
      </c>
      <c r="K20" s="23">
        <v>1.605</v>
      </c>
      <c r="L20" s="23">
        <v>1.605</v>
      </c>
      <c r="M20" s="23">
        <v>6.6900000000000006E-3</v>
      </c>
      <c r="N20" s="24">
        <v>1.915</v>
      </c>
      <c r="O20" s="24">
        <v>7.2100000000000004E-8</v>
      </c>
      <c r="P20" s="24">
        <v>2.7149999999999998E-6</v>
      </c>
    </row>
    <row r="21" spans="1:16" s="20" customFormat="1" x14ac:dyDescent="0.25">
      <c r="A21" s="21"/>
      <c r="B21" s="22">
        <v>36</v>
      </c>
      <c r="C21" s="25" t="s">
        <v>49</v>
      </c>
      <c r="D21" s="25"/>
      <c r="E21" s="22">
        <v>1</v>
      </c>
      <c r="F21" s="22">
        <v>2.5230000000000001</v>
      </c>
      <c r="G21" s="23">
        <v>1.6159999999999999E-7</v>
      </c>
      <c r="H21" s="23">
        <v>9.1000000000000004E-9</v>
      </c>
      <c r="I21" s="23">
        <v>5.5739999999999995E-6</v>
      </c>
      <c r="J21" s="23">
        <v>1.5800000000000003E-8</v>
      </c>
      <c r="K21" s="23">
        <v>1.579</v>
      </c>
      <c r="L21" s="23">
        <v>1.579</v>
      </c>
      <c r="M21" s="23">
        <v>6.6100000000000004E-3</v>
      </c>
      <c r="N21" s="24">
        <v>1.881</v>
      </c>
      <c r="O21" s="24">
        <v>5.9600000000000004E-8</v>
      </c>
      <c r="P21" s="24">
        <v>1.9759999999999998E-6</v>
      </c>
    </row>
    <row r="22" spans="1:16" s="20" customFormat="1" x14ac:dyDescent="0.25">
      <c r="A22" s="21"/>
      <c r="B22" s="22">
        <v>37</v>
      </c>
      <c r="C22" s="25" t="s">
        <v>49</v>
      </c>
      <c r="D22" s="25"/>
      <c r="E22" s="22">
        <v>1</v>
      </c>
      <c r="F22" s="22">
        <v>2.4820000000000002</v>
      </c>
      <c r="G22" s="23">
        <v>1.4559999999999999E-6</v>
      </c>
      <c r="H22" s="23">
        <v>9.0000000000000012E-9</v>
      </c>
      <c r="I22" s="23">
        <v>1.5359999999999999E-5</v>
      </c>
      <c r="J22" s="23">
        <v>1.3000000000000001E-8</v>
      </c>
      <c r="K22" s="23">
        <v>1.577</v>
      </c>
      <c r="L22" s="23">
        <v>1.577</v>
      </c>
      <c r="M22" s="23">
        <v>6.8500000000000002E-3</v>
      </c>
      <c r="N22" s="24">
        <v>1.9139999999999999</v>
      </c>
      <c r="O22" s="24">
        <v>5.7300000000000004E-8</v>
      </c>
      <c r="P22" s="24">
        <v>8.2899999999999986E-6</v>
      </c>
    </row>
    <row r="23" spans="1:16" s="20" customFormat="1" x14ac:dyDescent="0.25">
      <c r="A23" s="21"/>
      <c r="B23" s="22">
        <v>38</v>
      </c>
      <c r="C23" s="25" t="s">
        <v>49</v>
      </c>
      <c r="D23" s="25"/>
      <c r="E23" s="22">
        <v>1</v>
      </c>
      <c r="F23" s="22">
        <v>2.4780000000000002</v>
      </c>
      <c r="G23" s="23">
        <v>2.1030000000000002E-7</v>
      </c>
      <c r="H23" s="23">
        <v>9.6999999999999992E-9</v>
      </c>
      <c r="I23" s="23">
        <v>5.8579999999999996E-6</v>
      </c>
      <c r="J23" s="23">
        <v>2.0100000000000001E-8</v>
      </c>
      <c r="K23" s="23">
        <v>1.597</v>
      </c>
      <c r="L23" s="23">
        <v>1.597</v>
      </c>
      <c r="M23" s="23">
        <v>6.8700000000000002E-3</v>
      </c>
      <c r="N23" s="24">
        <v>1.9</v>
      </c>
      <c r="O23" s="24">
        <v>6.5599999999999992E-8</v>
      </c>
      <c r="P23" s="24">
        <v>2.2369999999999999E-6</v>
      </c>
    </row>
    <row r="24" spans="1:16" s="20" customFormat="1" x14ac:dyDescent="0.25">
      <c r="A24" s="21"/>
      <c r="B24" s="22">
        <v>40</v>
      </c>
      <c r="C24" s="25" t="s">
        <v>49</v>
      </c>
      <c r="D24" s="26"/>
      <c r="E24" s="22">
        <v>1</v>
      </c>
      <c r="F24" s="22">
        <v>2.5539999999999998</v>
      </c>
      <c r="G24" s="23">
        <v>9.5000000000000004E-8</v>
      </c>
      <c r="H24" s="23">
        <v>7.8000000000000004E-9</v>
      </c>
      <c r="I24" s="23">
        <v>4.2989999999999998E-6</v>
      </c>
      <c r="J24" s="23">
        <v>1.0800000000000001E-8</v>
      </c>
      <c r="K24" s="23">
        <v>1.5840000000000001</v>
      </c>
      <c r="L24" s="23">
        <v>1.5840000000000001</v>
      </c>
      <c r="M24" s="23">
        <v>6.5700000000000003E-3</v>
      </c>
      <c r="N24" s="24">
        <v>1.9319999999999999</v>
      </c>
      <c r="O24" s="24">
        <v>5.2100000000000003E-8</v>
      </c>
      <c r="P24" s="24">
        <v>1.48E-6</v>
      </c>
    </row>
    <row r="25" spans="1:16" s="20" customFormat="1" x14ac:dyDescent="0.25">
      <c r="A25" s="21"/>
      <c r="B25" s="22">
        <v>41</v>
      </c>
      <c r="C25" s="25" t="s">
        <v>49</v>
      </c>
      <c r="D25" s="26"/>
      <c r="E25" s="22">
        <v>1</v>
      </c>
      <c r="F25" s="22">
        <v>2.5339999999999998</v>
      </c>
      <c r="G25" s="23">
        <v>1.3369999999999999E-7</v>
      </c>
      <c r="H25" s="23">
        <v>9.0000000000000012E-9</v>
      </c>
      <c r="I25" s="23">
        <v>7.2599999999999991E-6</v>
      </c>
      <c r="J25" s="23">
        <v>1.55E-8</v>
      </c>
      <c r="K25" s="23">
        <v>1.58</v>
      </c>
      <c r="L25" s="23">
        <v>1.58</v>
      </c>
      <c r="M25" s="23">
        <v>6.5300000000000002E-3</v>
      </c>
      <c r="N25" s="24">
        <v>1.9019999999999999</v>
      </c>
      <c r="O25" s="24">
        <v>6.6800000000000003E-8</v>
      </c>
      <c r="P25" s="24">
        <v>2.2170000000000001E-6</v>
      </c>
    </row>
    <row r="26" spans="1:16" x14ac:dyDescent="0.25">
      <c r="B26" s="22">
        <v>42</v>
      </c>
      <c r="C26" s="25" t="s">
        <v>49</v>
      </c>
      <c r="D26" s="25"/>
      <c r="E26" s="22">
        <v>1</v>
      </c>
      <c r="F26" s="22">
        <v>2.6280000000000001</v>
      </c>
      <c r="G26" s="23">
        <v>2.7319999999999998E-7</v>
      </c>
      <c r="H26" s="23">
        <v>1.02E-8</v>
      </c>
      <c r="I26" s="23">
        <v>8.6729999999999998E-6</v>
      </c>
      <c r="J26" s="23">
        <v>1.8600000000000001E-8</v>
      </c>
      <c r="K26" s="23">
        <v>1.5660000000000001</v>
      </c>
      <c r="L26" s="23">
        <v>1.5660000000000001</v>
      </c>
      <c r="M26" s="23">
        <v>6.4000000000000003E-3</v>
      </c>
      <c r="N26" s="23">
        <v>1.8680000000000001</v>
      </c>
      <c r="O26" s="23">
        <v>8.0400000000000005E-8</v>
      </c>
      <c r="P26" s="23">
        <v>3.427E-6</v>
      </c>
    </row>
    <row r="27" spans="1:16" x14ac:dyDescent="0.25">
      <c r="B27" s="22">
        <v>44</v>
      </c>
      <c r="C27" s="25" t="s">
        <v>49</v>
      </c>
      <c r="D27" s="26"/>
      <c r="E27" s="22">
        <v>1</v>
      </c>
      <c r="F27" s="22">
        <v>2.496</v>
      </c>
      <c r="G27" s="23">
        <v>1.3090000000000001E-7</v>
      </c>
      <c r="H27" s="23">
        <v>1E-8</v>
      </c>
      <c r="I27" s="23">
        <v>5.7069999999999997E-6</v>
      </c>
      <c r="J27" s="23">
        <v>2.22E-8</v>
      </c>
      <c r="K27" s="23">
        <v>1.61</v>
      </c>
      <c r="L27" s="23">
        <v>1.61</v>
      </c>
      <c r="M27" s="23">
        <v>6.7200000000000003E-3</v>
      </c>
      <c r="N27" s="23">
        <v>1.921</v>
      </c>
      <c r="O27" s="23">
        <v>7.4000000000000001E-8</v>
      </c>
      <c r="P27" s="23">
        <v>2.4269999999999998E-6</v>
      </c>
    </row>
    <row r="28" spans="1:16" x14ac:dyDescent="0.25">
      <c r="B28" s="22">
        <v>46</v>
      </c>
      <c r="C28" s="25" t="s">
        <v>49</v>
      </c>
      <c r="D28" s="25"/>
      <c r="E28" s="22">
        <v>1</v>
      </c>
      <c r="F28" s="22">
        <v>2.5310000000000001</v>
      </c>
      <c r="G28" s="23">
        <v>3.0919999999999999E-7</v>
      </c>
      <c r="H28" s="23">
        <v>1.0300000000000001E-8</v>
      </c>
      <c r="I28" s="23">
        <v>1.4109999999999999E-5</v>
      </c>
      <c r="J28" s="23">
        <v>1.6199999999999999E-8</v>
      </c>
      <c r="K28" s="23">
        <v>1.605</v>
      </c>
      <c r="L28" s="23">
        <v>1.605</v>
      </c>
      <c r="M28" s="23">
        <v>6.6800000000000002E-3</v>
      </c>
      <c r="N28" s="23">
        <v>1.89</v>
      </c>
      <c r="O28" s="23">
        <v>1.0209999999999999E-7</v>
      </c>
      <c r="P28" s="23">
        <v>4.6099999999999999E-6</v>
      </c>
    </row>
    <row r="29" spans="1:16" x14ac:dyDescent="0.25">
      <c r="B29" s="22">
        <v>47</v>
      </c>
      <c r="C29" s="25" t="s">
        <v>49</v>
      </c>
      <c r="D29" s="25"/>
      <c r="E29" s="22">
        <v>1</v>
      </c>
      <c r="F29" s="22">
        <v>2.4700000000000002</v>
      </c>
      <c r="G29" s="23">
        <v>2.4320000000000001E-7</v>
      </c>
      <c r="H29" s="23">
        <v>1.0099999999999999E-8</v>
      </c>
      <c r="I29" s="23">
        <v>9.5219999999999996E-6</v>
      </c>
      <c r="J29" s="23">
        <v>1.6399999999999998E-8</v>
      </c>
      <c r="K29" s="23">
        <v>1.6160000000000001</v>
      </c>
      <c r="L29" s="23">
        <v>1.6160000000000001</v>
      </c>
      <c r="M29" s="23">
        <v>6.8600000000000006E-3</v>
      </c>
      <c r="N29" s="23">
        <v>1.909</v>
      </c>
      <c r="O29" s="23">
        <v>9.3800000000000006E-8</v>
      </c>
      <c r="P29" s="23">
        <v>3.269E-6</v>
      </c>
    </row>
    <row r="30" spans="1:16" x14ac:dyDescent="0.25">
      <c r="B30" s="22">
        <v>48</v>
      </c>
      <c r="C30" s="25" t="s">
        <v>49</v>
      </c>
      <c r="D30" s="25"/>
      <c r="E30" s="22">
        <v>1</v>
      </c>
      <c r="F30" s="22">
        <v>2.5350000000000001</v>
      </c>
      <c r="G30" s="23">
        <v>2.6469999999999998E-7</v>
      </c>
      <c r="H30" s="23">
        <v>1.0500000000000001E-8</v>
      </c>
      <c r="I30" s="23">
        <v>8.6769999999999984E-6</v>
      </c>
      <c r="J30" s="23">
        <v>1.89E-8</v>
      </c>
      <c r="K30" s="23">
        <v>1.597</v>
      </c>
      <c r="L30" s="23">
        <v>1.597</v>
      </c>
      <c r="M30" s="23">
        <v>6.6900000000000006E-3</v>
      </c>
      <c r="N30" s="23">
        <v>1.891</v>
      </c>
      <c r="O30" s="23">
        <v>8.240000000000001E-8</v>
      </c>
      <c r="P30" s="23">
        <v>3.0929999999999999E-6</v>
      </c>
    </row>
    <row r="31" spans="1:16" x14ac:dyDescent="0.25">
      <c r="B31" s="22">
        <v>50</v>
      </c>
      <c r="C31" s="25" t="s">
        <v>49</v>
      </c>
      <c r="D31" s="25"/>
      <c r="E31" s="22">
        <v>1</v>
      </c>
      <c r="F31" s="22">
        <v>2.4969999999999999</v>
      </c>
      <c r="G31" s="23">
        <v>1.797E-7</v>
      </c>
      <c r="H31" s="23">
        <v>7.8000000000000004E-9</v>
      </c>
      <c r="I31" s="23">
        <v>6.1099999999999999E-6</v>
      </c>
      <c r="J31" s="23">
        <v>1.5800000000000003E-8</v>
      </c>
      <c r="K31" s="23">
        <v>1.55</v>
      </c>
      <c r="L31" s="23">
        <v>1.55</v>
      </c>
      <c r="M31" s="23">
        <v>6.7599999999999995E-3</v>
      </c>
      <c r="N31" s="23">
        <v>1.843</v>
      </c>
      <c r="O31" s="23">
        <v>6.3100000000000003E-8</v>
      </c>
      <c r="P31" s="23">
        <v>2.1179999999999999E-6</v>
      </c>
    </row>
    <row r="32" spans="1:16" x14ac:dyDescent="0.25">
      <c r="B32" s="22">
        <v>54</v>
      </c>
      <c r="C32" s="25" t="s">
        <v>49</v>
      </c>
      <c r="D32" s="25"/>
      <c r="E32" s="22">
        <v>1</v>
      </c>
      <c r="F32" s="22">
        <v>2.548</v>
      </c>
      <c r="G32" s="23">
        <v>3.1280000000000005E-7</v>
      </c>
      <c r="H32" s="23">
        <v>8.6000000000000009E-9</v>
      </c>
      <c r="I32" s="23">
        <v>4.8969999999999999E-6</v>
      </c>
      <c r="J32" s="23">
        <v>1.3900000000000002E-8</v>
      </c>
      <c r="K32" s="23">
        <v>1.5860000000000001</v>
      </c>
      <c r="L32" s="23">
        <v>1.5860000000000001</v>
      </c>
      <c r="M32" s="23">
        <v>6.5500000000000003E-3</v>
      </c>
      <c r="N32" s="23">
        <v>1.887</v>
      </c>
      <c r="O32" s="23">
        <v>5.4E-8</v>
      </c>
      <c r="P32" s="23">
        <v>2.1059999999999998E-6</v>
      </c>
    </row>
    <row r="33" spans="2:16" x14ac:dyDescent="0.25">
      <c r="B33" s="22">
        <v>59</v>
      </c>
      <c r="C33" s="25" t="s">
        <v>49</v>
      </c>
      <c r="D33" s="25"/>
      <c r="E33" s="22">
        <v>1</v>
      </c>
      <c r="F33" s="22">
        <v>2.504</v>
      </c>
      <c r="G33" s="23">
        <v>1.068E-7</v>
      </c>
      <c r="H33" s="23">
        <v>8.7000000000000001E-9</v>
      </c>
      <c r="I33" s="23">
        <v>3.5209999999999998E-6</v>
      </c>
      <c r="J33" s="23">
        <v>1.5700000000000002E-8</v>
      </c>
      <c r="K33" s="23">
        <v>1.597</v>
      </c>
      <c r="L33" s="23">
        <v>1.597</v>
      </c>
      <c r="M33" s="23">
        <v>6.6400000000000001E-3</v>
      </c>
      <c r="N33" s="23">
        <v>1.9</v>
      </c>
      <c r="O33" s="23">
        <v>5.6600000000000004E-8</v>
      </c>
      <c r="P33" s="23">
        <v>1.2410000000000001E-6</v>
      </c>
    </row>
    <row r="34" spans="2:16" x14ac:dyDescent="0.25">
      <c r="B34" s="22">
        <v>71</v>
      </c>
      <c r="C34" s="25" t="s">
        <v>49</v>
      </c>
      <c r="D34" s="25"/>
      <c r="E34" s="22">
        <v>1</v>
      </c>
      <c r="F34" s="22">
        <v>2.6379999999999999</v>
      </c>
      <c r="G34" s="23">
        <v>6.8299999999999996E-8</v>
      </c>
      <c r="H34" s="23">
        <v>8.3000000000000015E-9</v>
      </c>
      <c r="I34" s="23">
        <v>2.402E-6</v>
      </c>
      <c r="J34" s="23">
        <v>1.4300000000000002E-8</v>
      </c>
      <c r="K34" s="23">
        <v>1.609</v>
      </c>
      <c r="L34" s="23">
        <v>1.609</v>
      </c>
      <c r="M34" s="23">
        <v>6.4200000000000004E-3</v>
      </c>
      <c r="N34" s="23">
        <v>1.948</v>
      </c>
      <c r="O34" s="23">
        <v>5.0500000000000002E-8</v>
      </c>
      <c r="P34" s="23">
        <v>8.0840000000000007E-7</v>
      </c>
    </row>
    <row r="35" spans="2:16" x14ac:dyDescent="0.25">
      <c r="B35" s="22">
        <v>72</v>
      </c>
      <c r="C35" s="25" t="s">
        <v>49</v>
      </c>
      <c r="D35" s="25"/>
      <c r="E35" s="22">
        <v>1</v>
      </c>
      <c r="F35" s="22">
        <v>2.4529999999999998</v>
      </c>
      <c r="G35" s="23">
        <v>8.8100000000000001E-8</v>
      </c>
      <c r="H35" s="23">
        <v>7.3E-9</v>
      </c>
      <c r="I35" s="23">
        <v>4.2549999999999999E-6</v>
      </c>
      <c r="J35" s="23">
        <v>9.1999999999999997E-9</v>
      </c>
      <c r="K35" s="23">
        <v>1.538</v>
      </c>
      <c r="L35" s="23">
        <v>1.538</v>
      </c>
      <c r="M35" s="23">
        <v>7.0099999999999997E-3</v>
      </c>
      <c r="N35" s="23">
        <v>1.8759999999999999</v>
      </c>
      <c r="O35" s="23">
        <v>4.5500000000000004E-8</v>
      </c>
      <c r="P35" s="23">
        <v>1.48E-6</v>
      </c>
    </row>
    <row r="36" spans="2:16" x14ac:dyDescent="0.25">
      <c r="B36" s="22">
        <v>75</v>
      </c>
      <c r="C36" s="25" t="s">
        <v>49</v>
      </c>
      <c r="D36" s="26"/>
      <c r="E36" s="22">
        <v>1</v>
      </c>
      <c r="F36" s="22">
        <v>2.464</v>
      </c>
      <c r="G36" s="23">
        <v>1.8130000000000002E-7</v>
      </c>
      <c r="H36" s="23">
        <v>1.02E-8</v>
      </c>
      <c r="I36" s="23">
        <v>8.3000000000000002E-6</v>
      </c>
      <c r="J36" s="23">
        <v>1.37E-8</v>
      </c>
      <c r="K36" s="23">
        <v>1.5329999999999999</v>
      </c>
      <c r="L36" s="23">
        <v>1.5329999999999999</v>
      </c>
      <c r="M36" s="23">
        <v>6.9500000000000004E-3</v>
      </c>
      <c r="N36" s="23">
        <v>1.833</v>
      </c>
      <c r="O36" s="23">
        <v>6.4900000000000005E-8</v>
      </c>
      <c r="P36" s="23">
        <v>2.7839999999999995E-6</v>
      </c>
    </row>
    <row r="37" spans="2:16" x14ac:dyDescent="0.25">
      <c r="B37" s="22">
        <v>76</v>
      </c>
      <c r="C37" s="25" t="s">
        <v>49</v>
      </c>
      <c r="D37" s="25"/>
      <c r="E37" s="22">
        <v>1</v>
      </c>
      <c r="F37" s="22">
        <v>2.5750000000000002</v>
      </c>
      <c r="G37" s="23">
        <v>1.9540000000000002E-7</v>
      </c>
      <c r="H37" s="23">
        <v>1.0099999999999999E-8</v>
      </c>
      <c r="I37" s="23">
        <v>8.3539999999999983E-6</v>
      </c>
      <c r="J37" s="23">
        <v>1.7800000000000001E-8</v>
      </c>
      <c r="K37" s="23">
        <v>1.5529999999999999</v>
      </c>
      <c r="L37" s="23">
        <v>1.5529999999999999</v>
      </c>
      <c r="M37" s="23">
        <v>6.43E-3</v>
      </c>
      <c r="N37" s="23">
        <v>1.8660000000000001</v>
      </c>
      <c r="O37" s="23">
        <v>9.1300000000000004E-8</v>
      </c>
      <c r="P37" s="23">
        <v>2.9519999999999999E-6</v>
      </c>
    </row>
    <row r="38" spans="2:16" x14ac:dyDescent="0.25">
      <c r="B38" s="22">
        <v>83</v>
      </c>
      <c r="C38" s="25" t="s">
        <v>49</v>
      </c>
      <c r="D38" s="26"/>
      <c r="E38" s="22">
        <v>1</v>
      </c>
      <c r="F38" s="22">
        <v>2.5419999999999998</v>
      </c>
      <c r="G38" s="23">
        <v>1.3760000000000001E-7</v>
      </c>
      <c r="H38" s="23">
        <v>1.0600000000000001E-8</v>
      </c>
      <c r="I38" s="23">
        <v>4.6419999999999998E-6</v>
      </c>
      <c r="J38" s="23">
        <v>2.9600000000000004E-8</v>
      </c>
      <c r="K38" s="23">
        <v>1.601</v>
      </c>
      <c r="L38" s="23">
        <v>1.601</v>
      </c>
      <c r="M38" s="23">
        <v>6.7000000000000002E-3</v>
      </c>
      <c r="N38" s="23">
        <v>1.9419999999999999</v>
      </c>
      <c r="O38" s="23">
        <v>6.4000000000000004E-8</v>
      </c>
      <c r="P38" s="23">
        <v>1.7479999999999998E-6</v>
      </c>
    </row>
    <row r="39" spans="2:16" x14ac:dyDescent="0.25">
      <c r="B39" s="22">
        <v>87</v>
      </c>
      <c r="C39" s="25" t="s">
        <v>49</v>
      </c>
      <c r="D39" s="25"/>
      <c r="E39" s="22">
        <v>1</v>
      </c>
      <c r="F39" s="22">
        <v>2.5070000000000001</v>
      </c>
      <c r="G39" s="23">
        <v>4.0610000000000007E-7</v>
      </c>
      <c r="H39" s="23">
        <v>1.11E-8</v>
      </c>
      <c r="I39" s="23">
        <v>1.0519999999999999E-5</v>
      </c>
      <c r="J39" s="23">
        <v>2.07E-8</v>
      </c>
      <c r="K39" s="23">
        <v>1.577</v>
      </c>
      <c r="L39" s="23">
        <v>1.577</v>
      </c>
      <c r="M39" s="23">
        <v>6.77E-3</v>
      </c>
      <c r="N39" s="23">
        <v>1.865</v>
      </c>
      <c r="O39" s="23">
        <v>8.8300000000000003E-8</v>
      </c>
      <c r="P39" s="23">
        <v>4.0269999999999997E-6</v>
      </c>
    </row>
    <row r="40" spans="2:16" x14ac:dyDescent="0.25">
      <c r="B40" s="22">
        <v>88</v>
      </c>
      <c r="C40" s="25" t="s">
        <v>49</v>
      </c>
      <c r="D40" s="25"/>
      <c r="E40" s="22">
        <v>1</v>
      </c>
      <c r="F40" s="22">
        <v>2.5609999999999999</v>
      </c>
      <c r="G40" s="23">
        <v>8.089E-7</v>
      </c>
      <c r="H40" s="23">
        <v>1.1199999999999999E-8</v>
      </c>
      <c r="I40" s="23">
        <v>1.431E-5</v>
      </c>
      <c r="J40" s="23">
        <v>1.7800000000000001E-8</v>
      </c>
      <c r="K40" s="23">
        <v>1.585</v>
      </c>
      <c r="L40" s="23">
        <v>1.585</v>
      </c>
      <c r="M40" s="23">
        <v>6.4700000000000001E-3</v>
      </c>
      <c r="N40" s="23">
        <v>1.873</v>
      </c>
      <c r="O40" s="23">
        <v>1.02E-7</v>
      </c>
      <c r="P40" s="23">
        <v>6.0460000000000002E-6</v>
      </c>
    </row>
    <row r="41" spans="2:16" x14ac:dyDescent="0.25">
      <c r="B41" s="22">
        <v>90</v>
      </c>
      <c r="C41" s="25" t="s">
        <v>49</v>
      </c>
      <c r="D41" s="25"/>
      <c r="E41" s="22">
        <v>1</v>
      </c>
      <c r="F41" s="22">
        <v>2.5649999999999999</v>
      </c>
      <c r="G41" s="23">
        <v>2.3800000000000001E-7</v>
      </c>
      <c r="H41" s="23">
        <v>1.0600000000000001E-8</v>
      </c>
      <c r="I41" s="23">
        <v>6.4439999999999996E-6</v>
      </c>
      <c r="J41" s="23">
        <v>1.8600000000000001E-8</v>
      </c>
      <c r="K41" s="23">
        <v>1.5149999999999999</v>
      </c>
      <c r="L41" s="23">
        <v>1.5149999999999999</v>
      </c>
      <c r="M41" s="23">
        <v>6.5100000000000002E-3</v>
      </c>
      <c r="N41" s="23">
        <v>1.79</v>
      </c>
      <c r="O41" s="23">
        <v>9.1900000000000009E-8</v>
      </c>
      <c r="P41" s="23">
        <v>2.3239999999999997E-6</v>
      </c>
    </row>
    <row r="42" spans="2:16" x14ac:dyDescent="0.25">
      <c r="B42" s="22">
        <v>91</v>
      </c>
      <c r="C42" s="25" t="s">
        <v>49</v>
      </c>
      <c r="D42" s="25"/>
      <c r="E42" s="22">
        <v>1</v>
      </c>
      <c r="F42" s="22">
        <v>2.5510000000000002</v>
      </c>
      <c r="G42" s="23">
        <v>1.1000000000000001E-7</v>
      </c>
      <c r="H42" s="23">
        <v>8.3000000000000015E-9</v>
      </c>
      <c r="I42" s="23">
        <v>3.3210000000000001E-6</v>
      </c>
      <c r="J42" s="23">
        <v>1.1400000000000001E-8</v>
      </c>
      <c r="K42" s="23">
        <v>1.56</v>
      </c>
      <c r="L42" s="23">
        <v>1.56</v>
      </c>
      <c r="M42" s="23">
        <v>6.7499999999999999E-3</v>
      </c>
      <c r="N42" s="23">
        <v>1.8779999999999999</v>
      </c>
      <c r="O42" s="23">
        <v>4.9900000000000003E-8</v>
      </c>
      <c r="P42" s="23">
        <v>1.1930000000000001E-6</v>
      </c>
    </row>
    <row r="43" spans="2:16" x14ac:dyDescent="0.25">
      <c r="B43" s="22">
        <v>92</v>
      </c>
      <c r="C43" s="25" t="s">
        <v>49</v>
      </c>
      <c r="D43" s="25"/>
      <c r="E43" s="22">
        <v>1</v>
      </c>
      <c r="F43" s="22">
        <v>2.52</v>
      </c>
      <c r="G43" s="23">
        <v>1.031E-7</v>
      </c>
      <c r="H43" s="23">
        <v>7.7000000000000011E-9</v>
      </c>
      <c r="I43" s="23">
        <v>5.322E-6</v>
      </c>
      <c r="J43" s="23">
        <v>1.1400000000000001E-8</v>
      </c>
      <c r="K43" s="23">
        <v>1.575</v>
      </c>
      <c r="L43" s="23">
        <v>1.575</v>
      </c>
      <c r="M43" s="23">
        <v>6.7000000000000002E-3</v>
      </c>
      <c r="N43" s="23">
        <v>1.9079999999999999</v>
      </c>
      <c r="O43" s="23">
        <v>4.7799999999999998E-8</v>
      </c>
      <c r="P43" s="23">
        <v>2.0279999999999999E-6</v>
      </c>
    </row>
    <row r="44" spans="2:16" x14ac:dyDescent="0.25">
      <c r="B44" s="22">
        <v>93</v>
      </c>
      <c r="C44" s="25" t="s">
        <v>49</v>
      </c>
      <c r="D44" s="25"/>
      <c r="E44" s="22">
        <v>1</v>
      </c>
      <c r="F44" s="22">
        <v>2.5299999999999998</v>
      </c>
      <c r="G44" s="23">
        <v>2.3650000000000001E-7</v>
      </c>
      <c r="H44" s="23">
        <v>1.0800000000000001E-8</v>
      </c>
      <c r="I44" s="23">
        <v>6.6779999999999994E-6</v>
      </c>
      <c r="J44" s="23">
        <v>1.8399999999999999E-8</v>
      </c>
      <c r="K44" s="23">
        <v>1.5229999999999999</v>
      </c>
      <c r="L44" s="23">
        <v>1.5229999999999999</v>
      </c>
      <c r="M44" s="23">
        <v>6.6500000000000005E-3</v>
      </c>
      <c r="N44" s="23">
        <v>1.802</v>
      </c>
      <c r="O44" s="23">
        <v>9.7400000000000012E-8</v>
      </c>
      <c r="P44" s="23">
        <v>2.5279999999999998E-6</v>
      </c>
    </row>
    <row r="45" spans="2:16" x14ac:dyDescent="0.25">
      <c r="B45" s="22">
        <v>95</v>
      </c>
      <c r="C45" s="25" t="s">
        <v>49</v>
      </c>
      <c r="D45" s="26"/>
      <c r="E45" s="22">
        <v>1</v>
      </c>
      <c r="F45" s="22">
        <v>2.5249999999999999</v>
      </c>
      <c r="G45" s="23">
        <v>1.1240000000000001E-7</v>
      </c>
      <c r="H45" s="23">
        <v>8.0000000000000005E-9</v>
      </c>
      <c r="I45" s="23">
        <v>4.5140000000000003E-6</v>
      </c>
      <c r="J45" s="23">
        <v>2.2800000000000002E-8</v>
      </c>
      <c r="K45" s="23">
        <v>1.6080000000000001</v>
      </c>
      <c r="L45" s="23">
        <v>1.6080000000000001</v>
      </c>
      <c r="M45" s="23">
        <v>6.6600000000000001E-3</v>
      </c>
      <c r="N45" s="23">
        <v>1.917</v>
      </c>
      <c r="O45" s="23">
        <v>7.3099999999999999E-8</v>
      </c>
      <c r="P45" s="23">
        <v>1.5709999999999999E-6</v>
      </c>
    </row>
    <row r="46" spans="2:16" x14ac:dyDescent="0.25">
      <c r="B46" s="22">
        <v>97</v>
      </c>
      <c r="C46" s="25" t="s">
        <v>49</v>
      </c>
      <c r="D46" s="25"/>
      <c r="E46" s="22">
        <v>1</v>
      </c>
      <c r="F46" s="22">
        <v>2.556</v>
      </c>
      <c r="G46" s="23">
        <v>1.547E-7</v>
      </c>
      <c r="H46" s="23">
        <v>9.5000000000000007E-9</v>
      </c>
      <c r="I46" s="23">
        <v>5.6779999999999997E-6</v>
      </c>
      <c r="J46" s="23">
        <v>1.92E-8</v>
      </c>
      <c r="K46" s="23">
        <v>1.591</v>
      </c>
      <c r="L46" s="23">
        <v>1.591</v>
      </c>
      <c r="M46" s="23">
        <v>6.6900000000000006E-3</v>
      </c>
      <c r="N46" s="23">
        <v>1.893</v>
      </c>
      <c r="O46" s="23">
        <v>6.6800000000000003E-8</v>
      </c>
      <c r="P46" s="23">
        <v>2.0880000000000002E-6</v>
      </c>
    </row>
    <row r="47" spans="2:16" x14ac:dyDescent="0.25">
      <c r="B47" s="22">
        <v>98</v>
      </c>
      <c r="C47" s="25" t="s">
        <v>49</v>
      </c>
      <c r="D47" s="25"/>
      <c r="E47" s="22">
        <v>1</v>
      </c>
      <c r="F47" s="22">
        <v>2.54</v>
      </c>
      <c r="G47" s="23">
        <v>2.4400000000000001E-7</v>
      </c>
      <c r="H47" s="23">
        <v>1.0800000000000001E-8</v>
      </c>
      <c r="I47" s="23">
        <v>6.5479999999999998E-6</v>
      </c>
      <c r="J47" s="23">
        <v>1.8200000000000001E-8</v>
      </c>
      <c r="K47" s="23">
        <v>1.5129999999999999</v>
      </c>
      <c r="L47" s="23">
        <v>1.5129999999999999</v>
      </c>
      <c r="M47" s="23">
        <v>6.7099999999999998E-3</v>
      </c>
      <c r="N47" s="23">
        <v>1.7849999999999999</v>
      </c>
      <c r="O47" s="23">
        <v>9.7100000000000003E-8</v>
      </c>
      <c r="P47" s="23">
        <v>2.6009999999999997E-6</v>
      </c>
    </row>
    <row r="48" spans="2:16" x14ac:dyDescent="0.25">
      <c r="B48" s="22">
        <v>106</v>
      </c>
      <c r="C48" s="25" t="s">
        <v>49</v>
      </c>
      <c r="D48" s="26"/>
      <c r="E48" s="22">
        <v>1</v>
      </c>
      <c r="F48" s="22">
        <v>2.5659999999999998</v>
      </c>
      <c r="G48" s="23">
        <v>6.8299999999999996E-8</v>
      </c>
      <c r="H48" s="23">
        <v>8.800000000000001E-9</v>
      </c>
      <c r="I48" s="23">
        <v>3.0129999999999998E-6</v>
      </c>
      <c r="J48" s="23">
        <v>1.4000000000000001E-8</v>
      </c>
      <c r="K48" s="23">
        <v>1.5920000000000001</v>
      </c>
      <c r="L48" s="23">
        <v>1.5920000000000001</v>
      </c>
      <c r="M48" s="23">
        <v>6.5100000000000002E-3</v>
      </c>
      <c r="N48" s="23">
        <v>1.9319999999999999</v>
      </c>
      <c r="O48" s="23">
        <v>5.0799999999999998E-8</v>
      </c>
      <c r="P48" s="23">
        <v>1.0549999999999999E-6</v>
      </c>
    </row>
    <row r="49" spans="2:16" x14ac:dyDescent="0.25">
      <c r="B49" s="22">
        <v>107</v>
      </c>
      <c r="C49" s="25" t="s">
        <v>49</v>
      </c>
      <c r="D49" s="25"/>
      <c r="E49" s="22">
        <v>1</v>
      </c>
      <c r="F49" s="22">
        <v>2.4500000000000002</v>
      </c>
      <c r="G49" s="23">
        <v>8.2300000000000002E-8</v>
      </c>
      <c r="H49" s="23">
        <v>7.6000000000000002E-9</v>
      </c>
      <c r="I49" s="23">
        <v>2.9919999999999999E-6</v>
      </c>
      <c r="J49" s="23">
        <v>9.8000000000000017E-9</v>
      </c>
      <c r="K49" s="23">
        <v>1.532</v>
      </c>
      <c r="L49" s="23">
        <v>1.532</v>
      </c>
      <c r="M49" s="23">
        <v>6.9100000000000003E-3</v>
      </c>
      <c r="N49" s="23">
        <v>1.871</v>
      </c>
      <c r="O49" s="23">
        <v>4.7100000000000005E-8</v>
      </c>
      <c r="P49" s="23">
        <v>9.6600000000000015E-7</v>
      </c>
    </row>
    <row r="50" spans="2:16" x14ac:dyDescent="0.25">
      <c r="B50" s="22">
        <v>109</v>
      </c>
      <c r="C50" s="25" t="s">
        <v>49</v>
      </c>
      <c r="D50" s="26"/>
      <c r="E50" s="22">
        <v>1</v>
      </c>
      <c r="F50" s="22">
        <v>2.593</v>
      </c>
      <c r="G50" s="23">
        <v>7.0900000000000006E-8</v>
      </c>
      <c r="H50" s="23">
        <v>8.7000000000000001E-9</v>
      </c>
      <c r="I50" s="23">
        <v>2.954E-6</v>
      </c>
      <c r="J50" s="23">
        <v>1.6199999999999999E-8</v>
      </c>
      <c r="K50" s="23">
        <v>1.599</v>
      </c>
      <c r="L50" s="23">
        <v>1.599</v>
      </c>
      <c r="M50" s="23">
        <v>6.4900000000000001E-3</v>
      </c>
      <c r="N50" s="23">
        <v>1.927</v>
      </c>
      <c r="O50" s="23">
        <v>5.4500000000000005E-8</v>
      </c>
      <c r="P50" s="23">
        <v>1.032E-6</v>
      </c>
    </row>
    <row r="51" spans="2:16" x14ac:dyDescent="0.25">
      <c r="B51" s="22">
        <v>113</v>
      </c>
      <c r="C51" s="25" t="s">
        <v>49</v>
      </c>
      <c r="D51" s="25"/>
      <c r="E51" s="22">
        <v>1</v>
      </c>
      <c r="F51" s="22">
        <v>2.5009999999999999</v>
      </c>
      <c r="G51" s="23">
        <v>1.9400000000000002E-7</v>
      </c>
      <c r="H51" s="23">
        <v>1E-8</v>
      </c>
      <c r="I51" s="23">
        <v>8.2159999999999989E-6</v>
      </c>
      <c r="J51" s="23">
        <v>1.7899999999999998E-8</v>
      </c>
      <c r="K51" s="23">
        <v>1.552</v>
      </c>
      <c r="L51" s="23">
        <v>1.552</v>
      </c>
      <c r="M51" s="23">
        <v>6.7400000000000003E-3</v>
      </c>
      <c r="N51" s="23">
        <v>1.8640000000000001</v>
      </c>
      <c r="O51" s="23">
        <v>8.7700000000000011E-8</v>
      </c>
      <c r="P51" s="23">
        <v>2.8169999999999999E-6</v>
      </c>
    </row>
    <row r="52" spans="2:16" x14ac:dyDescent="0.25">
      <c r="B52" s="22">
        <v>115</v>
      </c>
      <c r="C52" s="25" t="s">
        <v>49</v>
      </c>
      <c r="D52" s="27"/>
      <c r="E52" s="22">
        <v>1</v>
      </c>
      <c r="F52" s="22">
        <v>2.3959999999999999</v>
      </c>
      <c r="G52" s="23">
        <v>1.1290000000000001E-7</v>
      </c>
      <c r="H52" s="23">
        <v>9.6999999999999992E-9</v>
      </c>
      <c r="I52" s="23">
        <v>3.8340000000000001E-6</v>
      </c>
      <c r="J52" s="23">
        <v>1.9000000000000001E-8</v>
      </c>
      <c r="K52" s="23">
        <v>1.599</v>
      </c>
      <c r="L52" s="23">
        <v>1.599</v>
      </c>
      <c r="M52" s="23">
        <v>7.1700000000000002E-3</v>
      </c>
      <c r="N52" s="23">
        <v>1.8979999999999999</v>
      </c>
      <c r="O52" s="23">
        <v>6.2700000000000012E-8</v>
      </c>
      <c r="P52" s="23">
        <v>1.3119999999999999E-6</v>
      </c>
    </row>
    <row r="53" spans="2:16" x14ac:dyDescent="0.25">
      <c r="B53" s="22">
        <v>120</v>
      </c>
      <c r="C53" s="25" t="s">
        <v>49</v>
      </c>
      <c r="D53" s="26"/>
      <c r="E53" s="22">
        <v>1</v>
      </c>
      <c r="F53" s="22">
        <v>2.4089999999999998</v>
      </c>
      <c r="G53" s="23">
        <v>1.143E-7</v>
      </c>
      <c r="H53" s="23">
        <v>8.6000000000000009E-9</v>
      </c>
      <c r="I53" s="23">
        <v>4.189E-6</v>
      </c>
      <c r="J53" s="23">
        <v>1.1700000000000001E-8</v>
      </c>
      <c r="K53" s="23">
        <v>1.546</v>
      </c>
      <c r="L53" s="23">
        <v>1.546</v>
      </c>
      <c r="M53" s="23">
        <v>7.0499999999999998E-3</v>
      </c>
      <c r="N53" s="23">
        <v>1.8560000000000001</v>
      </c>
      <c r="O53" s="23">
        <v>5.03E-8</v>
      </c>
      <c r="P53" s="23">
        <v>1.5409999999999999E-6</v>
      </c>
    </row>
    <row r="54" spans="2:16" x14ac:dyDescent="0.25">
      <c r="B54" s="22">
        <v>122</v>
      </c>
      <c r="C54" s="25" t="s">
        <v>49</v>
      </c>
      <c r="D54" s="26"/>
      <c r="E54" s="22">
        <v>1</v>
      </c>
      <c r="F54" s="22">
        <v>2.6070000000000002</v>
      </c>
      <c r="G54" s="23">
        <v>3.7660000000000002E-7</v>
      </c>
      <c r="H54" s="23">
        <v>1.02E-8</v>
      </c>
      <c r="I54" s="23">
        <v>1.5339999999999999E-5</v>
      </c>
      <c r="J54" s="23">
        <v>1.55E-8</v>
      </c>
      <c r="K54" s="23">
        <v>1.577</v>
      </c>
      <c r="L54" s="23">
        <v>1.577</v>
      </c>
      <c r="M54" s="23">
        <v>6.5300000000000002E-3</v>
      </c>
      <c r="N54" s="23">
        <v>1.865</v>
      </c>
      <c r="O54" s="23">
        <v>1.008E-7</v>
      </c>
      <c r="P54" s="23">
        <v>5.2569999999999998E-6</v>
      </c>
    </row>
    <row r="55" spans="2:16" x14ac:dyDescent="0.25">
      <c r="B55" s="22">
        <v>124</v>
      </c>
      <c r="C55" s="25" t="s">
        <v>49</v>
      </c>
      <c r="D55" s="25"/>
      <c r="E55" s="22">
        <v>1</v>
      </c>
      <c r="F55" s="22">
        <v>2.4740000000000002</v>
      </c>
      <c r="G55" s="23">
        <v>7.2000000000000009E-8</v>
      </c>
      <c r="H55" s="23">
        <v>7.500000000000001E-9</v>
      </c>
      <c r="I55" s="23">
        <v>2.7949999999999999E-6</v>
      </c>
      <c r="J55" s="23">
        <v>9.5999999999999999E-9</v>
      </c>
      <c r="K55" s="23">
        <v>1.5649999999999999</v>
      </c>
      <c r="L55" s="23">
        <v>1.5649999999999999</v>
      </c>
      <c r="M55" s="23">
        <v>6.8200000000000005E-3</v>
      </c>
      <c r="N55" s="23">
        <v>1.923</v>
      </c>
      <c r="O55" s="23">
        <v>4.7100000000000005E-8</v>
      </c>
      <c r="P55" s="23">
        <v>9.2480000000000002E-7</v>
      </c>
    </row>
    <row r="56" spans="2:16" x14ac:dyDescent="0.25">
      <c r="B56" s="22">
        <v>126</v>
      </c>
      <c r="C56" s="22" t="s">
        <v>49</v>
      </c>
      <c r="D56" s="22"/>
      <c r="E56" s="22">
        <v>1</v>
      </c>
      <c r="F56" s="22">
        <v>2.4950000000000001</v>
      </c>
      <c r="G56" s="23">
        <v>2.5069999999999999E-7</v>
      </c>
      <c r="H56" s="23">
        <v>1.0800000000000001E-8</v>
      </c>
      <c r="I56" s="23">
        <v>1.0159999999999999E-5</v>
      </c>
      <c r="J56" s="23">
        <v>1.8100000000000003E-8</v>
      </c>
      <c r="K56" s="23">
        <v>1.5049999999999999</v>
      </c>
      <c r="L56" s="23">
        <v>1.5049999999999999</v>
      </c>
      <c r="M56" s="23">
        <v>6.6500000000000005E-3</v>
      </c>
      <c r="N56" s="23">
        <v>1.7789999999999999</v>
      </c>
      <c r="O56" s="23">
        <v>1.01E-7</v>
      </c>
      <c r="P56" s="23">
        <v>4.5800000000000002E-6</v>
      </c>
    </row>
    <row r="57" spans="2:16" x14ac:dyDescent="0.25">
      <c r="B57" s="22">
        <v>131</v>
      </c>
      <c r="C57" s="22" t="s">
        <v>49</v>
      </c>
      <c r="D57" s="22"/>
      <c r="E57" s="22">
        <v>1</v>
      </c>
      <c r="F57" s="22">
        <v>2.6040000000000001</v>
      </c>
      <c r="G57" s="23">
        <v>1.2060000000000001E-7</v>
      </c>
      <c r="H57" s="23">
        <v>9.5000000000000007E-9</v>
      </c>
      <c r="I57" s="23">
        <v>7.5789999999999998E-6</v>
      </c>
      <c r="J57" s="23">
        <v>1.6199999999999999E-8</v>
      </c>
      <c r="K57" s="23">
        <v>1.583</v>
      </c>
      <c r="L57" s="23">
        <v>1.583</v>
      </c>
      <c r="M57" s="23">
        <v>6.5500000000000003E-3</v>
      </c>
      <c r="N57" s="23">
        <v>1.907</v>
      </c>
      <c r="O57" s="23">
        <v>6.5099999999999994E-8</v>
      </c>
      <c r="P57" s="23">
        <v>2.3809999999999997E-6</v>
      </c>
    </row>
    <row r="58" spans="2:16" x14ac:dyDescent="0.25">
      <c r="B58" s="22">
        <v>132</v>
      </c>
      <c r="C58" s="22" t="s">
        <v>49</v>
      </c>
      <c r="D58" s="22"/>
      <c r="E58" s="22">
        <v>1</v>
      </c>
      <c r="F58" s="22">
        <v>2.5379999999999998</v>
      </c>
      <c r="G58" s="23">
        <v>1.6570000000000001E-7</v>
      </c>
      <c r="H58" s="23">
        <v>1.2300000000000001E-8</v>
      </c>
      <c r="I58" s="23">
        <v>4.9589999999999994E-6</v>
      </c>
      <c r="J58" s="23">
        <v>1.4700000000000001E-8</v>
      </c>
      <c r="K58" s="23">
        <v>1.542</v>
      </c>
      <c r="L58" s="23">
        <v>1.542</v>
      </c>
      <c r="M58" s="23">
        <v>6.7300000000000007E-3</v>
      </c>
      <c r="N58" s="23">
        <v>1.829</v>
      </c>
      <c r="O58" s="23">
        <v>7.0599999999999997E-8</v>
      </c>
      <c r="P58" s="23">
        <v>1.7969999999999999E-6</v>
      </c>
    </row>
    <row r="59" spans="2:16" x14ac:dyDescent="0.25">
      <c r="B59" s="22">
        <v>133</v>
      </c>
      <c r="C59" s="22" t="s">
        <v>49</v>
      </c>
      <c r="D59" s="22"/>
      <c r="E59" s="22">
        <v>1</v>
      </c>
      <c r="F59" s="22">
        <v>2.4630000000000001</v>
      </c>
      <c r="G59" s="23">
        <v>1.226E-7</v>
      </c>
      <c r="H59" s="23">
        <v>7.8000000000000004E-9</v>
      </c>
      <c r="I59" s="23">
        <v>4.5789999999999997E-6</v>
      </c>
      <c r="J59" s="23">
        <v>1.0800000000000001E-8</v>
      </c>
      <c r="K59" s="23">
        <v>1.536</v>
      </c>
      <c r="L59" s="23">
        <v>1.536</v>
      </c>
      <c r="M59" s="23">
        <v>6.8399999999999997E-3</v>
      </c>
      <c r="N59" s="23">
        <v>1.853</v>
      </c>
      <c r="O59" s="23">
        <v>4.9600000000000007E-8</v>
      </c>
      <c r="P59" s="23">
        <v>1.6750000000000001E-6</v>
      </c>
    </row>
    <row r="60" spans="2:16" x14ac:dyDescent="0.25">
      <c r="B60" s="22">
        <v>135</v>
      </c>
      <c r="C60" s="22" t="s">
        <v>49</v>
      </c>
      <c r="D60" s="22"/>
      <c r="E60" s="22">
        <v>1</v>
      </c>
      <c r="F60" s="22">
        <v>2.524</v>
      </c>
      <c r="G60" s="23">
        <v>2.5340000000000003E-7</v>
      </c>
      <c r="H60" s="23">
        <v>1.0300000000000001E-8</v>
      </c>
      <c r="I60" s="23">
        <v>8.1920000000000005E-6</v>
      </c>
      <c r="J60" s="23">
        <v>1.7100000000000001E-8</v>
      </c>
      <c r="K60" s="23">
        <v>1.5069999999999999</v>
      </c>
      <c r="L60" s="23">
        <v>1.5069999999999999</v>
      </c>
      <c r="M60" s="23">
        <v>6.7300000000000007E-3</v>
      </c>
      <c r="N60" s="23">
        <v>1.784</v>
      </c>
      <c r="O60" s="23">
        <v>8.3799999999999996E-8</v>
      </c>
      <c r="P60" s="23">
        <v>2.6409999999999998E-6</v>
      </c>
    </row>
    <row r="61" spans="2:16" x14ac:dyDescent="0.25">
      <c r="B61" s="22">
        <v>136</v>
      </c>
      <c r="C61" s="22" t="s">
        <v>49</v>
      </c>
      <c r="D61" s="22"/>
      <c r="E61" s="22">
        <v>1</v>
      </c>
      <c r="F61" s="22">
        <v>2.4430000000000001</v>
      </c>
      <c r="G61" s="23">
        <v>7.7329999999999997E-7</v>
      </c>
      <c r="H61" s="23">
        <v>1.6600000000000003E-8</v>
      </c>
      <c r="I61" s="23">
        <v>1.0619999999999998E-5</v>
      </c>
      <c r="J61" s="23">
        <v>2.1100000000000004E-8</v>
      </c>
      <c r="K61" s="23">
        <v>1.492</v>
      </c>
      <c r="L61" s="23">
        <v>1.492</v>
      </c>
      <c r="M61" s="23">
        <v>6.9199999999999999E-3</v>
      </c>
      <c r="N61" s="23">
        <v>1.7649999999999999</v>
      </c>
      <c r="O61" s="23">
        <v>1.2130000000000001E-7</v>
      </c>
      <c r="P61" s="23">
        <v>4.6580000000000001E-6</v>
      </c>
    </row>
    <row r="62" spans="2:16" x14ac:dyDescent="0.25">
      <c r="B62" s="22">
        <v>139</v>
      </c>
      <c r="C62" s="22" t="s">
        <v>49</v>
      </c>
      <c r="D62" s="22"/>
      <c r="E62" s="22">
        <v>1</v>
      </c>
      <c r="F62" s="22">
        <v>2.4449999999999998</v>
      </c>
      <c r="G62" s="23">
        <v>8.6200000000000004E-8</v>
      </c>
      <c r="H62" s="23">
        <v>1.04E-8</v>
      </c>
      <c r="I62" s="23">
        <v>3.0089999999999999E-6</v>
      </c>
      <c r="J62" s="23">
        <v>1.0800000000000001E-8</v>
      </c>
      <c r="K62" s="23">
        <v>1.542</v>
      </c>
      <c r="L62" s="23">
        <v>1.542</v>
      </c>
      <c r="M62" s="23">
        <v>6.96E-3</v>
      </c>
      <c r="N62" s="23">
        <v>1.8779999999999999</v>
      </c>
      <c r="O62" s="23">
        <v>5.1300000000000003E-8</v>
      </c>
      <c r="P62" s="23">
        <v>1.0409999999999999E-6</v>
      </c>
    </row>
    <row r="63" spans="2:16" x14ac:dyDescent="0.25">
      <c r="B63" s="22">
        <v>141</v>
      </c>
      <c r="C63" s="22" t="s">
        <v>49</v>
      </c>
      <c r="D63" s="22"/>
      <c r="E63" s="22">
        <v>1</v>
      </c>
      <c r="F63" s="22">
        <v>2.589</v>
      </c>
      <c r="G63" s="23">
        <v>1.6880000000000003E-7</v>
      </c>
      <c r="H63" s="23">
        <v>9.3000000000000006E-9</v>
      </c>
      <c r="I63" s="23">
        <v>9.5779999999999988E-6</v>
      </c>
      <c r="J63" s="23">
        <v>1.7800000000000001E-8</v>
      </c>
      <c r="K63" s="23">
        <v>1.5640000000000001</v>
      </c>
      <c r="L63" s="23">
        <v>1.5640000000000001</v>
      </c>
      <c r="M63" s="23">
        <v>6.45E-3</v>
      </c>
      <c r="N63" s="23">
        <v>1.8859999999999999</v>
      </c>
      <c r="O63" s="23">
        <v>7.7599999999999993E-8</v>
      </c>
      <c r="P63" s="23">
        <v>3.5199999999999998E-6</v>
      </c>
    </row>
    <row r="64" spans="2:16" x14ac:dyDescent="0.25">
      <c r="B64" s="22">
        <v>143</v>
      </c>
      <c r="C64" s="22" t="s">
        <v>49</v>
      </c>
      <c r="D64" s="22"/>
      <c r="E64" s="22">
        <v>1</v>
      </c>
      <c r="F64" s="22">
        <v>2.5270000000000001</v>
      </c>
      <c r="G64" s="23">
        <v>1.0630000000000001E-7</v>
      </c>
      <c r="H64" s="23">
        <v>7.9000000000000013E-9</v>
      </c>
      <c r="I64" s="23">
        <v>2.9569999999999998E-6</v>
      </c>
      <c r="J64" s="23">
        <v>1.16E-8</v>
      </c>
      <c r="K64" s="23">
        <v>1.5960000000000001</v>
      </c>
      <c r="L64" s="23">
        <v>1.5960000000000001</v>
      </c>
      <c r="M64" s="23">
        <v>6.6100000000000004E-3</v>
      </c>
      <c r="N64" s="23">
        <v>1.9430000000000001</v>
      </c>
      <c r="O64" s="23">
        <v>4.8100000000000007E-8</v>
      </c>
      <c r="P64" s="23">
        <v>1.091E-6</v>
      </c>
    </row>
    <row r="65" spans="2:16" x14ac:dyDescent="0.25">
      <c r="B65" s="22">
        <v>145</v>
      </c>
      <c r="C65" s="22" t="s">
        <v>49</v>
      </c>
      <c r="D65" s="22"/>
      <c r="E65" s="22">
        <v>1</v>
      </c>
      <c r="F65" s="22">
        <v>2.5550000000000002</v>
      </c>
      <c r="G65" s="23">
        <v>2.72E-7</v>
      </c>
      <c r="H65" s="23">
        <v>9.900000000000001E-9</v>
      </c>
      <c r="I65" s="23">
        <v>1.2289999999999999E-5</v>
      </c>
      <c r="J65" s="23">
        <v>1.7200000000000002E-8</v>
      </c>
      <c r="K65" s="23">
        <v>1.611</v>
      </c>
      <c r="L65" s="23">
        <v>1.611</v>
      </c>
      <c r="M65" s="23">
        <v>6.6299999999999996E-3</v>
      </c>
      <c r="N65" s="23">
        <v>1.913</v>
      </c>
      <c r="O65" s="23">
        <v>8.35E-8</v>
      </c>
      <c r="P65" s="23">
        <v>5.2249999999999991E-6</v>
      </c>
    </row>
    <row r="66" spans="2:16" x14ac:dyDescent="0.25">
      <c r="B66" s="22">
        <v>147</v>
      </c>
      <c r="C66" s="22" t="s">
        <v>49</v>
      </c>
      <c r="D66" s="22"/>
      <c r="E66" s="22">
        <v>1</v>
      </c>
      <c r="F66" s="22">
        <v>2.52</v>
      </c>
      <c r="G66" s="23">
        <v>1.5769999999999999E-7</v>
      </c>
      <c r="H66" s="23">
        <v>9.0000000000000012E-9</v>
      </c>
      <c r="I66" s="23">
        <v>5.1189999999999996E-6</v>
      </c>
      <c r="J66" s="23">
        <v>1.4900000000000001E-8</v>
      </c>
      <c r="K66" s="23">
        <v>1.571</v>
      </c>
      <c r="L66" s="23">
        <v>1.571</v>
      </c>
      <c r="M66" s="23">
        <v>6.7499999999999999E-3</v>
      </c>
      <c r="N66" s="23">
        <v>1.87</v>
      </c>
      <c r="O66" s="23">
        <v>5.9700000000000012E-8</v>
      </c>
      <c r="P66" s="23">
        <v>1.7809999999999998E-6</v>
      </c>
    </row>
    <row r="67" spans="2:16" x14ac:dyDescent="0.25">
      <c r="B67" s="22">
        <v>150</v>
      </c>
      <c r="C67" s="22" t="s">
        <v>49</v>
      </c>
      <c r="D67" s="22"/>
      <c r="E67" s="22">
        <v>1</v>
      </c>
      <c r="F67" s="22">
        <v>2.4350000000000001</v>
      </c>
      <c r="G67" s="23">
        <v>1.3830000000000001E-7</v>
      </c>
      <c r="H67" s="23">
        <v>8.6000000000000009E-9</v>
      </c>
      <c r="I67" s="23">
        <v>4.6269999999999999E-6</v>
      </c>
      <c r="J67" s="23">
        <v>1.37E-8</v>
      </c>
      <c r="K67" s="23">
        <v>1.5780000000000001</v>
      </c>
      <c r="L67" s="23">
        <v>1.5780000000000001</v>
      </c>
      <c r="M67" s="23">
        <v>6.8700000000000002E-3</v>
      </c>
      <c r="N67" s="23">
        <v>1.885</v>
      </c>
      <c r="O67" s="23">
        <v>5.5700000000000009E-8</v>
      </c>
      <c r="P67" s="23">
        <v>1.7230000000000001E-6</v>
      </c>
    </row>
    <row r="68" spans="2:16" x14ac:dyDescent="0.25">
      <c r="B68" s="22">
        <v>151</v>
      </c>
      <c r="C68" s="22" t="s">
        <v>49</v>
      </c>
      <c r="D68" s="22"/>
      <c r="E68" s="22">
        <v>1</v>
      </c>
      <c r="F68" s="22">
        <v>2.5030000000000001</v>
      </c>
      <c r="G68" s="23">
        <v>1.003E-7</v>
      </c>
      <c r="H68" s="23">
        <v>8.3000000000000015E-9</v>
      </c>
      <c r="I68" s="23">
        <v>2.8929999999999997E-6</v>
      </c>
      <c r="J68" s="23">
        <v>1.15E-8</v>
      </c>
      <c r="K68" s="23">
        <v>1.5780000000000001</v>
      </c>
      <c r="L68" s="23">
        <v>1.5780000000000001</v>
      </c>
      <c r="M68" s="23">
        <v>6.77E-3</v>
      </c>
      <c r="N68" s="23">
        <v>1.907</v>
      </c>
      <c r="O68" s="23">
        <v>4.8900000000000001E-8</v>
      </c>
      <c r="P68" s="23">
        <v>9.5900000000000005E-7</v>
      </c>
    </row>
    <row r="69" spans="2:16" x14ac:dyDescent="0.25">
      <c r="B69" s="22">
        <v>152</v>
      </c>
      <c r="C69" s="22" t="s">
        <v>49</v>
      </c>
      <c r="D69" s="22"/>
      <c r="E69" s="22">
        <v>1</v>
      </c>
      <c r="F69" s="22">
        <v>2.4209999999999998</v>
      </c>
      <c r="G69" s="23">
        <v>1.068E-7</v>
      </c>
      <c r="H69" s="23">
        <v>7.9000000000000013E-9</v>
      </c>
      <c r="I69" s="23">
        <v>3.6729999999999998E-6</v>
      </c>
      <c r="J69" s="23">
        <v>1.1199999999999999E-8</v>
      </c>
      <c r="K69" s="23">
        <v>1.5429999999999999</v>
      </c>
      <c r="L69" s="23">
        <v>1.5429999999999999</v>
      </c>
      <c r="M69" s="23">
        <v>7.0199999999999993E-3</v>
      </c>
      <c r="N69" s="23">
        <v>1.8640000000000001</v>
      </c>
      <c r="O69" s="23">
        <v>5.0500000000000002E-8</v>
      </c>
      <c r="P69" s="23">
        <v>1.2529999999999999E-6</v>
      </c>
    </row>
    <row r="70" spans="2:16" x14ac:dyDescent="0.25">
      <c r="B70" s="22">
        <v>157</v>
      </c>
      <c r="C70" s="22" t="s">
        <v>49</v>
      </c>
      <c r="D70" s="22"/>
      <c r="E70" s="22">
        <v>1</v>
      </c>
      <c r="F70" s="22">
        <v>2.4380000000000002</v>
      </c>
      <c r="G70" s="23">
        <v>1.8930000000000003E-7</v>
      </c>
      <c r="H70" s="23">
        <v>9.5999999999999999E-9</v>
      </c>
      <c r="I70" s="23">
        <v>6.5860000000000001E-6</v>
      </c>
      <c r="J70" s="23">
        <v>1.6700000000000001E-8</v>
      </c>
      <c r="K70" s="23">
        <v>1.536</v>
      </c>
      <c r="L70" s="23">
        <v>1.536</v>
      </c>
      <c r="M70" s="23">
        <v>6.8300000000000001E-3</v>
      </c>
      <c r="N70" s="23">
        <v>1.8220000000000001</v>
      </c>
      <c r="O70" s="23">
        <v>6.6800000000000003E-8</v>
      </c>
      <c r="P70" s="23">
        <v>2.4260000000000002E-6</v>
      </c>
    </row>
    <row r="71" spans="2:16" x14ac:dyDescent="0.25">
      <c r="B71" s="22">
        <v>160</v>
      </c>
      <c r="C71" s="22" t="s">
        <v>49</v>
      </c>
      <c r="D71" s="22"/>
      <c r="E71" s="22">
        <v>1</v>
      </c>
      <c r="F71" s="22">
        <v>2.528</v>
      </c>
      <c r="G71" s="23">
        <v>8.1300000000000007E-8</v>
      </c>
      <c r="H71" s="23">
        <v>7.3E-9</v>
      </c>
      <c r="I71" s="23">
        <v>3.4319999999999999E-6</v>
      </c>
      <c r="J71" s="23">
        <v>9.8000000000000017E-9</v>
      </c>
      <c r="K71" s="23">
        <v>1.5680000000000001</v>
      </c>
      <c r="L71" s="23">
        <v>1.5680000000000001</v>
      </c>
      <c r="M71" s="23">
        <v>6.6E-3</v>
      </c>
      <c r="N71" s="23">
        <v>1.931</v>
      </c>
      <c r="O71" s="23">
        <v>4.6200000000000003E-8</v>
      </c>
      <c r="P71" s="23">
        <v>1.1679999999999999E-6</v>
      </c>
    </row>
    <row r="72" spans="2:16" x14ac:dyDescent="0.25">
      <c r="B72" s="22">
        <v>161</v>
      </c>
      <c r="C72" s="22" t="s">
        <v>49</v>
      </c>
      <c r="D72" s="22"/>
      <c r="E72" s="22">
        <v>1</v>
      </c>
      <c r="F72" s="22">
        <v>2.5569999999999999</v>
      </c>
      <c r="G72" s="23">
        <v>6.7000000000000004E-8</v>
      </c>
      <c r="H72" s="23">
        <v>8.4000000000000008E-9</v>
      </c>
      <c r="I72" s="23">
        <v>2.8439999999999998E-6</v>
      </c>
      <c r="J72" s="23">
        <v>1.46E-8</v>
      </c>
      <c r="K72" s="23">
        <v>1.6020000000000001</v>
      </c>
      <c r="L72" s="23">
        <v>1.6020000000000001</v>
      </c>
      <c r="M72" s="23">
        <v>6.4800000000000005E-3</v>
      </c>
      <c r="N72" s="23">
        <v>1.9430000000000001</v>
      </c>
      <c r="O72" s="23">
        <v>5.25E-8</v>
      </c>
      <c r="P72" s="23">
        <v>1.054E-6</v>
      </c>
    </row>
    <row r="73" spans="2:16" x14ac:dyDescent="0.25">
      <c r="B73" s="22">
        <v>166</v>
      </c>
      <c r="C73" s="22" t="s">
        <v>49</v>
      </c>
      <c r="D73" s="22"/>
      <c r="E73" s="22">
        <v>1</v>
      </c>
      <c r="F73" s="22">
        <v>2.488</v>
      </c>
      <c r="G73" s="23">
        <v>1.3580000000000001E-7</v>
      </c>
      <c r="H73" s="23">
        <v>8.7000000000000001E-9</v>
      </c>
      <c r="I73" s="23">
        <v>5.4549999999999994E-6</v>
      </c>
      <c r="J73" s="23">
        <v>1.4000000000000001E-8</v>
      </c>
      <c r="K73" s="23">
        <v>1.585</v>
      </c>
      <c r="L73" s="23">
        <v>1.585</v>
      </c>
      <c r="M73" s="23">
        <v>6.7300000000000007E-3</v>
      </c>
      <c r="N73" s="23">
        <v>1.907</v>
      </c>
      <c r="O73" s="23">
        <v>6.3800000000000002E-8</v>
      </c>
      <c r="P73" s="23">
        <v>1.866E-6</v>
      </c>
    </row>
    <row r="74" spans="2:16" x14ac:dyDescent="0.25">
      <c r="B74" s="22">
        <v>173</v>
      </c>
      <c r="C74" s="22" t="s">
        <v>49</v>
      </c>
      <c r="D74" s="22"/>
      <c r="E74" s="22">
        <v>1</v>
      </c>
      <c r="F74" s="22">
        <v>2.59</v>
      </c>
      <c r="G74" s="23">
        <v>1.645E-7</v>
      </c>
      <c r="H74" s="23">
        <v>9.1999999999999997E-9</v>
      </c>
      <c r="I74" s="23">
        <v>6.8070000000000002E-6</v>
      </c>
      <c r="J74" s="23">
        <v>1.7899999999999998E-8</v>
      </c>
      <c r="K74" s="23">
        <v>1.5669999999999999</v>
      </c>
      <c r="L74" s="23">
        <v>1.5669999999999999</v>
      </c>
      <c r="M74" s="23">
        <v>6.4900000000000001E-3</v>
      </c>
      <c r="N74" s="23">
        <v>1.889</v>
      </c>
      <c r="O74" s="23">
        <v>7.6799999999999999E-8</v>
      </c>
      <c r="P74" s="23">
        <v>2.39E-6</v>
      </c>
    </row>
    <row r="75" spans="2:16" x14ac:dyDescent="0.25">
      <c r="B75" s="22">
        <v>177</v>
      </c>
      <c r="C75" s="22" t="s">
        <v>49</v>
      </c>
      <c r="D75" s="22"/>
      <c r="E75" s="22">
        <v>1</v>
      </c>
      <c r="F75" s="22">
        <v>2.4700000000000002</v>
      </c>
      <c r="G75" s="23">
        <v>2.8690000000000001E-7</v>
      </c>
      <c r="H75" s="23">
        <v>1.4300000000000002E-8</v>
      </c>
      <c r="I75" s="23">
        <v>8.2829999999999985E-6</v>
      </c>
      <c r="J75" s="23">
        <v>1.9700000000000001E-8</v>
      </c>
      <c r="K75" s="23">
        <v>1.571</v>
      </c>
      <c r="L75" s="23">
        <v>1.571</v>
      </c>
      <c r="M75" s="23">
        <v>6.7499999999999999E-3</v>
      </c>
      <c r="N75" s="23">
        <v>1.853</v>
      </c>
      <c r="O75" s="23">
        <v>1.0390000000000001E-7</v>
      </c>
      <c r="P75" s="23">
        <v>2.9979999999999999E-6</v>
      </c>
    </row>
    <row r="76" spans="2:16" x14ac:dyDescent="0.25">
      <c r="B76" s="22">
        <v>185</v>
      </c>
      <c r="C76" s="22" t="s">
        <v>49</v>
      </c>
      <c r="D76" s="22"/>
      <c r="E76" s="22">
        <v>1</v>
      </c>
      <c r="F76" s="22">
        <v>2.4340000000000002</v>
      </c>
      <c r="G76" s="23">
        <v>9.790000000000001E-8</v>
      </c>
      <c r="H76" s="23">
        <v>7.8000000000000004E-9</v>
      </c>
      <c r="I76" s="23">
        <v>3.2869999999999996E-6</v>
      </c>
      <c r="J76" s="23">
        <v>9.1999999999999997E-9</v>
      </c>
      <c r="K76" s="23">
        <v>1.5389999999999999</v>
      </c>
      <c r="L76" s="23">
        <v>1.5389999999999999</v>
      </c>
      <c r="M76" s="23">
        <v>6.9000000000000008E-3</v>
      </c>
      <c r="N76" s="23">
        <v>1.8720000000000001</v>
      </c>
      <c r="O76" s="23">
        <v>4.6200000000000003E-8</v>
      </c>
      <c r="P76" s="23">
        <v>1.1559999999999998E-6</v>
      </c>
    </row>
    <row r="77" spans="2:16" x14ac:dyDescent="0.25">
      <c r="B77" s="22">
        <v>187</v>
      </c>
      <c r="C77" s="22" t="s">
        <v>49</v>
      </c>
      <c r="D77" s="22"/>
      <c r="E77" s="22">
        <v>1</v>
      </c>
      <c r="F77" s="22">
        <v>2.5870000000000002</v>
      </c>
      <c r="G77" s="23">
        <v>1.7290000000000002E-7</v>
      </c>
      <c r="H77" s="23">
        <v>9.5999999999999999E-9</v>
      </c>
      <c r="I77" s="23">
        <v>9.3449999999999995E-6</v>
      </c>
      <c r="J77" s="23">
        <v>1.8100000000000003E-8</v>
      </c>
      <c r="K77" s="23">
        <v>1.5669999999999999</v>
      </c>
      <c r="L77" s="23">
        <v>1.5669999999999999</v>
      </c>
      <c r="M77" s="23">
        <v>6.3700000000000007E-3</v>
      </c>
      <c r="N77" s="23">
        <v>1.887</v>
      </c>
      <c r="O77" s="23">
        <v>7.6900000000000007E-8</v>
      </c>
      <c r="P77" s="23">
        <v>3.3699999999999999E-6</v>
      </c>
    </row>
    <row r="78" spans="2:16" x14ac:dyDescent="0.25">
      <c r="B78" s="22">
        <v>189</v>
      </c>
      <c r="C78" s="22" t="s">
        <v>49</v>
      </c>
      <c r="D78" s="22"/>
      <c r="E78" s="22">
        <v>1</v>
      </c>
      <c r="F78" s="22">
        <v>2.5470000000000002</v>
      </c>
      <c r="G78" s="23">
        <v>5.1370000000000005E-7</v>
      </c>
      <c r="H78" s="23">
        <v>9.3000000000000006E-9</v>
      </c>
      <c r="I78" s="23">
        <v>1.0279999999999998E-5</v>
      </c>
      <c r="J78" s="23">
        <v>1.7300000000000003E-8</v>
      </c>
      <c r="K78" s="23">
        <v>1.57</v>
      </c>
      <c r="L78" s="23">
        <v>1.57</v>
      </c>
      <c r="M78" s="23">
        <v>6.5900000000000004E-3</v>
      </c>
      <c r="N78" s="23">
        <v>1.893</v>
      </c>
      <c r="O78" s="23">
        <v>7.0099999999999999E-8</v>
      </c>
      <c r="P78" s="23">
        <v>4.2209999999999999E-6</v>
      </c>
    </row>
    <row r="79" spans="2:16" x14ac:dyDescent="0.25">
      <c r="B79" s="22">
        <v>192</v>
      </c>
      <c r="C79" s="22" t="s">
        <v>49</v>
      </c>
      <c r="D79" s="22"/>
      <c r="E79" s="22">
        <v>1</v>
      </c>
      <c r="F79" s="22">
        <v>2.4830000000000001</v>
      </c>
      <c r="G79" s="23">
        <v>1.9969999999999999E-7</v>
      </c>
      <c r="H79" s="23">
        <v>1E-8</v>
      </c>
      <c r="I79" s="23">
        <v>6.6989999999999997E-6</v>
      </c>
      <c r="J79" s="23">
        <v>1.6700000000000001E-8</v>
      </c>
      <c r="K79" s="23">
        <v>1.5469999999999999</v>
      </c>
      <c r="L79" s="23">
        <v>1.5469999999999999</v>
      </c>
      <c r="M79" s="23">
        <v>6.8399999999999997E-3</v>
      </c>
      <c r="N79" s="23">
        <v>1.8420000000000001</v>
      </c>
      <c r="O79" s="23">
        <v>6.620000000000001E-8</v>
      </c>
      <c r="P79" s="23">
        <v>2.5440000000000001E-6</v>
      </c>
    </row>
    <row r="80" spans="2:16" x14ac:dyDescent="0.25">
      <c r="B80" s="22">
        <v>193</v>
      </c>
      <c r="C80" s="22" t="s">
        <v>49</v>
      </c>
      <c r="D80" s="22"/>
      <c r="E80" s="22">
        <v>1</v>
      </c>
      <c r="F80" s="22">
        <v>2.5009999999999999</v>
      </c>
      <c r="G80" s="23">
        <v>1.142E-7</v>
      </c>
      <c r="H80" s="23">
        <v>9.8000000000000017E-9</v>
      </c>
      <c r="I80" s="23">
        <v>4.109E-6</v>
      </c>
      <c r="J80" s="23">
        <v>1.9700000000000001E-8</v>
      </c>
      <c r="K80" s="23">
        <v>1.599</v>
      </c>
      <c r="L80" s="23">
        <v>1.599</v>
      </c>
      <c r="M80" s="23">
        <v>6.7200000000000003E-3</v>
      </c>
      <c r="N80" s="23">
        <v>1.9019999999999999</v>
      </c>
      <c r="O80" s="23">
        <v>6.3500000000000006E-8</v>
      </c>
      <c r="P80" s="23">
        <v>1.449E-6</v>
      </c>
    </row>
    <row r="81" spans="2:16" x14ac:dyDescent="0.25">
      <c r="B81" s="22">
        <v>194</v>
      </c>
      <c r="C81" s="22" t="s">
        <v>49</v>
      </c>
      <c r="D81" s="22"/>
      <c r="E81" s="22">
        <v>1</v>
      </c>
      <c r="F81" s="22">
        <v>2.581</v>
      </c>
      <c r="G81" s="23">
        <v>1.0240000000000002E-7</v>
      </c>
      <c r="H81" s="23">
        <v>8.3000000000000015E-9</v>
      </c>
      <c r="I81" s="23">
        <v>5.626E-6</v>
      </c>
      <c r="J81" s="23">
        <v>1.3400000000000001E-8</v>
      </c>
      <c r="K81" s="23">
        <v>1.5860000000000001</v>
      </c>
      <c r="L81" s="23">
        <v>1.5860000000000001</v>
      </c>
      <c r="M81" s="23">
        <v>6.4700000000000001E-3</v>
      </c>
      <c r="N81" s="23">
        <v>1.92</v>
      </c>
      <c r="O81" s="23">
        <v>5.7900000000000002E-8</v>
      </c>
      <c r="P81" s="23">
        <v>1.8619999999999999E-6</v>
      </c>
    </row>
    <row r="82" spans="2:16" x14ac:dyDescent="0.25">
      <c r="B82" s="22">
        <v>195</v>
      </c>
      <c r="C82" s="22" t="s">
        <v>49</v>
      </c>
      <c r="D82" s="22"/>
      <c r="E82" s="22">
        <v>1</v>
      </c>
      <c r="F82" s="22">
        <v>2.4870000000000001</v>
      </c>
      <c r="G82" s="23">
        <v>9.7700000000000008E-8</v>
      </c>
      <c r="H82" s="23">
        <v>8.199999999999999E-9</v>
      </c>
      <c r="I82" s="23">
        <v>3.196E-6</v>
      </c>
      <c r="J82" s="23">
        <v>1.22E-8</v>
      </c>
      <c r="K82" s="23">
        <v>1.502</v>
      </c>
      <c r="L82" s="23">
        <v>1.502</v>
      </c>
      <c r="M82" s="23">
        <v>6.7400000000000003E-3</v>
      </c>
      <c r="N82" s="23">
        <v>1.8260000000000001</v>
      </c>
      <c r="O82" s="23">
        <v>4.4799999999999997E-8</v>
      </c>
      <c r="P82" s="23">
        <v>1.1419999999999998E-6</v>
      </c>
    </row>
    <row r="83" spans="2:16" x14ac:dyDescent="0.25">
      <c r="B83" s="22">
        <v>197</v>
      </c>
      <c r="C83" s="22" t="s">
        <v>49</v>
      </c>
      <c r="D83" s="22"/>
      <c r="E83" s="22">
        <v>1</v>
      </c>
      <c r="F83" s="22">
        <v>2.431</v>
      </c>
      <c r="G83" s="23">
        <v>1.1240000000000001E-7</v>
      </c>
      <c r="H83" s="23">
        <v>8.7000000000000001E-9</v>
      </c>
      <c r="I83" s="23">
        <v>4.3319999999999994E-6</v>
      </c>
      <c r="J83" s="23">
        <v>8.800000000000001E-9</v>
      </c>
      <c r="K83" s="23">
        <v>1.5529999999999999</v>
      </c>
      <c r="L83" s="23">
        <v>1.5529999999999999</v>
      </c>
      <c r="M83" s="23">
        <v>7.0999999999999995E-3</v>
      </c>
      <c r="N83" s="23">
        <v>1.897</v>
      </c>
      <c r="O83" s="23">
        <v>5.2000000000000002E-8</v>
      </c>
      <c r="P83" s="23">
        <v>1.5049999999999998E-6</v>
      </c>
    </row>
    <row r="84" spans="2:16" x14ac:dyDescent="0.25">
      <c r="B84" s="22">
        <v>199</v>
      </c>
      <c r="C84" s="22" t="s">
        <v>49</v>
      </c>
      <c r="D84" s="22"/>
      <c r="E84" s="22">
        <v>1</v>
      </c>
      <c r="F84" s="22">
        <v>2.5059999999999998</v>
      </c>
      <c r="G84" s="23">
        <v>3.2760000000000005E-7</v>
      </c>
      <c r="H84" s="23">
        <v>1.22E-8</v>
      </c>
      <c r="I84" s="23">
        <v>9.2579999999999984E-6</v>
      </c>
      <c r="J84" s="23">
        <v>2.0300000000000003E-8</v>
      </c>
      <c r="K84" s="23">
        <v>1.575</v>
      </c>
      <c r="L84" s="23">
        <v>1.575</v>
      </c>
      <c r="M84" s="23">
        <v>6.6500000000000005E-3</v>
      </c>
      <c r="N84" s="23">
        <v>1.8560000000000001</v>
      </c>
      <c r="O84" s="23">
        <v>1.0070000000000001E-7</v>
      </c>
      <c r="P84" s="23">
        <v>3.5990000000000002E-6</v>
      </c>
    </row>
    <row r="85" spans="2:16" x14ac:dyDescent="0.25">
      <c r="B85" s="22">
        <v>200</v>
      </c>
      <c r="C85" s="22" t="s">
        <v>49</v>
      </c>
      <c r="D85" s="22"/>
      <c r="E85" s="22">
        <v>1</v>
      </c>
      <c r="F85" s="22">
        <v>2.4830000000000001</v>
      </c>
      <c r="G85" s="23">
        <v>6.6600000000000001E-8</v>
      </c>
      <c r="H85" s="23">
        <v>7.4000000000000009E-9</v>
      </c>
      <c r="I85" s="23">
        <v>2.5320000000000001E-6</v>
      </c>
      <c r="J85" s="23">
        <v>1.0800000000000001E-8</v>
      </c>
      <c r="K85" s="23">
        <v>1.583</v>
      </c>
      <c r="L85" s="23">
        <v>1.583</v>
      </c>
      <c r="M85" s="23">
        <v>6.7499999999999999E-3</v>
      </c>
      <c r="N85" s="23">
        <v>1.944</v>
      </c>
      <c r="O85" s="23">
        <v>4.6100000000000003E-8</v>
      </c>
      <c r="P85" s="23">
        <v>8.09E-7</v>
      </c>
    </row>
    <row r="86" spans="2:16" x14ac:dyDescent="0.25">
      <c r="B86" s="22">
        <v>204</v>
      </c>
      <c r="C86" s="22" t="s">
        <v>49</v>
      </c>
      <c r="D86" s="22"/>
      <c r="E86" s="22">
        <v>1</v>
      </c>
      <c r="F86" s="22">
        <v>2.59</v>
      </c>
      <c r="G86" s="23">
        <v>2.2880000000000004E-7</v>
      </c>
      <c r="H86" s="23">
        <v>1.0900000000000002E-8</v>
      </c>
      <c r="I86" s="23">
        <v>8.6959999999999994E-6</v>
      </c>
      <c r="J86" s="23">
        <v>1.6700000000000001E-8</v>
      </c>
      <c r="K86" s="23">
        <v>1.5569999999999999</v>
      </c>
      <c r="L86" s="23">
        <v>1.5569999999999999</v>
      </c>
      <c r="M86" s="23">
        <v>6.4200000000000004E-3</v>
      </c>
      <c r="N86" s="23">
        <v>1.8540000000000001</v>
      </c>
      <c r="O86" s="23">
        <v>1.0700000000000001E-7</v>
      </c>
      <c r="P86" s="23">
        <v>3.0699999999999998E-6</v>
      </c>
    </row>
    <row r="87" spans="2:16" x14ac:dyDescent="0.25">
      <c r="B87" s="22">
        <v>205</v>
      </c>
      <c r="C87" s="22" t="s">
        <v>49</v>
      </c>
      <c r="D87" s="22"/>
      <c r="E87" s="22">
        <v>1</v>
      </c>
      <c r="F87" s="22">
        <v>2.5539999999999998</v>
      </c>
      <c r="G87" s="23">
        <v>1.6250000000000001E-7</v>
      </c>
      <c r="H87" s="23">
        <v>9.3000000000000006E-9</v>
      </c>
      <c r="I87" s="23">
        <v>5.2409999999999995E-6</v>
      </c>
      <c r="J87" s="23">
        <v>1.77E-8</v>
      </c>
      <c r="K87" s="23">
        <v>1.589</v>
      </c>
      <c r="L87" s="23">
        <v>1.589</v>
      </c>
      <c r="M87" s="23">
        <v>6.5000000000000006E-3</v>
      </c>
      <c r="N87" s="23">
        <v>1.889</v>
      </c>
      <c r="O87" s="23">
        <v>6.2299999999999995E-8</v>
      </c>
      <c r="P87" s="23">
        <v>1.9009999999999999E-6</v>
      </c>
    </row>
    <row r="88" spans="2:16" x14ac:dyDescent="0.25">
      <c r="B88" s="22">
        <v>206</v>
      </c>
      <c r="C88" s="22" t="s">
        <v>49</v>
      </c>
      <c r="D88" s="22"/>
      <c r="E88" s="22">
        <v>1</v>
      </c>
      <c r="F88" s="22">
        <v>2.4820000000000002</v>
      </c>
      <c r="G88" s="23">
        <v>7.9500000000000004E-8</v>
      </c>
      <c r="H88" s="23">
        <v>7.6000000000000002E-9</v>
      </c>
      <c r="I88" s="23">
        <v>3.2309999999999996E-6</v>
      </c>
      <c r="J88" s="23">
        <v>9.6999999999999992E-9</v>
      </c>
      <c r="K88" s="23">
        <v>1.5580000000000001</v>
      </c>
      <c r="L88" s="23">
        <v>1.5580000000000001</v>
      </c>
      <c r="M88" s="23">
        <v>6.7300000000000007E-3</v>
      </c>
      <c r="N88" s="23">
        <v>1.911</v>
      </c>
      <c r="O88" s="23">
        <v>4.8700000000000006E-8</v>
      </c>
      <c r="P88" s="23">
        <v>1.085E-6</v>
      </c>
    </row>
    <row r="89" spans="2:16" x14ac:dyDescent="0.25">
      <c r="B89" s="22">
        <v>207</v>
      </c>
      <c r="C89" s="22" t="s">
        <v>49</v>
      </c>
      <c r="D89" s="22"/>
      <c r="E89" s="22">
        <v>1</v>
      </c>
      <c r="F89" s="22">
        <v>2.4209999999999998</v>
      </c>
      <c r="G89" s="23">
        <v>1.4830000000000002E-7</v>
      </c>
      <c r="H89" s="23">
        <v>8.9000000000000003E-9</v>
      </c>
      <c r="I89" s="23">
        <v>7.5529999999999995E-6</v>
      </c>
      <c r="J89" s="23">
        <v>1.1900000000000001E-8</v>
      </c>
      <c r="K89" s="23">
        <v>1.579</v>
      </c>
      <c r="L89" s="23">
        <v>1.579</v>
      </c>
      <c r="M89" s="23">
        <v>7.0300000000000007E-3</v>
      </c>
      <c r="N89" s="23">
        <v>1.903</v>
      </c>
      <c r="O89" s="23">
        <v>5.99E-8</v>
      </c>
      <c r="P89" s="23">
        <v>2.5119999999999998E-6</v>
      </c>
    </row>
    <row r="90" spans="2:16" x14ac:dyDescent="0.25">
      <c r="B90" s="22">
        <v>214</v>
      </c>
      <c r="C90" s="22" t="s">
        <v>49</v>
      </c>
      <c r="D90" s="22"/>
      <c r="E90" s="22">
        <v>1</v>
      </c>
      <c r="F90" s="22">
        <v>2.5419999999999998</v>
      </c>
      <c r="G90" s="23">
        <v>1.9210000000000001E-7</v>
      </c>
      <c r="H90" s="23">
        <v>1.04E-8</v>
      </c>
      <c r="I90" s="23">
        <v>7.5119999999999994E-6</v>
      </c>
      <c r="J90" s="23">
        <v>1.8800000000000003E-8</v>
      </c>
      <c r="K90" s="23">
        <v>1.577</v>
      </c>
      <c r="L90" s="23">
        <v>1.577</v>
      </c>
      <c r="M90" s="23">
        <v>6.5399999999999998E-3</v>
      </c>
      <c r="N90" s="23">
        <v>1.8819999999999999</v>
      </c>
      <c r="O90" s="23">
        <v>7.4000000000000001E-8</v>
      </c>
      <c r="P90" s="23">
        <v>2.7799999999999996E-6</v>
      </c>
    </row>
    <row r="91" spans="2:16" x14ac:dyDescent="0.25">
      <c r="B91" s="22">
        <v>220</v>
      </c>
      <c r="C91" s="22" t="s">
        <v>49</v>
      </c>
      <c r="D91" s="22"/>
      <c r="E91" s="22">
        <v>1</v>
      </c>
      <c r="F91" s="22">
        <v>2.5449999999999999</v>
      </c>
      <c r="G91" s="23">
        <v>4.3239999999999998E-7</v>
      </c>
      <c r="H91" s="23">
        <v>1.04E-8</v>
      </c>
      <c r="I91" s="23">
        <v>1.4409999999999999E-5</v>
      </c>
      <c r="J91" s="23">
        <v>1.7300000000000003E-8</v>
      </c>
      <c r="K91" s="23">
        <v>1.5549999999999999</v>
      </c>
      <c r="L91" s="23">
        <v>1.5549999999999999</v>
      </c>
      <c r="M91" s="23">
        <v>6.5399999999999998E-3</v>
      </c>
      <c r="N91" s="23">
        <v>1.853</v>
      </c>
      <c r="O91" s="23">
        <v>1.0720000000000001E-7</v>
      </c>
      <c r="P91" s="23">
        <v>6.3090000000000001E-6</v>
      </c>
    </row>
    <row r="92" spans="2:16" x14ac:dyDescent="0.25">
      <c r="B92" s="22">
        <v>221</v>
      </c>
      <c r="C92" s="22" t="s">
        <v>49</v>
      </c>
      <c r="D92" s="22"/>
      <c r="E92" s="22">
        <v>1</v>
      </c>
      <c r="F92" s="22">
        <v>2.52</v>
      </c>
      <c r="G92" s="23">
        <v>1.522E-7</v>
      </c>
      <c r="H92" s="23">
        <v>1.0099999999999999E-8</v>
      </c>
      <c r="I92" s="23">
        <v>5.6449999999999993E-6</v>
      </c>
      <c r="J92" s="23">
        <v>2.0500000000000002E-8</v>
      </c>
      <c r="K92" s="23">
        <v>1.5940000000000001</v>
      </c>
      <c r="L92" s="23">
        <v>1.5940000000000001</v>
      </c>
      <c r="M92" s="23">
        <v>6.5700000000000003E-3</v>
      </c>
      <c r="N92" s="23">
        <v>1.895</v>
      </c>
      <c r="O92" s="23">
        <v>6.9400000000000013E-8</v>
      </c>
      <c r="P92" s="23">
        <v>2.0439999999999998E-6</v>
      </c>
    </row>
    <row r="93" spans="2:16" x14ac:dyDescent="0.25">
      <c r="B93" s="22">
        <v>224</v>
      </c>
      <c r="C93" s="22" t="s">
        <v>49</v>
      </c>
      <c r="D93" s="22"/>
      <c r="E93" s="22">
        <v>1</v>
      </c>
      <c r="F93" s="22">
        <v>2.4740000000000002</v>
      </c>
      <c r="G93" s="23">
        <v>1.8280000000000002E-7</v>
      </c>
      <c r="H93" s="23">
        <v>9.0000000000000012E-9</v>
      </c>
      <c r="I93" s="23">
        <v>5.7460000000000006E-6</v>
      </c>
      <c r="J93" s="23">
        <v>1.3400000000000001E-8</v>
      </c>
      <c r="K93" s="23">
        <v>1.5269999999999999</v>
      </c>
      <c r="L93" s="23">
        <v>1.5269999999999999</v>
      </c>
      <c r="M93" s="23">
        <v>6.7200000000000003E-3</v>
      </c>
      <c r="N93" s="23">
        <v>1.8140000000000001</v>
      </c>
      <c r="O93" s="23">
        <v>5.99E-8</v>
      </c>
      <c r="P93" s="23">
        <v>2.091E-6</v>
      </c>
    </row>
    <row r="94" spans="2:16" x14ac:dyDescent="0.25">
      <c r="B94" s="22">
        <v>226</v>
      </c>
      <c r="C94" s="22" t="s">
        <v>49</v>
      </c>
      <c r="D94" s="22"/>
      <c r="E94" s="22">
        <v>1</v>
      </c>
      <c r="F94" s="22">
        <v>2.3660000000000001</v>
      </c>
      <c r="G94" s="23">
        <v>9.8000000000000004E-8</v>
      </c>
      <c r="H94" s="23">
        <v>7.6000000000000002E-9</v>
      </c>
      <c r="I94" s="23">
        <v>3.1989999999999998E-6</v>
      </c>
      <c r="J94" s="23">
        <v>1.0800000000000001E-8</v>
      </c>
      <c r="K94" s="23">
        <v>1.5529999999999999</v>
      </c>
      <c r="L94" s="23">
        <v>1.5529999999999999</v>
      </c>
      <c r="M94" s="23">
        <v>7.0999999999999995E-3</v>
      </c>
      <c r="N94" s="23">
        <v>1.881</v>
      </c>
      <c r="O94" s="23">
        <v>4.8200000000000008E-8</v>
      </c>
      <c r="P94" s="23">
        <v>1.105E-6</v>
      </c>
    </row>
    <row r="95" spans="2:16" x14ac:dyDescent="0.25">
      <c r="B95" s="22">
        <v>228</v>
      </c>
      <c r="C95" s="22" t="s">
        <v>49</v>
      </c>
      <c r="D95" s="22"/>
      <c r="E95" s="22">
        <v>1</v>
      </c>
      <c r="F95" s="22">
        <v>2.52</v>
      </c>
      <c r="G95" s="23">
        <v>4.0380000000000006E-7</v>
      </c>
      <c r="H95" s="23">
        <v>9.8000000000000017E-9</v>
      </c>
      <c r="I95" s="23">
        <v>8.0980000000000011E-6</v>
      </c>
      <c r="J95" s="23">
        <v>1.89E-8</v>
      </c>
      <c r="K95" s="23">
        <v>1.5289999999999999</v>
      </c>
      <c r="L95" s="23">
        <v>1.5289999999999999</v>
      </c>
      <c r="M95" s="23">
        <v>6.5900000000000004E-3</v>
      </c>
      <c r="N95" s="23">
        <v>1.8169999999999999</v>
      </c>
      <c r="O95" s="23">
        <v>8.0299999999999998E-8</v>
      </c>
      <c r="P95" s="23">
        <v>3.3450000000000002E-6</v>
      </c>
    </row>
    <row r="96" spans="2:16" x14ac:dyDescent="0.25">
      <c r="B96" s="22">
        <v>233</v>
      </c>
      <c r="C96" s="22" t="s">
        <v>49</v>
      </c>
      <c r="D96" s="22"/>
      <c r="E96" s="22">
        <v>1</v>
      </c>
      <c r="F96" s="22">
        <v>2.62</v>
      </c>
      <c r="G96" s="23">
        <v>1.0629999999999998E-6</v>
      </c>
      <c r="H96" s="23">
        <v>9.8000000000000017E-9</v>
      </c>
      <c r="I96" s="23">
        <v>1.3919999999999999E-5</v>
      </c>
      <c r="J96" s="23">
        <v>2.1800000000000003E-8</v>
      </c>
      <c r="K96" s="23">
        <v>1.5680000000000001</v>
      </c>
      <c r="L96" s="23">
        <v>1.5680000000000001</v>
      </c>
      <c r="M96" s="23">
        <v>6.5300000000000002E-3</v>
      </c>
      <c r="N96" s="23">
        <v>1.8839999999999999</v>
      </c>
      <c r="O96" s="23">
        <v>7.500000000000001E-8</v>
      </c>
      <c r="P96" s="23">
        <v>7.4349999999999991E-6</v>
      </c>
    </row>
    <row r="97" spans="2:16" x14ac:dyDescent="0.25">
      <c r="B97" s="22">
        <v>237</v>
      </c>
      <c r="C97" s="22" t="s">
        <v>49</v>
      </c>
      <c r="D97" s="22"/>
      <c r="E97" s="22">
        <v>1</v>
      </c>
      <c r="F97" s="22">
        <v>2.4649999999999999</v>
      </c>
      <c r="G97" s="23">
        <v>1.046E-7</v>
      </c>
      <c r="H97" s="23">
        <v>7.500000000000001E-9</v>
      </c>
      <c r="I97" s="23">
        <v>3.6709999999999997E-6</v>
      </c>
      <c r="J97" s="23">
        <v>9.6999999999999992E-9</v>
      </c>
      <c r="K97" s="23">
        <v>1.5309999999999999</v>
      </c>
      <c r="L97" s="23">
        <v>1.5309999999999999</v>
      </c>
      <c r="M97" s="23">
        <v>6.79E-3</v>
      </c>
      <c r="N97" s="23">
        <v>1.86</v>
      </c>
      <c r="O97" s="23">
        <v>4.9399999999999999E-8</v>
      </c>
      <c r="P97" s="23">
        <v>1.268E-6</v>
      </c>
    </row>
    <row r="98" spans="2:16" x14ac:dyDescent="0.25">
      <c r="B98" s="22">
        <v>240</v>
      </c>
      <c r="C98" s="22" t="s">
        <v>49</v>
      </c>
      <c r="D98" s="22"/>
      <c r="E98" s="22">
        <v>1</v>
      </c>
      <c r="F98" s="22">
        <v>2.488</v>
      </c>
      <c r="G98" s="23">
        <v>1.6090000000000002E-7</v>
      </c>
      <c r="H98" s="23">
        <v>8.800000000000001E-9</v>
      </c>
      <c r="I98" s="23">
        <v>5.341999999999999E-6</v>
      </c>
      <c r="J98" s="23">
        <v>1.8399999999999999E-8</v>
      </c>
      <c r="K98" s="23">
        <v>1.591</v>
      </c>
      <c r="L98" s="23">
        <v>1.591</v>
      </c>
      <c r="M98" s="23">
        <v>6.8300000000000001E-3</v>
      </c>
      <c r="N98" s="23">
        <v>1.887</v>
      </c>
      <c r="O98" s="23">
        <v>6.3899999999999996E-8</v>
      </c>
      <c r="P98" s="23">
        <v>2.1289999999999999E-6</v>
      </c>
    </row>
    <row r="99" spans="2:16" x14ac:dyDescent="0.25">
      <c r="B99" s="22">
        <v>241</v>
      </c>
      <c r="C99" s="22" t="s">
        <v>49</v>
      </c>
      <c r="D99" s="22"/>
      <c r="E99" s="22">
        <v>1</v>
      </c>
      <c r="F99" s="22">
        <v>2.4700000000000002</v>
      </c>
      <c r="G99" s="23">
        <v>1.592E-7</v>
      </c>
      <c r="H99" s="23">
        <v>1.0900000000000002E-8</v>
      </c>
      <c r="I99" s="23">
        <v>7.2069999999999998E-6</v>
      </c>
      <c r="J99" s="23">
        <v>1.8200000000000001E-8</v>
      </c>
      <c r="K99" s="23">
        <v>1.583</v>
      </c>
      <c r="L99" s="23">
        <v>1.583</v>
      </c>
      <c r="M99" s="23">
        <v>6.79E-3</v>
      </c>
      <c r="N99" s="23">
        <v>1.901</v>
      </c>
      <c r="O99" s="23">
        <v>8.3599999999999994E-8</v>
      </c>
      <c r="P99" s="23">
        <v>2.463E-6</v>
      </c>
    </row>
    <row r="100" spans="2:16" x14ac:dyDescent="0.25">
      <c r="B100" s="22">
        <v>248</v>
      </c>
      <c r="C100" s="22" t="s">
        <v>49</v>
      </c>
      <c r="D100" s="22"/>
      <c r="E100" s="22">
        <v>1</v>
      </c>
      <c r="F100" s="22">
        <v>2.536</v>
      </c>
      <c r="G100" s="23">
        <v>2.4780000000000004E-7</v>
      </c>
      <c r="H100" s="23">
        <v>1.0300000000000001E-8</v>
      </c>
      <c r="I100" s="23">
        <v>8.4030000000000007E-6</v>
      </c>
      <c r="J100" s="23">
        <v>1.77E-8</v>
      </c>
      <c r="K100" s="23">
        <v>1.556</v>
      </c>
      <c r="L100" s="23">
        <v>1.556</v>
      </c>
      <c r="M100" s="23">
        <v>6.5199999999999998E-3</v>
      </c>
      <c r="N100" s="23">
        <v>1.8540000000000001</v>
      </c>
      <c r="O100" s="23">
        <v>7.2300000000000006E-8</v>
      </c>
      <c r="P100" s="23">
        <v>2.954E-6</v>
      </c>
    </row>
    <row r="101" spans="2:16" x14ac:dyDescent="0.25">
      <c r="B101" s="22">
        <v>249</v>
      </c>
      <c r="C101" s="22" t="s">
        <v>49</v>
      </c>
      <c r="D101" s="22"/>
      <c r="E101" s="22">
        <v>1</v>
      </c>
      <c r="F101" s="22">
        <v>2.4369999999999998</v>
      </c>
      <c r="G101" s="23">
        <v>1.142E-7</v>
      </c>
      <c r="H101" s="23">
        <v>8.3000000000000015E-9</v>
      </c>
      <c r="I101" s="23">
        <v>5.0669999999999999E-6</v>
      </c>
      <c r="J101" s="23">
        <v>1.1700000000000001E-8</v>
      </c>
      <c r="K101" s="23">
        <v>1.5780000000000001</v>
      </c>
      <c r="L101" s="23">
        <v>1.5780000000000001</v>
      </c>
      <c r="M101" s="23">
        <v>6.9500000000000004E-3</v>
      </c>
      <c r="N101" s="23">
        <v>1.9179999999999999</v>
      </c>
      <c r="O101" s="23">
        <v>5.5600000000000008E-8</v>
      </c>
      <c r="P101" s="23">
        <v>1.716E-6</v>
      </c>
    </row>
    <row r="102" spans="2:16" x14ac:dyDescent="0.25">
      <c r="B102" s="22">
        <v>251</v>
      </c>
      <c r="C102" s="22" t="s">
        <v>49</v>
      </c>
      <c r="D102" s="22"/>
      <c r="E102" s="22">
        <v>1</v>
      </c>
      <c r="F102" s="22">
        <v>2.5819999999999999</v>
      </c>
      <c r="G102" s="23">
        <v>8.3299999999999998E-8</v>
      </c>
      <c r="H102" s="23">
        <v>8.800000000000001E-9</v>
      </c>
      <c r="I102" s="23">
        <v>3.3119999999999998E-6</v>
      </c>
      <c r="J102" s="23">
        <v>1.74E-8</v>
      </c>
      <c r="K102" s="23">
        <v>1.613</v>
      </c>
      <c r="L102" s="23">
        <v>1.613</v>
      </c>
      <c r="M102" s="23">
        <v>6.5000000000000006E-3</v>
      </c>
      <c r="N102" s="23">
        <v>1.9419999999999999</v>
      </c>
      <c r="O102" s="23">
        <v>5.7600000000000006E-8</v>
      </c>
      <c r="P102" s="23">
        <v>1.1619999999999998E-6</v>
      </c>
    </row>
    <row r="103" spans="2:16" x14ac:dyDescent="0.25">
      <c r="B103" s="22">
        <v>254</v>
      </c>
      <c r="C103" s="22" t="s">
        <v>49</v>
      </c>
      <c r="D103" s="22"/>
      <c r="E103" s="22">
        <v>1</v>
      </c>
      <c r="F103" s="22">
        <v>2.5880000000000001</v>
      </c>
      <c r="G103" s="23">
        <v>7.9599999999999998E-8</v>
      </c>
      <c r="H103" s="23">
        <v>9.1000000000000004E-9</v>
      </c>
      <c r="I103" s="23">
        <v>3.6059999999999999E-6</v>
      </c>
      <c r="J103" s="23">
        <v>1.7800000000000001E-8</v>
      </c>
      <c r="K103" s="23">
        <v>1.609</v>
      </c>
      <c r="L103" s="23">
        <v>1.609</v>
      </c>
      <c r="M103" s="23">
        <v>6.5500000000000003E-3</v>
      </c>
      <c r="N103" s="23">
        <v>1.931</v>
      </c>
      <c r="O103" s="23">
        <v>5.8100000000000004E-8</v>
      </c>
      <c r="P103" s="23">
        <v>1.3179999999999999E-6</v>
      </c>
    </row>
    <row r="104" spans="2:16" x14ac:dyDescent="0.25">
      <c r="B104" s="22">
        <v>255</v>
      </c>
      <c r="C104" s="22" t="s">
        <v>49</v>
      </c>
      <c r="D104" s="22"/>
      <c r="E104" s="22">
        <v>1</v>
      </c>
      <c r="F104" s="22">
        <v>2.5720000000000001</v>
      </c>
      <c r="G104" s="23">
        <v>1.5600000000000002E-7</v>
      </c>
      <c r="H104" s="23">
        <v>9.6999999999999992E-9</v>
      </c>
      <c r="I104" s="23">
        <v>5.4329999999999995E-6</v>
      </c>
      <c r="J104" s="23">
        <v>1.9500000000000003E-8</v>
      </c>
      <c r="K104" s="23">
        <v>1.5880000000000001</v>
      </c>
      <c r="L104" s="23">
        <v>1.5880000000000001</v>
      </c>
      <c r="M104" s="23">
        <v>6.6299999999999996E-3</v>
      </c>
      <c r="N104" s="23">
        <v>1.89</v>
      </c>
      <c r="O104" s="23">
        <v>6.9100000000000003E-8</v>
      </c>
      <c r="P104" s="23">
        <v>1.8300000000000001E-6</v>
      </c>
    </row>
    <row r="105" spans="2:16" x14ac:dyDescent="0.25">
      <c r="B105" s="22">
        <v>256</v>
      </c>
      <c r="C105" s="22" t="s">
        <v>49</v>
      </c>
      <c r="D105" s="22"/>
      <c r="E105" s="22">
        <v>1</v>
      </c>
      <c r="F105" s="22">
        <v>2.4620000000000002</v>
      </c>
      <c r="G105" s="23">
        <v>2.4980000000000003E-7</v>
      </c>
      <c r="H105" s="23">
        <v>1.0600000000000001E-8</v>
      </c>
      <c r="I105" s="23">
        <v>7.0899999999999999E-6</v>
      </c>
      <c r="J105" s="23">
        <v>1.8600000000000001E-8</v>
      </c>
      <c r="K105" s="23">
        <v>1.5149999999999999</v>
      </c>
      <c r="L105" s="23">
        <v>1.5149999999999999</v>
      </c>
      <c r="M105" s="23">
        <v>6.7999999999999996E-3</v>
      </c>
      <c r="N105" s="23">
        <v>1.798</v>
      </c>
      <c r="O105" s="23">
        <v>8.8000000000000007E-8</v>
      </c>
      <c r="P105" s="23">
        <v>2.5959999999999998E-6</v>
      </c>
    </row>
    <row r="106" spans="2:16" x14ac:dyDescent="0.25">
      <c r="B106" s="22">
        <v>257</v>
      </c>
      <c r="C106" s="22" t="s">
        <v>49</v>
      </c>
      <c r="D106" s="22"/>
      <c r="E106" s="22">
        <v>1</v>
      </c>
      <c r="F106" s="22">
        <v>2.5659999999999998</v>
      </c>
      <c r="G106" s="23">
        <v>6.73E-8</v>
      </c>
      <c r="H106" s="23">
        <v>7.500000000000001E-9</v>
      </c>
      <c r="I106" s="23">
        <v>2.4310000000000001E-6</v>
      </c>
      <c r="J106" s="23">
        <v>1.15E-8</v>
      </c>
      <c r="K106" s="23">
        <v>1.599</v>
      </c>
      <c r="L106" s="23">
        <v>1.599</v>
      </c>
      <c r="M106" s="23">
        <v>6.4800000000000005E-3</v>
      </c>
      <c r="N106" s="23">
        <v>1.9510000000000001</v>
      </c>
      <c r="O106" s="23">
        <v>4.73E-8</v>
      </c>
      <c r="P106" s="23">
        <v>8.2289999999999999E-7</v>
      </c>
    </row>
    <row r="107" spans="2:16" x14ac:dyDescent="0.25">
      <c r="B107" s="22">
        <v>259</v>
      </c>
      <c r="C107" s="22" t="s">
        <v>49</v>
      </c>
      <c r="D107" s="22"/>
      <c r="E107" s="22">
        <v>1</v>
      </c>
      <c r="F107" s="22">
        <v>2.431</v>
      </c>
      <c r="G107" s="23">
        <v>2.9439999999999999E-7</v>
      </c>
      <c r="H107" s="23">
        <v>1.16E-8</v>
      </c>
      <c r="I107" s="23">
        <v>8.3809999999999999E-6</v>
      </c>
      <c r="J107" s="23">
        <v>1.77E-8</v>
      </c>
      <c r="K107" s="23">
        <v>1.5189999999999999</v>
      </c>
      <c r="L107" s="23">
        <v>1.5189999999999999</v>
      </c>
      <c r="M107" s="23">
        <v>6.96E-3</v>
      </c>
      <c r="N107" s="23">
        <v>1.798</v>
      </c>
      <c r="O107" s="23">
        <v>1.066E-7</v>
      </c>
      <c r="P107" s="23">
        <v>3.4709999999999999E-6</v>
      </c>
    </row>
    <row r="108" spans="2:16" x14ac:dyDescent="0.25">
      <c r="B108" s="22">
        <v>262</v>
      </c>
      <c r="C108" s="22" t="s">
        <v>49</v>
      </c>
      <c r="D108" s="22"/>
      <c r="E108" s="22">
        <v>1</v>
      </c>
      <c r="F108" s="22">
        <v>2.492</v>
      </c>
      <c r="G108" s="23">
        <v>8.5599999999999999E-8</v>
      </c>
      <c r="H108" s="23">
        <v>7.6000000000000002E-9</v>
      </c>
      <c r="I108" s="23">
        <v>2.7999999999999999E-6</v>
      </c>
      <c r="J108" s="23">
        <v>1.0500000000000001E-8</v>
      </c>
      <c r="K108" s="23">
        <v>1.5409999999999999</v>
      </c>
      <c r="L108" s="23">
        <v>1.5409999999999999</v>
      </c>
      <c r="M108" s="23">
        <v>6.7800000000000004E-3</v>
      </c>
      <c r="N108" s="23">
        <v>1.873</v>
      </c>
      <c r="O108" s="23">
        <v>4.7400000000000001E-8</v>
      </c>
      <c r="P108" s="23">
        <v>9.3820000000000008E-7</v>
      </c>
    </row>
    <row r="109" spans="2:16" x14ac:dyDescent="0.25">
      <c r="B109" s="22">
        <v>268</v>
      </c>
      <c r="C109" s="22" t="s">
        <v>49</v>
      </c>
      <c r="D109" s="22"/>
      <c r="E109" s="22">
        <v>1</v>
      </c>
      <c r="F109" s="22">
        <v>2.5150000000000001</v>
      </c>
      <c r="G109" s="23">
        <v>1.9390000000000001E-7</v>
      </c>
      <c r="H109" s="23">
        <v>9.6999999999999992E-9</v>
      </c>
      <c r="I109" s="23">
        <v>6.7409999999999995E-6</v>
      </c>
      <c r="J109" s="23">
        <v>1.7200000000000002E-8</v>
      </c>
      <c r="K109" s="23">
        <v>1.5569999999999999</v>
      </c>
      <c r="L109" s="23">
        <v>1.5569999999999999</v>
      </c>
      <c r="M109" s="23">
        <v>6.6100000000000004E-3</v>
      </c>
      <c r="N109" s="23">
        <v>1.853</v>
      </c>
      <c r="O109" s="23">
        <v>6.7099999999999999E-8</v>
      </c>
      <c r="P109" s="23">
        <v>2.1639999999999999E-6</v>
      </c>
    </row>
    <row r="110" spans="2:16" x14ac:dyDescent="0.25">
      <c r="B110" s="22">
        <v>271</v>
      </c>
      <c r="C110" s="22" t="s">
        <v>49</v>
      </c>
      <c r="D110" s="22"/>
      <c r="E110" s="22">
        <v>1</v>
      </c>
      <c r="F110" s="22">
        <v>2.528</v>
      </c>
      <c r="G110" s="23">
        <v>1.7490000000000001E-7</v>
      </c>
      <c r="H110" s="23">
        <v>1.02E-8</v>
      </c>
      <c r="I110" s="23">
        <v>6.1410000000000002E-6</v>
      </c>
      <c r="J110" s="23">
        <v>1.8399999999999999E-8</v>
      </c>
      <c r="K110" s="23">
        <v>1.5820000000000001</v>
      </c>
      <c r="L110" s="23">
        <v>1.5820000000000001</v>
      </c>
      <c r="M110" s="23">
        <v>6.6299999999999996E-3</v>
      </c>
      <c r="N110" s="23">
        <v>1.8819999999999999</v>
      </c>
      <c r="O110" s="23">
        <v>7.1900000000000015E-8</v>
      </c>
      <c r="P110" s="23">
        <v>2.12E-6</v>
      </c>
    </row>
    <row r="111" spans="2:16" x14ac:dyDescent="0.25">
      <c r="B111" s="22">
        <v>276</v>
      </c>
      <c r="C111" s="22" t="s">
        <v>49</v>
      </c>
      <c r="D111" s="22"/>
      <c r="E111" s="22">
        <v>1</v>
      </c>
      <c r="F111" s="22">
        <v>2.4769999999999999</v>
      </c>
      <c r="G111" s="23">
        <v>1.617E-7</v>
      </c>
      <c r="H111" s="23">
        <v>9.5000000000000007E-9</v>
      </c>
      <c r="I111" s="23">
        <v>4.8760000000000004E-6</v>
      </c>
      <c r="J111" s="23">
        <v>1.8399999999999999E-8</v>
      </c>
      <c r="K111" s="23">
        <v>1.5880000000000001</v>
      </c>
      <c r="L111" s="23">
        <v>1.5880000000000001</v>
      </c>
      <c r="M111" s="23">
        <v>6.96E-3</v>
      </c>
      <c r="N111" s="23">
        <v>1.8819999999999999</v>
      </c>
      <c r="O111" s="23">
        <v>6.4099999999999998E-8</v>
      </c>
      <c r="P111" s="23">
        <v>1.7150000000000001E-6</v>
      </c>
    </row>
    <row r="112" spans="2:16" x14ac:dyDescent="0.25">
      <c r="B112" s="22">
        <v>278</v>
      </c>
      <c r="C112" s="22" t="s">
        <v>49</v>
      </c>
      <c r="D112" s="22"/>
      <c r="E112" s="22">
        <v>1</v>
      </c>
      <c r="F112" s="22">
        <v>2.5499999999999998</v>
      </c>
      <c r="G112" s="23">
        <v>4.5460000000000006E-7</v>
      </c>
      <c r="H112" s="23">
        <v>8.4000000000000008E-9</v>
      </c>
      <c r="I112" s="23">
        <v>9.3239999999999992E-6</v>
      </c>
      <c r="J112" s="23">
        <v>1.2300000000000001E-8</v>
      </c>
      <c r="K112" s="23">
        <v>1.5469999999999999</v>
      </c>
      <c r="L112" s="23">
        <v>1.5469999999999999</v>
      </c>
      <c r="M112" s="23">
        <v>6.7000000000000002E-3</v>
      </c>
      <c r="N112" s="23">
        <v>1.857</v>
      </c>
      <c r="O112" s="23">
        <v>5.2600000000000008E-8</v>
      </c>
      <c r="P112" s="23">
        <v>4.7820000000000001E-6</v>
      </c>
    </row>
    <row r="113" spans="2:16" x14ac:dyDescent="0.25">
      <c r="B113" s="22">
        <v>281</v>
      </c>
      <c r="C113" s="22" t="s">
        <v>49</v>
      </c>
      <c r="D113" s="22"/>
      <c r="E113" s="22">
        <v>1</v>
      </c>
      <c r="F113" s="22">
        <v>2.4929999999999999</v>
      </c>
      <c r="G113" s="23">
        <v>1.7190000000000002E-7</v>
      </c>
      <c r="H113" s="23">
        <v>9.1999999999999997E-9</v>
      </c>
      <c r="I113" s="23">
        <v>4.9699999999999998E-6</v>
      </c>
      <c r="J113" s="23">
        <v>1.35E-8</v>
      </c>
      <c r="K113" s="23">
        <v>1.5389999999999999</v>
      </c>
      <c r="L113" s="23">
        <v>1.5389999999999999</v>
      </c>
      <c r="M113" s="23">
        <v>6.9100000000000003E-3</v>
      </c>
      <c r="N113" s="23">
        <v>1.831</v>
      </c>
      <c r="O113" s="23">
        <v>5.8100000000000004E-8</v>
      </c>
      <c r="P113" s="23">
        <v>1.8479999999999999E-6</v>
      </c>
    </row>
    <row r="114" spans="2:16" x14ac:dyDescent="0.25">
      <c r="B114" s="22">
        <v>283</v>
      </c>
      <c r="C114" s="22" t="s">
        <v>49</v>
      </c>
      <c r="D114" s="22"/>
      <c r="E114" s="22">
        <v>1</v>
      </c>
      <c r="F114" s="22">
        <v>2.4700000000000002</v>
      </c>
      <c r="G114" s="23">
        <v>1.1600000000000001E-7</v>
      </c>
      <c r="H114" s="23">
        <v>1.0300000000000001E-8</v>
      </c>
      <c r="I114" s="23">
        <v>3.7120000000000002E-6</v>
      </c>
      <c r="J114" s="23">
        <v>1.8700000000000002E-8</v>
      </c>
      <c r="K114" s="23">
        <v>1.6040000000000001</v>
      </c>
      <c r="L114" s="23">
        <v>1.6040000000000001</v>
      </c>
      <c r="M114" s="23">
        <v>6.8200000000000005E-3</v>
      </c>
      <c r="N114" s="23">
        <v>1.9039999999999999</v>
      </c>
      <c r="O114" s="23">
        <v>6.1200000000000005E-8</v>
      </c>
      <c r="P114" s="23">
        <v>1.288E-6</v>
      </c>
    </row>
    <row r="115" spans="2:16" x14ac:dyDescent="0.25">
      <c r="B115" s="22">
        <v>284</v>
      </c>
      <c r="C115" s="22" t="s">
        <v>49</v>
      </c>
      <c r="D115" s="22"/>
      <c r="E115" s="22">
        <v>1</v>
      </c>
      <c r="F115" s="22">
        <v>2.5430000000000001</v>
      </c>
      <c r="G115" s="23">
        <v>2.445E-7</v>
      </c>
      <c r="H115" s="23">
        <v>8.7000000000000001E-9</v>
      </c>
      <c r="I115" s="23">
        <v>4.9759999999999995E-6</v>
      </c>
      <c r="J115" s="23">
        <v>1.7500000000000001E-8</v>
      </c>
      <c r="K115" s="23">
        <v>1.5920000000000001</v>
      </c>
      <c r="L115" s="23">
        <v>1.5920000000000001</v>
      </c>
      <c r="M115" s="23">
        <v>6.5900000000000004E-3</v>
      </c>
      <c r="N115" s="23">
        <v>1.907</v>
      </c>
      <c r="O115" s="23">
        <v>5.2399999999999999E-8</v>
      </c>
      <c r="P115" s="23">
        <v>2.0480000000000001E-6</v>
      </c>
    </row>
    <row r="116" spans="2:16" x14ac:dyDescent="0.25">
      <c r="B116" s="22">
        <v>285</v>
      </c>
      <c r="C116" s="22" t="s">
        <v>49</v>
      </c>
      <c r="D116" s="22"/>
      <c r="E116" s="22">
        <v>1</v>
      </c>
      <c r="F116" s="22">
        <v>2.4860000000000002</v>
      </c>
      <c r="G116" s="23">
        <v>8.7200000000000013E-8</v>
      </c>
      <c r="H116" s="23">
        <v>8.0999999999999997E-9</v>
      </c>
      <c r="I116" s="23">
        <v>3.0339999999999997E-6</v>
      </c>
      <c r="J116" s="23">
        <v>9.6999999999999992E-9</v>
      </c>
      <c r="K116" s="23">
        <v>1.5349999999999999</v>
      </c>
      <c r="L116" s="23">
        <v>1.5349999999999999</v>
      </c>
      <c r="M116" s="23">
        <v>6.7800000000000004E-3</v>
      </c>
      <c r="N116" s="23">
        <v>1.87</v>
      </c>
      <c r="O116" s="23">
        <v>4.58E-8</v>
      </c>
      <c r="P116" s="23">
        <v>1.0980000000000001E-6</v>
      </c>
    </row>
    <row r="117" spans="2:16" x14ac:dyDescent="0.25">
      <c r="B117" s="22">
        <v>286</v>
      </c>
      <c r="C117" s="22" t="s">
        <v>49</v>
      </c>
      <c r="D117" s="22"/>
      <c r="E117" s="22">
        <v>1</v>
      </c>
      <c r="F117" s="22">
        <v>2.5150000000000001</v>
      </c>
      <c r="G117" s="23">
        <v>9.3100000000000006E-8</v>
      </c>
      <c r="H117" s="23">
        <v>8.0999999999999997E-9</v>
      </c>
      <c r="I117" s="23">
        <v>2.9729999999999997E-6</v>
      </c>
      <c r="J117" s="23">
        <v>1.0900000000000002E-8</v>
      </c>
      <c r="K117" s="23">
        <v>1.5629999999999999</v>
      </c>
      <c r="L117" s="23">
        <v>1.5629999999999999</v>
      </c>
      <c r="M117" s="23">
        <v>6.6900000000000006E-3</v>
      </c>
      <c r="N117" s="23">
        <v>1.895</v>
      </c>
      <c r="O117" s="23">
        <v>4.8000000000000006E-8</v>
      </c>
      <c r="P117" s="23">
        <v>1.0409999999999999E-6</v>
      </c>
    </row>
    <row r="118" spans="2:16" x14ac:dyDescent="0.25">
      <c r="B118" s="22">
        <v>287</v>
      </c>
      <c r="C118" s="22" t="s">
        <v>49</v>
      </c>
      <c r="D118" s="22"/>
      <c r="E118" s="22">
        <v>1</v>
      </c>
      <c r="F118" s="22">
        <v>2.5030000000000001</v>
      </c>
      <c r="G118" s="23">
        <v>4.1069999999999998E-6</v>
      </c>
      <c r="H118" s="23">
        <v>8.9000000000000003E-9</v>
      </c>
      <c r="I118" s="23">
        <v>1.364E-5</v>
      </c>
      <c r="J118" s="23">
        <v>1.5000000000000002E-8</v>
      </c>
      <c r="K118" s="23">
        <v>1.5760000000000001</v>
      </c>
      <c r="L118" s="23">
        <v>1.5760000000000001</v>
      </c>
      <c r="M118" s="23">
        <v>6.8399999999999997E-3</v>
      </c>
      <c r="N118" s="23">
        <v>1.8839999999999999</v>
      </c>
      <c r="O118" s="23">
        <v>5.6600000000000004E-8</v>
      </c>
      <c r="P118" s="23">
        <v>9.4239999999999999E-6</v>
      </c>
    </row>
    <row r="119" spans="2:16" x14ac:dyDescent="0.25">
      <c r="B119" s="22">
        <v>288</v>
      </c>
      <c r="C119" s="22" t="s">
        <v>49</v>
      </c>
      <c r="D119" s="22"/>
      <c r="E119" s="22">
        <v>1</v>
      </c>
      <c r="F119" s="22">
        <v>2.476</v>
      </c>
      <c r="G119" s="23">
        <v>1.2109999999999999E-7</v>
      </c>
      <c r="H119" s="23">
        <v>8.0999999999999997E-9</v>
      </c>
      <c r="I119" s="23">
        <v>4.9699999999999998E-6</v>
      </c>
      <c r="J119" s="23">
        <v>1.1199999999999999E-8</v>
      </c>
      <c r="K119" s="23">
        <v>1.575</v>
      </c>
      <c r="L119" s="23">
        <v>1.575</v>
      </c>
      <c r="M119" s="23">
        <v>6.8700000000000002E-3</v>
      </c>
      <c r="N119" s="23">
        <v>1.9159999999999999</v>
      </c>
      <c r="O119" s="23">
        <v>5.5000000000000003E-8</v>
      </c>
      <c r="P119" s="23">
        <v>1.719E-6</v>
      </c>
    </row>
    <row r="120" spans="2:16" x14ac:dyDescent="0.25">
      <c r="B120" s="22">
        <v>289</v>
      </c>
      <c r="C120" s="22" t="s">
        <v>49</v>
      </c>
      <c r="D120" s="22"/>
      <c r="E120" s="22">
        <v>1</v>
      </c>
      <c r="F120" s="22">
        <v>2.536</v>
      </c>
      <c r="G120" s="23">
        <v>2.4120000000000002E-7</v>
      </c>
      <c r="H120" s="23">
        <v>1E-8</v>
      </c>
      <c r="I120" s="23">
        <v>1.396E-5</v>
      </c>
      <c r="J120" s="23">
        <v>1.7200000000000002E-8</v>
      </c>
      <c r="K120" s="23">
        <v>1.611</v>
      </c>
      <c r="L120" s="23">
        <v>1.611</v>
      </c>
      <c r="M120" s="23">
        <v>6.6400000000000001E-3</v>
      </c>
      <c r="N120" s="23">
        <v>1.9119999999999999</v>
      </c>
      <c r="O120" s="23">
        <v>8.0799999999999996E-8</v>
      </c>
      <c r="P120" s="23">
        <v>4.6600000000000003E-6</v>
      </c>
    </row>
    <row r="121" spans="2:16" x14ac:dyDescent="0.25">
      <c r="B121" s="22">
        <v>290</v>
      </c>
      <c r="C121" s="22" t="s">
        <v>49</v>
      </c>
      <c r="D121" s="22"/>
      <c r="E121" s="22">
        <v>1</v>
      </c>
      <c r="F121" s="22">
        <v>2.5779999999999998</v>
      </c>
      <c r="G121" s="23">
        <v>1.068E-7</v>
      </c>
      <c r="H121" s="23">
        <v>8.3000000000000015E-9</v>
      </c>
      <c r="I121" s="23">
        <v>4.4229999999999998E-6</v>
      </c>
      <c r="J121" s="23">
        <v>1.3600000000000001E-8</v>
      </c>
      <c r="K121" s="23">
        <v>1.5880000000000001</v>
      </c>
      <c r="L121" s="23">
        <v>1.5880000000000001</v>
      </c>
      <c r="M121" s="23">
        <v>6.5700000000000003E-3</v>
      </c>
      <c r="N121" s="23">
        <v>1.9179999999999999</v>
      </c>
      <c r="O121" s="23">
        <v>5.8500000000000001E-8</v>
      </c>
      <c r="P121" s="23">
        <v>1.4859999999999998E-6</v>
      </c>
    </row>
    <row r="122" spans="2:16" x14ac:dyDescent="0.25">
      <c r="B122" s="22">
        <v>291</v>
      </c>
      <c r="C122" s="22" t="s">
        <v>49</v>
      </c>
      <c r="D122" s="22"/>
      <c r="E122" s="22">
        <v>1</v>
      </c>
      <c r="F122" s="22">
        <v>2.5329999999999999</v>
      </c>
      <c r="G122" s="23">
        <v>2.8930000000000003E-7</v>
      </c>
      <c r="H122" s="23">
        <v>1.0099999999999999E-8</v>
      </c>
      <c r="I122" s="23">
        <v>1.4569999999999999E-5</v>
      </c>
      <c r="J122" s="23">
        <v>1.7200000000000002E-8</v>
      </c>
      <c r="K122" s="23">
        <v>1.5609999999999999</v>
      </c>
      <c r="L122" s="23">
        <v>1.5609999999999999</v>
      </c>
      <c r="M122" s="23">
        <v>6.5900000000000004E-3</v>
      </c>
      <c r="N122" s="23">
        <v>1.857</v>
      </c>
      <c r="O122" s="23">
        <v>1.068E-7</v>
      </c>
      <c r="P122" s="23">
        <v>5.2359999999999995E-6</v>
      </c>
    </row>
    <row r="123" spans="2:16" x14ac:dyDescent="0.25">
      <c r="B123" s="22">
        <v>292</v>
      </c>
      <c r="C123" s="22" t="s">
        <v>49</v>
      </c>
      <c r="D123" s="22"/>
      <c r="E123" s="22">
        <v>1</v>
      </c>
      <c r="F123" s="22">
        <v>2.5270000000000001</v>
      </c>
      <c r="G123" s="23">
        <v>2.91E-7</v>
      </c>
      <c r="H123" s="23">
        <v>1.1700000000000001E-8</v>
      </c>
      <c r="I123" s="23">
        <v>7.3689999999999992E-6</v>
      </c>
      <c r="J123" s="23">
        <v>1.7800000000000001E-8</v>
      </c>
      <c r="K123" s="23">
        <v>1.4890000000000001</v>
      </c>
      <c r="L123" s="23">
        <v>1.4890000000000001</v>
      </c>
      <c r="M123" s="23">
        <v>6.6500000000000005E-3</v>
      </c>
      <c r="N123" s="23">
        <v>1.766</v>
      </c>
      <c r="O123" s="23">
        <v>1.156E-7</v>
      </c>
      <c r="P123" s="23">
        <v>2.8140000000000001E-6</v>
      </c>
    </row>
    <row r="124" spans="2:16" x14ac:dyDescent="0.25">
      <c r="B124" s="22">
        <v>294</v>
      </c>
      <c r="C124" s="22" t="s">
        <v>49</v>
      </c>
      <c r="D124" s="22"/>
      <c r="E124" s="22">
        <v>1</v>
      </c>
      <c r="F124" s="22">
        <v>2.5470000000000002</v>
      </c>
      <c r="G124" s="23">
        <v>2.1950000000000003E-7</v>
      </c>
      <c r="H124" s="23">
        <v>9.900000000000001E-9</v>
      </c>
      <c r="I124" s="23">
        <v>9.1430000000000004E-6</v>
      </c>
      <c r="J124" s="23">
        <v>1.5800000000000003E-8</v>
      </c>
      <c r="K124" s="23">
        <v>1.51</v>
      </c>
      <c r="L124" s="23">
        <v>1.51</v>
      </c>
      <c r="M124" s="23">
        <v>6.7400000000000003E-3</v>
      </c>
      <c r="N124" s="23">
        <v>1.7929999999999999</v>
      </c>
      <c r="O124" s="23">
        <v>7.8800000000000004E-8</v>
      </c>
      <c r="P124" s="23">
        <v>3.4249999999999998E-6</v>
      </c>
    </row>
    <row r="125" spans="2:16" x14ac:dyDescent="0.25">
      <c r="B125" s="22">
        <v>300</v>
      </c>
      <c r="C125" s="22" t="s">
        <v>49</v>
      </c>
      <c r="D125" s="22"/>
      <c r="E125" s="22">
        <v>1</v>
      </c>
      <c r="F125" s="22">
        <v>2.4249999999999998</v>
      </c>
      <c r="G125" s="23">
        <v>1.5990000000000002E-7</v>
      </c>
      <c r="H125" s="23">
        <v>9.3000000000000006E-9</v>
      </c>
      <c r="I125" s="23">
        <v>7.7469999999999988E-6</v>
      </c>
      <c r="J125" s="23">
        <v>1.27E-8</v>
      </c>
      <c r="K125" s="23">
        <v>1.5840000000000001</v>
      </c>
      <c r="L125" s="23">
        <v>1.5840000000000001</v>
      </c>
      <c r="M125" s="23">
        <v>7.0800000000000004E-3</v>
      </c>
      <c r="N125" s="23">
        <v>1.9</v>
      </c>
      <c r="O125" s="23">
        <v>6.1400000000000007E-8</v>
      </c>
      <c r="P125" s="23">
        <v>2.7599999999999998E-6</v>
      </c>
    </row>
    <row r="126" spans="2:16" x14ac:dyDescent="0.25">
      <c r="B126" s="22">
        <v>306</v>
      </c>
      <c r="C126" s="22" t="s">
        <v>49</v>
      </c>
      <c r="D126" s="22"/>
      <c r="E126" s="22">
        <v>1</v>
      </c>
      <c r="F126" s="22">
        <v>2.4710000000000001</v>
      </c>
      <c r="G126" s="23">
        <v>2.3380000000000002E-7</v>
      </c>
      <c r="H126" s="23">
        <v>7.8000000000000004E-9</v>
      </c>
      <c r="I126" s="23">
        <v>4.2729999999999996E-6</v>
      </c>
      <c r="J126" s="23">
        <v>9.5999999999999999E-9</v>
      </c>
      <c r="K126" s="23">
        <v>1.548</v>
      </c>
      <c r="L126" s="23">
        <v>1.548</v>
      </c>
      <c r="M126" s="23">
        <v>6.8600000000000006E-3</v>
      </c>
      <c r="N126" s="23">
        <v>1.8919999999999999</v>
      </c>
      <c r="O126" s="23">
        <v>5.1E-8</v>
      </c>
      <c r="P126" s="23">
        <v>1.7869999999999998E-6</v>
      </c>
    </row>
  </sheetData>
  <sheetProtection algorithmName="SHA-512" hashValue="zFv6KyRDzLIqFGMNrYfgUCsR2yGW4KkKDKFZFeZhbABf3yobkKFupWR5IitjNJqEWnWSGFtvtuTehEm8YvuPEg==" saltValue="FGGNdLvl1zWyBqFasSp+OQ==" spinCount="100000" sheet="1" objects="1" scenarios="1" sort="0" autoFilter="0"/>
  <autoFilter ref="A10:Q126" xr:uid="{148A66B4-C3DF-46D2-BEF7-BAF5BBD4B233}"/>
  <mergeCells count="14">
    <mergeCell ref="A1:F1"/>
    <mergeCell ref="K1:L1"/>
    <mergeCell ref="M1:N1"/>
    <mergeCell ref="O1:P1"/>
    <mergeCell ref="A2:B2"/>
    <mergeCell ref="C2:D2"/>
    <mergeCell ref="E2:F2"/>
    <mergeCell ref="H2:Q2"/>
    <mergeCell ref="A3:B3"/>
    <mergeCell ref="C3:D3"/>
    <mergeCell ref="E3:F3"/>
    <mergeCell ref="H3:Q3"/>
    <mergeCell ref="A4:G4"/>
    <mergeCell ref="H4:Q4"/>
  </mergeCells>
  <conditionalFormatting sqref="A11:A56">
    <cfRule type="duplicateValues" dxfId="43" priority="9"/>
  </conditionalFormatting>
  <conditionalFormatting sqref="A3:G3">
    <cfRule type="cellIs" dxfId="42" priority="1" operator="equal">
      <formula>0</formula>
    </cfRule>
  </conditionalFormatting>
  <conditionalFormatting sqref="B11:B56">
    <cfRule type="duplicateValues" dxfId="41" priority="10"/>
  </conditionalFormatting>
  <conditionalFormatting sqref="C11:C1781">
    <cfRule type="containsBlanks" dxfId="40" priority="5" stopIfTrue="1">
      <formula>LEN(TRIM(C11))=0</formula>
    </cfRule>
    <cfRule type="cellIs" dxfId="39" priority="6" stopIfTrue="1" operator="equal">
      <formula>"ND"</formula>
    </cfRule>
    <cfRule type="cellIs" dxfId="38" priority="7" operator="equal">
      <formula>"ALL PASS"</formula>
    </cfRule>
    <cfRule type="cellIs" dxfId="37" priority="8" operator="notEqual">
      <formula>"ALL PASS"</formula>
    </cfRule>
  </conditionalFormatting>
  <conditionalFormatting sqref="E11:E1781">
    <cfRule type="cellIs" dxfId="36" priority="2" stopIfTrue="1" operator="equal">
      <formula>99</formula>
    </cfRule>
    <cfRule type="cellIs" dxfId="35" priority="3" operator="between">
      <formula>2</formula>
      <formula>98</formula>
    </cfRule>
    <cfRule type="cellIs" dxfId="34" priority="4" operator="equal">
      <formula>1</formula>
    </cfRule>
  </conditionalFormatting>
  <hyperlinks>
    <hyperlink ref="H1" location="INDEX!A1" display="RETURN TO INDEX" xr:uid="{4D517571-4356-4D0D-941A-C3A9AF7539AD}"/>
    <hyperlink ref="H1:I1" location="INDEX!A1" display="RETURN TO INDEX" xr:uid="{1DBB106A-25D7-40C4-A864-8CC51E6E300B}"/>
    <hyperlink ref="M1" location="'SCREENING STATUS'!A1" display="SCREENING STATUS" xr:uid="{2B77BD68-E231-4E85-A069-2D80A8A544BD}"/>
    <hyperlink ref="J1" location="SUMMARY!A1" display="SUMMARY" xr:uid="{3F286C27-7E31-4394-A016-33648A0FA7B9}"/>
    <hyperlink ref="K1" location="'SCREENING STATUS'!A1" display="SCREENING STATUS" xr:uid="{FACB236B-4F04-4127-9AE5-9D9621B9162C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B4B03-E760-4D1D-8134-9DE644D778A2}">
  <sheetPr>
    <tabColor theme="4" tint="-0.249977111117893"/>
  </sheetPr>
  <dimension ref="A1:N126"/>
  <sheetViews>
    <sheetView zoomScale="95" zoomScaleNormal="95" workbookViewId="0">
      <pane xSplit="3" ySplit="10" topLeftCell="D11" activePane="bottomRight" state="frozen"/>
      <selection activeCell="D250" sqref="D250"/>
      <selection pane="topRight" activeCell="D250" sqref="D250"/>
      <selection pane="bottomLeft" activeCell="D250" sqref="D250"/>
      <selection pane="bottomRight" activeCell="D11" sqref="D11"/>
    </sheetView>
  </sheetViews>
  <sheetFormatPr defaultColWidth="0" defaultRowHeight="15" zeroHeight="1" x14ac:dyDescent="0.25"/>
  <cols>
    <col min="1" max="1" width="18.85546875" customWidth="1"/>
    <col min="2" max="2" width="12.28515625" style="21" customWidth="1"/>
    <col min="3" max="3" width="13.5703125" style="21" customWidth="1"/>
    <col min="4" max="4" width="5.5703125" style="21" customWidth="1"/>
    <col min="5" max="5" width="3.85546875" style="21" customWidth="1"/>
    <col min="6" max="14" width="18.85546875" customWidth="1"/>
  </cols>
  <sheetData>
    <row r="1" spans="1:14" ht="24" x14ac:dyDescent="0.25">
      <c r="A1" s="80" t="s">
        <v>50</v>
      </c>
      <c r="B1" s="80"/>
      <c r="C1" s="80"/>
      <c r="D1" s="80"/>
      <c r="E1" s="80"/>
      <c r="F1" s="80"/>
      <c r="G1" s="4"/>
      <c r="H1" s="2" t="s">
        <v>1</v>
      </c>
      <c r="I1" s="2"/>
      <c r="J1" s="5" t="s">
        <v>6</v>
      </c>
      <c r="K1" s="74" t="s">
        <v>7</v>
      </c>
      <c r="L1" s="74"/>
      <c r="M1" s="74" t="s">
        <v>2</v>
      </c>
      <c r="N1" s="74"/>
    </row>
    <row r="2" spans="1:14" ht="24" x14ac:dyDescent="0.25">
      <c r="A2" s="75" t="s">
        <v>100</v>
      </c>
      <c r="B2" s="75"/>
      <c r="C2" s="75" t="s">
        <v>101</v>
      </c>
      <c r="D2" s="75"/>
      <c r="E2" s="75" t="s">
        <v>102</v>
      </c>
      <c r="F2" s="75"/>
      <c r="G2" s="6" t="s">
        <v>103</v>
      </c>
      <c r="H2" s="76" t="s">
        <v>8</v>
      </c>
      <c r="I2" s="77"/>
      <c r="J2" s="77"/>
      <c r="K2" s="77"/>
      <c r="L2" s="77"/>
      <c r="M2" s="77"/>
      <c r="N2" s="77"/>
    </row>
    <row r="3" spans="1:14" ht="24" x14ac:dyDescent="0.25">
      <c r="A3" s="75" t="s">
        <v>104</v>
      </c>
      <c r="B3" s="75"/>
      <c r="C3" s="75" t="s">
        <v>104</v>
      </c>
      <c r="D3" s="75"/>
      <c r="E3" s="75"/>
      <c r="F3" s="75"/>
      <c r="G3" s="6">
        <v>2342</v>
      </c>
      <c r="H3" s="76"/>
      <c r="I3" s="77"/>
      <c r="J3" s="77"/>
      <c r="K3" s="77"/>
      <c r="L3" s="77"/>
      <c r="M3" s="77"/>
      <c r="N3" s="77"/>
    </row>
    <row r="4" spans="1:14" ht="24" x14ac:dyDescent="0.4">
      <c r="A4" s="78" t="str">
        <f>IF($B$5=$B$6,"PASS","FAIL")</f>
        <v>PASS</v>
      </c>
      <c r="B4" s="79"/>
      <c r="C4" s="79"/>
      <c r="D4" s="79"/>
      <c r="E4" s="79"/>
      <c r="F4" s="79"/>
      <c r="G4" s="79"/>
      <c r="H4" s="77"/>
      <c r="I4" s="77"/>
      <c r="J4" s="77"/>
      <c r="K4" s="77"/>
      <c r="L4" s="77"/>
      <c r="M4" s="77"/>
      <c r="N4" s="77"/>
    </row>
    <row r="5" spans="1:14" x14ac:dyDescent="0.25">
      <c r="A5" s="7" t="s">
        <v>9</v>
      </c>
      <c r="B5" s="8">
        <f>COUNTA(C$11:C$2000)-COUNTIF(C11:C$2000,"ND")</f>
        <v>116</v>
      </c>
      <c r="C5" s="9"/>
      <c r="D5" s="10"/>
      <c r="E5" s="10"/>
      <c r="F5" s="11"/>
      <c r="G5" s="11"/>
      <c r="H5" s="12"/>
      <c r="I5" s="11"/>
      <c r="J5" s="11"/>
      <c r="K5" s="11"/>
      <c r="L5" s="11"/>
      <c r="M5" s="11"/>
      <c r="N5" s="11"/>
    </row>
    <row r="6" spans="1:14" x14ac:dyDescent="0.25">
      <c r="A6" s="13" t="s">
        <v>10</v>
      </c>
      <c r="B6" s="14">
        <f>COUNTIF(C11:C$2000,"All Pass")</f>
        <v>116</v>
      </c>
      <c r="C6" s="15"/>
      <c r="D6" s="15"/>
      <c r="E6" s="15"/>
      <c r="F6" s="16" t="s">
        <v>11</v>
      </c>
      <c r="G6" s="16" t="s">
        <v>51</v>
      </c>
      <c r="H6" s="17" t="s">
        <v>52</v>
      </c>
      <c r="I6" s="16" t="s">
        <v>53</v>
      </c>
      <c r="J6" s="16" t="s">
        <v>54</v>
      </c>
      <c r="K6" s="16" t="s">
        <v>55</v>
      </c>
      <c r="L6" s="16" t="s">
        <v>56</v>
      </c>
      <c r="M6" s="16" t="s">
        <v>57</v>
      </c>
      <c r="N6" s="16" t="s">
        <v>58</v>
      </c>
    </row>
    <row r="7" spans="1:14" x14ac:dyDescent="0.25">
      <c r="A7" s="13" t="s">
        <v>22</v>
      </c>
      <c r="B7" s="14">
        <f>COUNTIF(C11:C$2000,"ND")</f>
        <v>0</v>
      </c>
      <c r="C7" s="15"/>
      <c r="D7" s="15"/>
      <c r="E7" s="15"/>
      <c r="F7" s="16" t="s">
        <v>23</v>
      </c>
      <c r="G7" s="16" t="s">
        <v>59</v>
      </c>
      <c r="H7" s="17" t="s">
        <v>60</v>
      </c>
      <c r="I7" s="16" t="s">
        <v>61</v>
      </c>
      <c r="J7" s="16" t="s">
        <v>62</v>
      </c>
      <c r="K7" s="16" t="s">
        <v>63</v>
      </c>
      <c r="L7" s="16" t="s">
        <v>64</v>
      </c>
      <c r="M7" s="16" t="s">
        <v>65</v>
      </c>
      <c r="N7" s="16" t="s">
        <v>59</v>
      </c>
    </row>
    <row r="8" spans="1:14" x14ac:dyDescent="0.25">
      <c r="A8" s="13" t="s">
        <v>31</v>
      </c>
      <c r="B8" s="14">
        <f>B5-B6</f>
        <v>0</v>
      </c>
      <c r="C8" s="15"/>
      <c r="D8" s="15"/>
      <c r="E8" s="15"/>
      <c r="F8" s="16" t="s">
        <v>32</v>
      </c>
      <c r="G8" s="16" t="s">
        <v>35</v>
      </c>
      <c r="H8" s="17" t="s">
        <v>36</v>
      </c>
      <c r="I8" s="16" t="s">
        <v>37</v>
      </c>
      <c r="J8" s="16" t="s">
        <v>66</v>
      </c>
      <c r="K8" s="16" t="s">
        <v>39</v>
      </c>
      <c r="L8" s="16" t="s">
        <v>40</v>
      </c>
      <c r="M8" s="16" t="s">
        <v>41</v>
      </c>
      <c r="N8" s="16" t="s">
        <v>33</v>
      </c>
    </row>
    <row r="9" spans="1:14" x14ac:dyDescent="0.25">
      <c r="A9" s="15" t="s">
        <v>43</v>
      </c>
      <c r="B9" s="15" t="s">
        <v>44</v>
      </c>
      <c r="C9" s="15" t="s">
        <v>45</v>
      </c>
      <c r="D9" s="15" t="s">
        <v>46</v>
      </c>
      <c r="E9" s="15" t="s">
        <v>47</v>
      </c>
      <c r="F9" s="16" t="s">
        <v>39</v>
      </c>
      <c r="G9" s="16"/>
      <c r="H9" s="18"/>
      <c r="I9" s="16"/>
      <c r="J9" s="16"/>
      <c r="K9" s="16" t="s">
        <v>48</v>
      </c>
      <c r="L9" s="16"/>
      <c r="M9" s="16"/>
      <c r="N9" s="16"/>
    </row>
    <row r="10" spans="1:14" x14ac:dyDescent="0.25">
      <c r="A10" s="28"/>
      <c r="B10" s="29"/>
      <c r="C10" s="30"/>
      <c r="D10" s="30"/>
      <c r="E10" s="31"/>
      <c r="F10" s="32"/>
      <c r="G10" s="33"/>
      <c r="H10" s="34"/>
      <c r="I10" s="34"/>
      <c r="J10" s="32"/>
      <c r="K10" s="34"/>
      <c r="L10" s="33"/>
      <c r="M10" s="35"/>
      <c r="N10" s="36"/>
    </row>
    <row r="11" spans="1:14" x14ac:dyDescent="0.25">
      <c r="B11" s="22">
        <v>1</v>
      </c>
      <c r="C11" s="22" t="s">
        <v>49</v>
      </c>
      <c r="D11" s="22"/>
      <c r="E11" s="22">
        <v>1</v>
      </c>
      <c r="F11" s="22">
        <v>1.891</v>
      </c>
      <c r="G11" s="23">
        <v>2.3960000000000001E-5</v>
      </c>
      <c r="H11" s="23">
        <v>2.3430000000000003E-7</v>
      </c>
      <c r="I11" s="23">
        <v>1.5720000000000001</v>
      </c>
      <c r="J11" s="23">
        <v>1.5720000000000001</v>
      </c>
      <c r="K11" s="23">
        <v>9.6500000000000006E-3</v>
      </c>
      <c r="L11" s="23">
        <v>1.968</v>
      </c>
      <c r="M11" s="23">
        <v>4.6820000000000002E-7</v>
      </c>
      <c r="N11" s="23">
        <v>3.4999999999999999E-6</v>
      </c>
    </row>
    <row r="12" spans="1:14" x14ac:dyDescent="0.25">
      <c r="B12" s="22">
        <v>6</v>
      </c>
      <c r="C12" s="22" t="s">
        <v>49</v>
      </c>
      <c r="D12" s="22"/>
      <c r="E12" s="22">
        <v>1</v>
      </c>
      <c r="F12" s="22">
        <v>1.9019999999999999</v>
      </c>
      <c r="G12" s="23">
        <v>6.2689999999999998E-5</v>
      </c>
      <c r="H12" s="23">
        <v>5.9080000000000002E-7</v>
      </c>
      <c r="I12" s="23">
        <v>1.53</v>
      </c>
      <c r="J12" s="23">
        <v>1.53</v>
      </c>
      <c r="K12" s="23">
        <v>9.5399999999999999E-3</v>
      </c>
      <c r="L12" s="23">
        <v>1.89</v>
      </c>
      <c r="M12" s="23">
        <v>1.4649999999999999E-6</v>
      </c>
      <c r="N12" s="23">
        <v>1.01E-5</v>
      </c>
    </row>
    <row r="13" spans="1:14" x14ac:dyDescent="0.25">
      <c r="B13" s="22">
        <v>10</v>
      </c>
      <c r="C13" s="22" t="s">
        <v>49</v>
      </c>
      <c r="D13" s="22"/>
      <c r="E13" s="22">
        <v>1</v>
      </c>
      <c r="F13" s="22">
        <v>1.827</v>
      </c>
      <c r="G13" s="23">
        <v>1.0979999999999999E-4</v>
      </c>
      <c r="H13" s="23">
        <v>4.8220000000000002E-7</v>
      </c>
      <c r="I13" s="23">
        <v>1.4670000000000001</v>
      </c>
      <c r="J13" s="23">
        <v>1.4670000000000001</v>
      </c>
      <c r="K13" s="23">
        <v>9.859999999999999E-3</v>
      </c>
      <c r="L13" s="23">
        <v>1.8149999999999999</v>
      </c>
      <c r="M13" s="23">
        <v>2.7679999999999996E-6</v>
      </c>
      <c r="N13" s="23">
        <v>1.8239999999999998E-5</v>
      </c>
    </row>
    <row r="14" spans="1:14" x14ac:dyDescent="0.25">
      <c r="B14" s="22">
        <v>12</v>
      </c>
      <c r="C14" s="22" t="s">
        <v>49</v>
      </c>
      <c r="D14" s="22"/>
      <c r="E14" s="22">
        <v>1</v>
      </c>
      <c r="F14" s="22">
        <v>1.875</v>
      </c>
      <c r="G14" s="23">
        <v>6.3960000000000004E-5</v>
      </c>
      <c r="H14" s="23">
        <v>4.9930000000000003E-7</v>
      </c>
      <c r="I14" s="23">
        <v>1.514</v>
      </c>
      <c r="J14" s="23">
        <v>1.514</v>
      </c>
      <c r="K14" s="23">
        <v>9.5700000000000004E-3</v>
      </c>
      <c r="L14" s="23">
        <v>1.8779999999999999</v>
      </c>
      <c r="M14" s="23">
        <v>1.2039999999999998E-6</v>
      </c>
      <c r="N14" s="23">
        <v>1.0149999999999999E-5</v>
      </c>
    </row>
    <row r="15" spans="1:14" x14ac:dyDescent="0.25">
      <c r="B15" s="22">
        <v>14</v>
      </c>
      <c r="C15" s="22" t="s">
        <v>49</v>
      </c>
      <c r="D15" s="22"/>
      <c r="E15" s="22">
        <v>1</v>
      </c>
      <c r="F15" s="22">
        <v>1.7809999999999999</v>
      </c>
      <c r="G15" s="23">
        <v>6.0899999999999996E-5</v>
      </c>
      <c r="H15" s="23">
        <v>7.1379999999999995E-7</v>
      </c>
      <c r="I15" s="23">
        <v>1.4910000000000001</v>
      </c>
      <c r="J15" s="23">
        <v>1.4910000000000001</v>
      </c>
      <c r="K15" s="23">
        <v>1.0109999999999999E-2</v>
      </c>
      <c r="L15" s="23">
        <v>1.85</v>
      </c>
      <c r="M15" s="23">
        <v>1.3769999999999999E-6</v>
      </c>
      <c r="N15" s="23">
        <v>1.221E-5</v>
      </c>
    </row>
    <row r="16" spans="1:14" x14ac:dyDescent="0.25">
      <c r="B16" s="22">
        <v>19</v>
      </c>
      <c r="C16" s="22" t="s">
        <v>49</v>
      </c>
      <c r="D16" s="22"/>
      <c r="E16" s="22">
        <v>1</v>
      </c>
      <c r="F16" s="22">
        <v>1.821</v>
      </c>
      <c r="G16" s="23">
        <v>4.193E-5</v>
      </c>
      <c r="H16" s="23">
        <v>5.0180000000000001E-7</v>
      </c>
      <c r="I16" s="23">
        <v>1.54</v>
      </c>
      <c r="J16" s="23">
        <v>1.54</v>
      </c>
      <c r="K16" s="23">
        <v>1.0160000000000001E-2</v>
      </c>
      <c r="L16" s="23">
        <v>1.905</v>
      </c>
      <c r="M16" s="23">
        <v>7.864E-7</v>
      </c>
      <c r="N16" s="23">
        <v>8.0649999999999999E-6</v>
      </c>
    </row>
    <row r="17" spans="2:14" x14ac:dyDescent="0.25">
      <c r="B17" s="22">
        <v>23</v>
      </c>
      <c r="C17" s="22" t="s">
        <v>49</v>
      </c>
      <c r="D17" s="22"/>
      <c r="E17" s="22">
        <v>1</v>
      </c>
      <c r="F17" s="22">
        <v>1.758</v>
      </c>
      <c r="G17" s="23">
        <v>1.1739999999999999E-4</v>
      </c>
      <c r="H17" s="23">
        <v>6.68E-7</v>
      </c>
      <c r="I17" s="23">
        <v>1.3939999999999999</v>
      </c>
      <c r="J17" s="23">
        <v>1.3939999999999999</v>
      </c>
      <c r="K17" s="23">
        <v>1.0330000000000001E-2</v>
      </c>
      <c r="L17" s="23">
        <v>1.756</v>
      </c>
      <c r="M17" s="23">
        <v>5.2900000000000002E-6</v>
      </c>
      <c r="N17" s="23">
        <v>2.1889999999999999E-5</v>
      </c>
    </row>
    <row r="18" spans="2:14" x14ac:dyDescent="0.25">
      <c r="B18" s="22">
        <v>25</v>
      </c>
      <c r="C18" s="22" t="s">
        <v>49</v>
      </c>
      <c r="D18" s="22"/>
      <c r="E18" s="22">
        <v>1</v>
      </c>
      <c r="F18" s="22">
        <v>1.83</v>
      </c>
      <c r="G18" s="23">
        <v>3.8859999999999997E-5</v>
      </c>
      <c r="H18" s="23">
        <v>3.594E-7</v>
      </c>
      <c r="I18" s="23">
        <v>1.502</v>
      </c>
      <c r="J18" s="23">
        <v>1.502</v>
      </c>
      <c r="K18" s="23">
        <v>1.0070000000000001E-2</v>
      </c>
      <c r="L18" s="23">
        <v>1.8959999999999999</v>
      </c>
      <c r="M18" s="23">
        <v>6.8090000000000002E-7</v>
      </c>
      <c r="N18" s="23">
        <v>6.4859999999999994E-6</v>
      </c>
    </row>
    <row r="19" spans="2:14" x14ac:dyDescent="0.25">
      <c r="B19" s="22">
        <v>33</v>
      </c>
      <c r="C19" s="22" t="s">
        <v>49</v>
      </c>
      <c r="D19" s="22"/>
      <c r="E19" s="22">
        <v>1</v>
      </c>
      <c r="F19" s="22">
        <v>1.9179999999999999</v>
      </c>
      <c r="G19" s="23">
        <v>5.7590000000000003E-5</v>
      </c>
      <c r="H19" s="23">
        <v>6.9380000000000003E-7</v>
      </c>
      <c r="I19" s="23">
        <v>1.5149999999999999</v>
      </c>
      <c r="J19" s="23">
        <v>1.5149999999999999</v>
      </c>
      <c r="K19" s="23">
        <v>9.7200000000000012E-3</v>
      </c>
      <c r="L19" s="23">
        <v>1.873</v>
      </c>
      <c r="M19" s="23">
        <v>1.8209999999999998E-6</v>
      </c>
      <c r="N19" s="23">
        <v>9.4730000000000006E-6</v>
      </c>
    </row>
    <row r="20" spans="2:14" x14ac:dyDescent="0.25">
      <c r="B20" s="22">
        <v>35</v>
      </c>
      <c r="C20" s="22" t="s">
        <v>49</v>
      </c>
      <c r="D20" s="22"/>
      <c r="E20" s="22">
        <v>1</v>
      </c>
      <c r="F20" s="22">
        <v>1.8340000000000001</v>
      </c>
      <c r="G20" s="23">
        <v>5.6189999999999996E-5</v>
      </c>
      <c r="H20" s="23">
        <v>8.569E-7</v>
      </c>
      <c r="I20" s="23">
        <v>1.534</v>
      </c>
      <c r="J20" s="23">
        <v>1.534</v>
      </c>
      <c r="K20" s="23">
        <v>0.01</v>
      </c>
      <c r="L20" s="23">
        <v>1.8839999999999999</v>
      </c>
      <c r="M20" s="23">
        <v>1.8999999999999998E-6</v>
      </c>
      <c r="N20" s="23">
        <v>9.3530000000000001E-6</v>
      </c>
    </row>
    <row r="21" spans="2:14" x14ac:dyDescent="0.25">
      <c r="B21" s="22">
        <v>36</v>
      </c>
      <c r="C21" s="22" t="s">
        <v>49</v>
      </c>
      <c r="D21" s="22"/>
      <c r="E21" s="22">
        <v>1</v>
      </c>
      <c r="F21" s="22">
        <v>1.8779999999999999</v>
      </c>
      <c r="G21" s="23">
        <v>6.3079999999999999E-5</v>
      </c>
      <c r="H21" s="23">
        <v>6.3910000000000005E-7</v>
      </c>
      <c r="I21" s="23">
        <v>1.502</v>
      </c>
      <c r="J21" s="23">
        <v>1.502</v>
      </c>
      <c r="K21" s="23">
        <v>9.7300000000000008E-3</v>
      </c>
      <c r="L21" s="23">
        <v>1.851</v>
      </c>
      <c r="M21" s="23">
        <v>1.2239999999999998E-6</v>
      </c>
      <c r="N21" s="23">
        <v>1.1970000000000001E-5</v>
      </c>
    </row>
    <row r="22" spans="2:14" x14ac:dyDescent="0.25">
      <c r="B22" s="22">
        <v>37</v>
      </c>
      <c r="C22" s="22" t="s">
        <v>49</v>
      </c>
      <c r="D22" s="22"/>
      <c r="E22" s="22">
        <v>1</v>
      </c>
      <c r="F22" s="22">
        <v>1.8340000000000001</v>
      </c>
      <c r="G22" s="23">
        <v>5.9999999999999995E-5</v>
      </c>
      <c r="H22" s="23">
        <v>5.2410000000000009E-7</v>
      </c>
      <c r="I22" s="23">
        <v>1.5249999999999999</v>
      </c>
      <c r="J22" s="23">
        <v>1.5249999999999999</v>
      </c>
      <c r="K22" s="23">
        <v>9.92E-3</v>
      </c>
      <c r="L22" s="23">
        <v>1.8979999999999999</v>
      </c>
      <c r="M22" s="23">
        <v>1.203E-6</v>
      </c>
      <c r="N22" s="23">
        <v>9.9289999999999993E-6</v>
      </c>
    </row>
    <row r="23" spans="2:14" x14ac:dyDescent="0.25">
      <c r="B23" s="22">
        <v>38</v>
      </c>
      <c r="C23" s="22" t="s">
        <v>49</v>
      </c>
      <c r="D23" s="22"/>
      <c r="E23" s="22">
        <v>1</v>
      </c>
      <c r="F23" s="22">
        <v>1.829</v>
      </c>
      <c r="G23" s="23">
        <v>5.5429999999999996E-5</v>
      </c>
      <c r="H23" s="23">
        <v>7.5779999999999997E-7</v>
      </c>
      <c r="I23" s="23">
        <v>1.5229999999999999</v>
      </c>
      <c r="J23" s="23">
        <v>1.5229999999999999</v>
      </c>
      <c r="K23" s="23">
        <v>9.7900000000000001E-3</v>
      </c>
      <c r="L23" s="23">
        <v>1.8759999999999999</v>
      </c>
      <c r="M23" s="23">
        <v>1.4919999999999999E-6</v>
      </c>
      <c r="N23" s="23">
        <v>9.856999999999999E-6</v>
      </c>
    </row>
    <row r="24" spans="2:14" x14ac:dyDescent="0.25">
      <c r="B24" s="22">
        <v>40</v>
      </c>
      <c r="C24" s="22" t="s">
        <v>49</v>
      </c>
      <c r="D24" s="22"/>
      <c r="E24" s="22">
        <v>1</v>
      </c>
      <c r="F24" s="22">
        <v>1.829</v>
      </c>
      <c r="G24" s="23">
        <v>4.9229999999999995E-5</v>
      </c>
      <c r="H24" s="23">
        <v>4.6690000000000003E-7</v>
      </c>
      <c r="I24" s="23">
        <v>1.51</v>
      </c>
      <c r="J24" s="23">
        <v>1.51</v>
      </c>
      <c r="K24" s="23">
        <v>9.7000000000000003E-3</v>
      </c>
      <c r="L24" s="23">
        <v>1.9</v>
      </c>
      <c r="M24" s="23">
        <v>9.0060000000000011E-7</v>
      </c>
      <c r="N24" s="23">
        <v>8.0289999999999989E-6</v>
      </c>
    </row>
    <row r="25" spans="2:14" x14ac:dyDescent="0.25">
      <c r="B25" s="22">
        <v>41</v>
      </c>
      <c r="C25" s="22" t="s">
        <v>49</v>
      </c>
      <c r="D25" s="22"/>
      <c r="E25" s="22">
        <v>1</v>
      </c>
      <c r="F25" s="22">
        <v>1.929</v>
      </c>
      <c r="G25" s="23">
        <v>6.1359999999999995E-5</v>
      </c>
      <c r="H25" s="23">
        <v>6.0780000000000003E-7</v>
      </c>
      <c r="I25" s="23">
        <v>1.524</v>
      </c>
      <c r="J25" s="23">
        <v>1.524</v>
      </c>
      <c r="K25" s="23">
        <v>9.4900000000000002E-3</v>
      </c>
      <c r="L25" s="23">
        <v>1.8839999999999999</v>
      </c>
      <c r="M25" s="23">
        <v>1.4810000000000001E-6</v>
      </c>
      <c r="N25" s="23">
        <v>9.8679999999999994E-6</v>
      </c>
    </row>
    <row r="26" spans="2:14" x14ac:dyDescent="0.25">
      <c r="B26" s="22">
        <v>42</v>
      </c>
      <c r="C26" s="22" t="s">
        <v>49</v>
      </c>
      <c r="D26" s="22"/>
      <c r="E26" s="22">
        <v>1</v>
      </c>
      <c r="F26" s="22">
        <v>1.9370000000000001</v>
      </c>
      <c r="G26" s="23">
        <v>8.5650000000000008E-5</v>
      </c>
      <c r="H26" s="23">
        <v>6.5939999999999999E-7</v>
      </c>
      <c r="I26" s="23">
        <v>1.46</v>
      </c>
      <c r="J26" s="23">
        <v>1.46</v>
      </c>
      <c r="K26" s="23">
        <v>9.2100000000000012E-3</v>
      </c>
      <c r="L26" s="23">
        <v>1.8129999999999999</v>
      </c>
      <c r="M26" s="23">
        <v>2.1680000000000002E-6</v>
      </c>
      <c r="N26" s="23">
        <v>1.5500000000000001E-5</v>
      </c>
    </row>
    <row r="27" spans="2:14" x14ac:dyDescent="0.25">
      <c r="B27" s="22">
        <v>44</v>
      </c>
      <c r="C27" s="22" t="s">
        <v>49</v>
      </c>
      <c r="D27" s="22"/>
      <c r="E27" s="22">
        <v>1</v>
      </c>
      <c r="F27" s="22">
        <v>1.8660000000000001</v>
      </c>
      <c r="G27" s="23">
        <v>5.8640000000000001E-5</v>
      </c>
      <c r="H27" s="23">
        <v>8.9189999999999999E-7</v>
      </c>
      <c r="I27" s="23">
        <v>1.5309999999999999</v>
      </c>
      <c r="J27" s="23">
        <v>1.5309999999999999</v>
      </c>
      <c r="K27" s="23">
        <v>9.6300000000000014E-3</v>
      </c>
      <c r="L27" s="23">
        <v>1.887</v>
      </c>
      <c r="M27" s="23">
        <v>2.057E-6</v>
      </c>
      <c r="N27" s="23">
        <v>1.007E-5</v>
      </c>
    </row>
    <row r="28" spans="2:14" x14ac:dyDescent="0.25">
      <c r="B28" s="22">
        <v>46</v>
      </c>
      <c r="C28" s="22" t="s">
        <v>49</v>
      </c>
      <c r="D28" s="22"/>
      <c r="E28" s="22">
        <v>1</v>
      </c>
      <c r="F28" s="22">
        <v>1.79</v>
      </c>
      <c r="G28" s="23">
        <v>1.403E-4</v>
      </c>
      <c r="H28" s="23">
        <v>7.2970000000000008E-7</v>
      </c>
      <c r="I28" s="23">
        <v>1.429</v>
      </c>
      <c r="J28" s="23">
        <v>1.429</v>
      </c>
      <c r="K28" s="23">
        <v>9.9299999999999996E-3</v>
      </c>
      <c r="L28" s="23">
        <v>1.8120000000000001</v>
      </c>
      <c r="M28" s="23">
        <v>5.8799999999999996E-6</v>
      </c>
      <c r="N28" s="23">
        <v>2.3699999999999997E-5</v>
      </c>
    </row>
    <row r="29" spans="2:14" x14ac:dyDescent="0.25">
      <c r="B29" s="22">
        <v>47</v>
      </c>
      <c r="C29" s="22" t="s">
        <v>49</v>
      </c>
      <c r="D29" s="22"/>
      <c r="E29" s="22">
        <v>1</v>
      </c>
      <c r="F29" s="22">
        <v>1.79</v>
      </c>
      <c r="G29" s="23">
        <v>1.0959999999999999E-4</v>
      </c>
      <c r="H29" s="23">
        <v>7.2940000000000006E-7</v>
      </c>
      <c r="I29" s="23">
        <v>1.45</v>
      </c>
      <c r="J29" s="23">
        <v>1.45</v>
      </c>
      <c r="K29" s="23">
        <v>1.0130000000000002E-2</v>
      </c>
      <c r="L29" s="23">
        <v>1.829</v>
      </c>
      <c r="M29" s="23">
        <v>4.7709999999999997E-6</v>
      </c>
      <c r="N29" s="23">
        <v>2.0100000000000001E-5</v>
      </c>
    </row>
    <row r="30" spans="2:14" x14ac:dyDescent="0.25">
      <c r="B30" s="22">
        <v>48</v>
      </c>
      <c r="C30" s="22" t="s">
        <v>49</v>
      </c>
      <c r="D30" s="22"/>
      <c r="E30" s="22">
        <v>1</v>
      </c>
      <c r="F30" s="22">
        <v>1.7989999999999999</v>
      </c>
      <c r="G30" s="23">
        <v>1.0659999999999999E-4</v>
      </c>
      <c r="H30" s="23">
        <v>7.722000000000001E-7</v>
      </c>
      <c r="I30" s="23">
        <v>1.456</v>
      </c>
      <c r="J30" s="23">
        <v>1.456</v>
      </c>
      <c r="K30" s="23">
        <v>1.0050000000000002E-2</v>
      </c>
      <c r="L30" s="23">
        <v>1.8160000000000001</v>
      </c>
      <c r="M30" s="23">
        <v>2.7429999999999998E-6</v>
      </c>
      <c r="N30" s="23">
        <v>2.0230000000000001E-5</v>
      </c>
    </row>
    <row r="31" spans="2:14" x14ac:dyDescent="0.25">
      <c r="B31" s="22">
        <v>50</v>
      </c>
      <c r="C31" s="22" t="s">
        <v>49</v>
      </c>
      <c r="D31" s="22"/>
      <c r="E31" s="22">
        <v>1</v>
      </c>
      <c r="F31" s="22">
        <v>1.831</v>
      </c>
      <c r="G31" s="23">
        <v>7.428E-5</v>
      </c>
      <c r="H31" s="23">
        <v>6.2020000000000011E-7</v>
      </c>
      <c r="I31" s="23">
        <v>1.464</v>
      </c>
      <c r="J31" s="23">
        <v>1.464</v>
      </c>
      <c r="K31" s="23">
        <v>1.0029999999999999E-2</v>
      </c>
      <c r="L31" s="23">
        <v>1.8029999999999999</v>
      </c>
      <c r="M31" s="23">
        <v>1.3309999999999998E-6</v>
      </c>
      <c r="N31" s="23">
        <v>1.3569999999999999E-5</v>
      </c>
    </row>
    <row r="32" spans="2:14" x14ac:dyDescent="0.25">
      <c r="B32" s="22">
        <v>54</v>
      </c>
      <c r="C32" s="22" t="s">
        <v>49</v>
      </c>
      <c r="D32" s="22"/>
      <c r="E32" s="22">
        <v>1</v>
      </c>
      <c r="F32" s="22">
        <v>1.8779999999999999</v>
      </c>
      <c r="G32" s="23">
        <v>5.4549999999999998E-5</v>
      </c>
      <c r="H32" s="23">
        <v>6.1070000000000004E-7</v>
      </c>
      <c r="I32" s="23">
        <v>1.512</v>
      </c>
      <c r="J32" s="23">
        <v>1.512</v>
      </c>
      <c r="K32" s="23">
        <v>9.640000000000001E-3</v>
      </c>
      <c r="L32" s="23">
        <v>1.867</v>
      </c>
      <c r="M32" s="23">
        <v>1.1180000000000001E-6</v>
      </c>
      <c r="N32" s="23">
        <v>1.066E-5</v>
      </c>
    </row>
    <row r="33" spans="2:14" x14ac:dyDescent="0.25">
      <c r="B33" s="22">
        <v>59</v>
      </c>
      <c r="C33" s="22" t="s">
        <v>49</v>
      </c>
      <c r="D33" s="22"/>
      <c r="E33" s="22">
        <v>1</v>
      </c>
      <c r="F33" s="22">
        <v>1.859</v>
      </c>
      <c r="G33" s="23">
        <v>5.2809999999999998E-5</v>
      </c>
      <c r="H33" s="23">
        <v>7.0940000000000004E-7</v>
      </c>
      <c r="I33" s="23">
        <v>1.5189999999999999</v>
      </c>
      <c r="J33" s="23">
        <v>1.5189999999999999</v>
      </c>
      <c r="K33" s="23">
        <v>9.7699999999999992E-3</v>
      </c>
      <c r="L33" s="23">
        <v>1.869</v>
      </c>
      <c r="M33" s="23">
        <v>1.3309999999999998E-6</v>
      </c>
      <c r="N33" s="23">
        <v>1.048E-5</v>
      </c>
    </row>
    <row r="34" spans="2:14" x14ac:dyDescent="0.25">
      <c r="B34" s="22">
        <v>71</v>
      </c>
      <c r="C34" s="22" t="s">
        <v>49</v>
      </c>
      <c r="D34" s="22"/>
      <c r="E34" s="22">
        <v>1</v>
      </c>
      <c r="F34" s="22">
        <v>1.873</v>
      </c>
      <c r="G34" s="23">
        <v>3.4879999999999998E-5</v>
      </c>
      <c r="H34" s="23">
        <v>5.7629999999999999E-7</v>
      </c>
      <c r="I34" s="23">
        <v>1.552</v>
      </c>
      <c r="J34" s="23">
        <v>1.552</v>
      </c>
      <c r="K34" s="23">
        <v>9.58E-3</v>
      </c>
      <c r="L34" s="23">
        <v>1.9330000000000001</v>
      </c>
      <c r="M34" s="23">
        <v>1.1149999999999999E-6</v>
      </c>
      <c r="N34" s="23">
        <v>6.5629999999999997E-6</v>
      </c>
    </row>
    <row r="35" spans="2:14" x14ac:dyDescent="0.25">
      <c r="B35" s="22">
        <v>72</v>
      </c>
      <c r="C35" s="22" t="s">
        <v>49</v>
      </c>
      <c r="D35" s="22"/>
      <c r="E35" s="22">
        <v>1</v>
      </c>
      <c r="F35" s="22">
        <v>1.782</v>
      </c>
      <c r="G35" s="23">
        <v>4.7829999999999994E-5</v>
      </c>
      <c r="H35" s="23">
        <v>4.01E-7</v>
      </c>
      <c r="I35" s="23">
        <v>1.44</v>
      </c>
      <c r="J35" s="23">
        <v>1.44</v>
      </c>
      <c r="K35" s="23">
        <v>1.0199999999999999E-2</v>
      </c>
      <c r="L35" s="23">
        <v>1.8280000000000001</v>
      </c>
      <c r="M35" s="23">
        <v>7.5229999999999998E-7</v>
      </c>
      <c r="N35" s="23">
        <v>8.157E-6</v>
      </c>
    </row>
    <row r="36" spans="2:14" x14ac:dyDescent="0.25">
      <c r="B36" s="22">
        <v>75</v>
      </c>
      <c r="C36" s="22" t="s">
        <v>49</v>
      </c>
      <c r="D36" s="22"/>
      <c r="E36" s="22">
        <v>1</v>
      </c>
      <c r="F36" s="22">
        <v>1.7909999999999999</v>
      </c>
      <c r="G36" s="23">
        <v>8.3289999999999997E-5</v>
      </c>
      <c r="H36" s="23">
        <v>6.0129999999999996E-7</v>
      </c>
      <c r="I36" s="23">
        <v>1.4470000000000001</v>
      </c>
      <c r="J36" s="23">
        <v>1.4470000000000001</v>
      </c>
      <c r="K36" s="23">
        <v>1.0240000000000001E-2</v>
      </c>
      <c r="L36" s="23">
        <v>1.8080000000000001</v>
      </c>
      <c r="M36" s="23">
        <v>1.5029999999999998E-6</v>
      </c>
      <c r="N36" s="23">
        <v>1.242E-5</v>
      </c>
    </row>
    <row r="37" spans="2:14" x14ac:dyDescent="0.25">
      <c r="B37" s="22">
        <v>76</v>
      </c>
      <c r="C37" s="22" t="s">
        <v>49</v>
      </c>
      <c r="D37" s="22"/>
      <c r="E37" s="22">
        <v>1</v>
      </c>
      <c r="F37" s="22">
        <v>1.9219999999999999</v>
      </c>
      <c r="G37" s="23">
        <v>9.064E-5</v>
      </c>
      <c r="H37" s="23">
        <v>7.3730000000000002E-7</v>
      </c>
      <c r="I37" s="23">
        <v>1.4370000000000001</v>
      </c>
      <c r="J37" s="23">
        <v>1.4370000000000001</v>
      </c>
      <c r="K37" s="23">
        <v>9.4199999999999996E-3</v>
      </c>
      <c r="L37" s="23">
        <v>1.802</v>
      </c>
      <c r="M37" s="23">
        <v>3.1369999999999998E-6</v>
      </c>
      <c r="N37" s="23">
        <v>1.6030000000000001E-5</v>
      </c>
    </row>
    <row r="38" spans="2:14" x14ac:dyDescent="0.25">
      <c r="B38" s="22">
        <v>83</v>
      </c>
      <c r="C38" s="22" t="s">
        <v>49</v>
      </c>
      <c r="D38" s="22"/>
      <c r="E38" s="22">
        <v>1</v>
      </c>
      <c r="F38" s="22">
        <v>1.82</v>
      </c>
      <c r="G38" s="23">
        <v>8.8239999999999995E-5</v>
      </c>
      <c r="H38" s="23">
        <v>1.159E-6</v>
      </c>
      <c r="I38" s="23">
        <v>1.5580000000000001</v>
      </c>
      <c r="J38" s="23">
        <v>1.5580000000000001</v>
      </c>
      <c r="K38" s="23">
        <v>9.9600000000000018E-3</v>
      </c>
      <c r="L38" s="23">
        <v>1.9279999999999999</v>
      </c>
      <c r="M38" s="23">
        <v>1.829E-6</v>
      </c>
      <c r="N38" s="23">
        <v>9.893E-6</v>
      </c>
    </row>
    <row r="39" spans="2:14" x14ac:dyDescent="0.25">
      <c r="B39" s="22">
        <v>87</v>
      </c>
      <c r="C39" s="22" t="s">
        <v>49</v>
      </c>
      <c r="D39" s="22"/>
      <c r="E39" s="22">
        <v>1</v>
      </c>
      <c r="F39" s="22">
        <v>1.7789999999999999</v>
      </c>
      <c r="G39" s="23">
        <v>1.094E-4</v>
      </c>
      <c r="H39" s="23">
        <v>8.273E-7</v>
      </c>
      <c r="I39" s="23">
        <v>1.425</v>
      </c>
      <c r="J39" s="23">
        <v>1.425</v>
      </c>
      <c r="K39" s="23">
        <v>1.0070000000000001E-2</v>
      </c>
      <c r="L39" s="23">
        <v>1.7889999999999999</v>
      </c>
      <c r="M39" s="23">
        <v>3.4300000000000002E-6</v>
      </c>
      <c r="N39" s="23">
        <v>1.9469999999999998E-5</v>
      </c>
    </row>
    <row r="40" spans="2:14" x14ac:dyDescent="0.25">
      <c r="B40" s="22">
        <v>88</v>
      </c>
      <c r="C40" s="22" t="s">
        <v>49</v>
      </c>
      <c r="D40" s="22"/>
      <c r="E40" s="22">
        <v>1</v>
      </c>
      <c r="F40" s="22">
        <v>1.87</v>
      </c>
      <c r="G40" s="23">
        <v>1.137E-4</v>
      </c>
      <c r="H40" s="23">
        <v>7.1320000000000011E-7</v>
      </c>
      <c r="I40" s="23">
        <v>1.4390000000000001</v>
      </c>
      <c r="J40" s="23">
        <v>1.4390000000000001</v>
      </c>
      <c r="K40" s="23">
        <v>9.6500000000000006E-3</v>
      </c>
      <c r="L40" s="23">
        <v>1.806</v>
      </c>
      <c r="M40" s="23">
        <v>4.605E-6</v>
      </c>
      <c r="N40" s="23">
        <v>1.9429999999999999E-5</v>
      </c>
    </row>
    <row r="41" spans="2:14" x14ac:dyDescent="0.25">
      <c r="B41" s="22">
        <v>90</v>
      </c>
      <c r="C41" s="22" t="s">
        <v>49</v>
      </c>
      <c r="D41" s="22"/>
      <c r="E41" s="22">
        <v>1</v>
      </c>
      <c r="F41" s="22">
        <v>1.8540000000000001</v>
      </c>
      <c r="G41" s="23">
        <v>9.7209999999999986E-5</v>
      </c>
      <c r="H41" s="23">
        <v>6.9070000000000012E-7</v>
      </c>
      <c r="I41" s="23">
        <v>1.3680000000000001</v>
      </c>
      <c r="J41" s="23">
        <v>1.3680000000000001</v>
      </c>
      <c r="K41" s="23">
        <v>9.7100000000000016E-3</v>
      </c>
      <c r="L41" s="23">
        <v>1.718</v>
      </c>
      <c r="M41" s="23">
        <v>3.5319999999999998E-6</v>
      </c>
      <c r="N41" s="23">
        <v>1.8069999999999998E-5</v>
      </c>
    </row>
    <row r="42" spans="2:14" x14ac:dyDescent="0.25">
      <c r="B42" s="22">
        <v>91</v>
      </c>
      <c r="C42" s="22" t="s">
        <v>49</v>
      </c>
      <c r="D42" s="22"/>
      <c r="E42" s="22">
        <v>1</v>
      </c>
      <c r="F42" s="22">
        <v>1.802</v>
      </c>
      <c r="G42" s="23">
        <v>5.1259999999999994E-5</v>
      </c>
      <c r="H42" s="23">
        <v>5.1590000000000001E-7</v>
      </c>
      <c r="I42" s="23">
        <v>1.486</v>
      </c>
      <c r="J42" s="23">
        <v>1.486</v>
      </c>
      <c r="K42" s="23">
        <v>1.01E-2</v>
      </c>
      <c r="L42" s="23">
        <v>1.8440000000000001</v>
      </c>
      <c r="M42" s="23">
        <v>8.8489999999999999E-7</v>
      </c>
      <c r="N42" s="23">
        <v>9.6719999999999999E-6</v>
      </c>
    </row>
    <row r="43" spans="2:14" x14ac:dyDescent="0.25">
      <c r="B43" s="22">
        <v>92</v>
      </c>
      <c r="C43" s="22" t="s">
        <v>49</v>
      </c>
      <c r="D43" s="22"/>
      <c r="E43" s="22">
        <v>1</v>
      </c>
      <c r="F43" s="22">
        <v>1.7889999999999999</v>
      </c>
      <c r="G43" s="23">
        <v>4.7069999999999995E-5</v>
      </c>
      <c r="H43" s="23">
        <v>5.2790000000000006E-7</v>
      </c>
      <c r="I43" s="23">
        <v>1.5189999999999999</v>
      </c>
      <c r="J43" s="23">
        <v>1.5189999999999999</v>
      </c>
      <c r="K43" s="23">
        <v>1.0310000000000001E-2</v>
      </c>
      <c r="L43" s="23">
        <v>1.889</v>
      </c>
      <c r="M43" s="23">
        <v>8.3090000000000006E-7</v>
      </c>
      <c r="N43" s="23">
        <v>8.830999999999999E-6</v>
      </c>
    </row>
    <row r="44" spans="2:14" x14ac:dyDescent="0.25">
      <c r="B44" s="22">
        <v>93</v>
      </c>
      <c r="C44" s="22" t="s">
        <v>49</v>
      </c>
      <c r="D44" s="22"/>
      <c r="E44" s="22">
        <v>1</v>
      </c>
      <c r="F44" s="22">
        <v>1.8220000000000001</v>
      </c>
      <c r="G44" s="23">
        <v>1.0349999999999999E-4</v>
      </c>
      <c r="H44" s="23">
        <v>7.2170000000000012E-7</v>
      </c>
      <c r="I44" s="23">
        <v>1.3720000000000001</v>
      </c>
      <c r="J44" s="23">
        <v>1.3720000000000001</v>
      </c>
      <c r="K44" s="23">
        <v>9.7699999999999992E-3</v>
      </c>
      <c r="L44" s="23">
        <v>1.718</v>
      </c>
      <c r="M44" s="23">
        <v>4.6029999999999998E-6</v>
      </c>
      <c r="N44" s="23">
        <v>1.9469999999999998E-5</v>
      </c>
    </row>
    <row r="45" spans="2:14" x14ac:dyDescent="0.25">
      <c r="B45" s="22">
        <v>95</v>
      </c>
      <c r="C45" s="22" t="s">
        <v>49</v>
      </c>
      <c r="D45" s="22"/>
      <c r="E45" s="22">
        <v>1</v>
      </c>
      <c r="F45" s="22">
        <v>1.7789999999999999</v>
      </c>
      <c r="G45" s="23">
        <v>5.2779999999999999E-5</v>
      </c>
      <c r="H45" s="23">
        <v>9.188E-7</v>
      </c>
      <c r="I45" s="23">
        <v>1.5309999999999999</v>
      </c>
      <c r="J45" s="23">
        <v>1.5309999999999999</v>
      </c>
      <c r="K45" s="23">
        <v>9.859999999999999E-3</v>
      </c>
      <c r="L45" s="23">
        <v>1.8839999999999999</v>
      </c>
      <c r="M45" s="23">
        <v>2.091E-6</v>
      </c>
      <c r="N45" s="23">
        <v>9.3079999999999997E-6</v>
      </c>
    </row>
    <row r="46" spans="2:14" x14ac:dyDescent="0.25">
      <c r="B46" s="22">
        <v>97</v>
      </c>
      <c r="C46" s="22" t="s">
        <v>49</v>
      </c>
      <c r="D46" s="22"/>
      <c r="E46" s="22">
        <v>1</v>
      </c>
      <c r="F46" s="22">
        <v>1.829</v>
      </c>
      <c r="G46" s="23">
        <v>6.3650000000000002E-5</v>
      </c>
      <c r="H46" s="23">
        <v>7.3979999999999999E-7</v>
      </c>
      <c r="I46" s="23">
        <v>1.5029999999999999</v>
      </c>
      <c r="J46" s="23">
        <v>1.5029999999999999</v>
      </c>
      <c r="K46" s="23">
        <v>9.7799999999999988E-3</v>
      </c>
      <c r="L46" s="23">
        <v>1.859</v>
      </c>
      <c r="M46" s="23">
        <v>1.5799999999999999E-6</v>
      </c>
      <c r="N46" s="23">
        <v>1.1599999999999999E-5</v>
      </c>
    </row>
    <row r="47" spans="2:14" x14ac:dyDescent="0.25">
      <c r="B47" s="22">
        <v>98</v>
      </c>
      <c r="C47" s="22" t="s">
        <v>49</v>
      </c>
      <c r="D47" s="22"/>
      <c r="E47" s="22">
        <v>1</v>
      </c>
      <c r="F47" s="22">
        <v>1.827</v>
      </c>
      <c r="G47" s="23">
        <v>1.027E-4</v>
      </c>
      <c r="H47" s="23">
        <v>7.1640000000000004E-7</v>
      </c>
      <c r="I47" s="23">
        <v>1.3560000000000001</v>
      </c>
      <c r="J47" s="23">
        <v>1.3560000000000001</v>
      </c>
      <c r="K47" s="23">
        <v>9.8900000000000012E-3</v>
      </c>
      <c r="L47" s="23">
        <v>1.7050000000000001</v>
      </c>
      <c r="M47" s="23">
        <v>4.1239999999999998E-6</v>
      </c>
      <c r="N47" s="23">
        <v>1.8989999999999996E-5</v>
      </c>
    </row>
    <row r="48" spans="2:14" x14ac:dyDescent="0.25">
      <c r="B48" s="22">
        <v>106</v>
      </c>
      <c r="C48" s="22" t="s">
        <v>49</v>
      </c>
      <c r="D48" s="22"/>
      <c r="E48" s="22">
        <v>1</v>
      </c>
      <c r="F48" s="22">
        <v>1.865</v>
      </c>
      <c r="G48" s="23">
        <v>3.7709999999999996E-5</v>
      </c>
      <c r="H48" s="23">
        <v>6.4479999999999995E-7</v>
      </c>
      <c r="I48" s="23">
        <v>1.5309999999999999</v>
      </c>
      <c r="J48" s="23">
        <v>1.5309999999999999</v>
      </c>
      <c r="K48" s="23">
        <v>9.689999999999999E-3</v>
      </c>
      <c r="L48" s="23">
        <v>1.909</v>
      </c>
      <c r="M48" s="23">
        <v>1.1850000000000001E-6</v>
      </c>
      <c r="N48" s="23">
        <v>6.7809999999999991E-6</v>
      </c>
    </row>
    <row r="49" spans="2:14" x14ac:dyDescent="0.25">
      <c r="B49" s="22">
        <v>107</v>
      </c>
      <c r="C49" s="22" t="s">
        <v>49</v>
      </c>
      <c r="D49" s="22"/>
      <c r="E49" s="22">
        <v>1</v>
      </c>
      <c r="F49" s="22">
        <v>1.7789999999999999</v>
      </c>
      <c r="G49" s="23">
        <v>4.6109999999999997E-5</v>
      </c>
      <c r="H49" s="23">
        <v>4.5250000000000001E-7</v>
      </c>
      <c r="I49" s="23">
        <v>1.4330000000000001</v>
      </c>
      <c r="J49" s="23">
        <v>1.4330000000000001</v>
      </c>
      <c r="K49" s="23">
        <v>1.0150000000000001E-2</v>
      </c>
      <c r="L49" s="23">
        <v>1.8160000000000001</v>
      </c>
      <c r="M49" s="23">
        <v>1.0129999999999999E-6</v>
      </c>
      <c r="N49" s="23">
        <v>8.2979999999999992E-6</v>
      </c>
    </row>
    <row r="50" spans="2:14" x14ac:dyDescent="0.25">
      <c r="B50" s="22">
        <v>109</v>
      </c>
      <c r="C50" s="22" t="s">
        <v>49</v>
      </c>
      <c r="D50" s="22"/>
      <c r="E50" s="22">
        <v>1</v>
      </c>
      <c r="F50" s="22">
        <v>1.855</v>
      </c>
      <c r="G50" s="23">
        <v>3.8009999999999997E-5</v>
      </c>
      <c r="H50" s="23">
        <v>7.2460000000000002E-7</v>
      </c>
      <c r="I50" s="23">
        <v>1.5349999999999999</v>
      </c>
      <c r="J50" s="23">
        <v>1.5349999999999999</v>
      </c>
      <c r="K50" s="23">
        <v>9.6300000000000014E-3</v>
      </c>
      <c r="L50" s="23">
        <v>1.903</v>
      </c>
      <c r="M50" s="23">
        <v>1.393E-6</v>
      </c>
      <c r="N50" s="23">
        <v>6.8899999999999993E-6</v>
      </c>
    </row>
    <row r="51" spans="2:14" x14ac:dyDescent="0.25">
      <c r="B51" s="22">
        <v>113</v>
      </c>
      <c r="C51" s="22" t="s">
        <v>49</v>
      </c>
      <c r="D51" s="22"/>
      <c r="E51" s="22">
        <v>1</v>
      </c>
      <c r="F51" s="22">
        <v>1.829</v>
      </c>
      <c r="G51" s="23">
        <v>8.7819999999999982E-5</v>
      </c>
      <c r="H51" s="23">
        <v>7.4310000000000003E-7</v>
      </c>
      <c r="I51" s="23">
        <v>1.419</v>
      </c>
      <c r="J51" s="23">
        <v>1.419</v>
      </c>
      <c r="K51" s="23">
        <v>9.9900000000000006E-3</v>
      </c>
      <c r="L51" s="23">
        <v>1.7949999999999999</v>
      </c>
      <c r="M51" s="23">
        <v>2.8769999999999997E-6</v>
      </c>
      <c r="N51" s="23">
        <v>1.5469999999999999E-5</v>
      </c>
    </row>
    <row r="52" spans="2:14" x14ac:dyDescent="0.25">
      <c r="B52" s="22">
        <v>115</v>
      </c>
      <c r="C52" s="22" t="s">
        <v>49</v>
      </c>
      <c r="D52" s="22"/>
      <c r="E52" s="22">
        <v>1</v>
      </c>
      <c r="F52" s="22">
        <v>1.7210000000000001</v>
      </c>
      <c r="G52" s="23">
        <v>5.2269999999999999E-5</v>
      </c>
      <c r="H52" s="23">
        <v>8.2240000000000006E-7</v>
      </c>
      <c r="I52" s="23">
        <v>1.5129999999999999</v>
      </c>
      <c r="J52" s="23">
        <v>1.5129999999999999</v>
      </c>
      <c r="K52" s="23">
        <v>1.0480000000000001E-2</v>
      </c>
      <c r="L52" s="23">
        <v>1.86</v>
      </c>
      <c r="M52" s="23">
        <v>1.5489999999999999E-6</v>
      </c>
      <c r="N52" s="23">
        <v>1.011E-5</v>
      </c>
    </row>
    <row r="53" spans="2:14" x14ac:dyDescent="0.25">
      <c r="B53" s="22">
        <v>120</v>
      </c>
      <c r="C53" s="22" t="s">
        <v>49</v>
      </c>
      <c r="D53" s="22"/>
      <c r="E53" s="22">
        <v>1</v>
      </c>
      <c r="F53" s="22">
        <v>1.784</v>
      </c>
      <c r="G53" s="23">
        <v>5.5269999999999998E-5</v>
      </c>
      <c r="H53" s="23">
        <v>4.8329999999999999E-7</v>
      </c>
      <c r="I53" s="23">
        <v>1.4550000000000001</v>
      </c>
      <c r="J53" s="23">
        <v>1.4550000000000001</v>
      </c>
      <c r="K53" s="23">
        <v>1.017E-2</v>
      </c>
      <c r="L53" s="23">
        <v>1.8129999999999999</v>
      </c>
      <c r="M53" s="23">
        <v>8.6789999999999998E-7</v>
      </c>
      <c r="N53" s="23">
        <v>9.8800000000000003E-6</v>
      </c>
    </row>
    <row r="54" spans="2:14" x14ac:dyDescent="0.25">
      <c r="B54" s="22">
        <v>122</v>
      </c>
      <c r="C54" s="22" t="s">
        <v>49</v>
      </c>
      <c r="D54" s="22"/>
      <c r="E54" s="22">
        <v>1</v>
      </c>
      <c r="F54" s="22">
        <v>1.865</v>
      </c>
      <c r="G54" s="23">
        <v>1.3669999999999999E-4</v>
      </c>
      <c r="H54" s="23">
        <v>6.2520000000000007E-7</v>
      </c>
      <c r="I54" s="23">
        <v>1.407</v>
      </c>
      <c r="J54" s="23">
        <v>1.407</v>
      </c>
      <c r="K54" s="23">
        <v>9.5899999999999996E-3</v>
      </c>
      <c r="L54" s="23">
        <v>1.788</v>
      </c>
      <c r="M54" s="23">
        <v>4.9459999999999997E-6</v>
      </c>
      <c r="N54" s="23">
        <v>2.243E-5</v>
      </c>
    </row>
    <row r="55" spans="2:14" x14ac:dyDescent="0.25">
      <c r="B55" s="22">
        <v>124</v>
      </c>
      <c r="C55" s="22" t="s">
        <v>49</v>
      </c>
      <c r="D55" s="22"/>
      <c r="E55" s="22">
        <v>1</v>
      </c>
      <c r="F55" s="22">
        <v>1.8109999999999999</v>
      </c>
      <c r="G55" s="23">
        <v>4.0759999999999996E-5</v>
      </c>
      <c r="H55" s="23">
        <v>4.2100000000000002E-7</v>
      </c>
      <c r="I55" s="23">
        <v>1.5009999999999999</v>
      </c>
      <c r="J55" s="23">
        <v>1.5009999999999999</v>
      </c>
      <c r="K55" s="23">
        <v>1.018E-2</v>
      </c>
      <c r="L55" s="23">
        <v>1.8979999999999999</v>
      </c>
      <c r="M55" s="23">
        <v>7.7610000000000007E-7</v>
      </c>
      <c r="N55" s="23">
        <v>6.9669999999999995E-6</v>
      </c>
    </row>
    <row r="56" spans="2:14" x14ac:dyDescent="0.25">
      <c r="B56" s="22">
        <v>126</v>
      </c>
      <c r="C56" s="22" t="s">
        <v>49</v>
      </c>
      <c r="D56" s="22"/>
      <c r="E56" s="22">
        <v>1</v>
      </c>
      <c r="F56" s="22">
        <v>1.8149999999999999</v>
      </c>
      <c r="G56" s="23">
        <v>1.1049999999999999E-4</v>
      </c>
      <c r="H56" s="23">
        <v>7.4040000000000004E-7</v>
      </c>
      <c r="I56" s="23">
        <v>1.343</v>
      </c>
      <c r="J56" s="23">
        <v>1.343</v>
      </c>
      <c r="K56" s="23">
        <v>9.980000000000001E-3</v>
      </c>
      <c r="L56" s="23">
        <v>1.696</v>
      </c>
      <c r="M56" s="23">
        <v>5.0549999999999999E-6</v>
      </c>
      <c r="N56" s="23">
        <v>2.0329999999999997E-5</v>
      </c>
    </row>
    <row r="57" spans="2:14" x14ac:dyDescent="0.25">
      <c r="B57" s="22">
        <v>131</v>
      </c>
      <c r="C57" s="22" t="s">
        <v>49</v>
      </c>
      <c r="D57" s="22"/>
      <c r="E57" s="22">
        <v>1</v>
      </c>
      <c r="F57" s="22">
        <v>1.8759999999999999</v>
      </c>
      <c r="G57" s="23">
        <v>5.9939999999999992E-5</v>
      </c>
      <c r="H57" s="23">
        <v>7.0420000000000007E-7</v>
      </c>
      <c r="I57" s="23">
        <v>1.51</v>
      </c>
      <c r="J57" s="23">
        <v>1.51</v>
      </c>
      <c r="K57" s="23">
        <v>9.75E-3</v>
      </c>
      <c r="L57" s="23">
        <v>1.8720000000000001</v>
      </c>
      <c r="M57" s="23">
        <v>1.61E-6</v>
      </c>
      <c r="N57" s="23">
        <v>9.6269999999999995E-6</v>
      </c>
    </row>
    <row r="58" spans="2:14" x14ac:dyDescent="0.25">
      <c r="B58" s="22">
        <v>132</v>
      </c>
      <c r="C58" s="22" t="s">
        <v>49</v>
      </c>
      <c r="D58" s="22"/>
      <c r="E58" s="22">
        <v>1</v>
      </c>
      <c r="F58" s="22">
        <v>1.829</v>
      </c>
      <c r="G58" s="23">
        <v>7.525E-5</v>
      </c>
      <c r="H58" s="23">
        <v>5.9000000000000007E-7</v>
      </c>
      <c r="I58" s="23">
        <v>1.4430000000000001</v>
      </c>
      <c r="J58" s="23">
        <v>1.4430000000000001</v>
      </c>
      <c r="K58" s="23">
        <v>1.001E-2</v>
      </c>
      <c r="L58" s="23">
        <v>1.78</v>
      </c>
      <c r="M58" s="23">
        <v>1.4449999999999999E-6</v>
      </c>
      <c r="N58" s="23">
        <v>1.383E-5</v>
      </c>
    </row>
    <row r="59" spans="2:14" x14ac:dyDescent="0.25">
      <c r="B59" s="22">
        <v>133</v>
      </c>
      <c r="C59" s="22" t="s">
        <v>49</v>
      </c>
      <c r="D59" s="22"/>
      <c r="E59" s="22">
        <v>1</v>
      </c>
      <c r="F59" s="22">
        <v>1.806</v>
      </c>
      <c r="G59" s="23">
        <v>5.6749999999999997E-5</v>
      </c>
      <c r="H59" s="23">
        <v>4.3030000000000003E-7</v>
      </c>
      <c r="I59" s="23">
        <v>1.4490000000000001</v>
      </c>
      <c r="J59" s="23">
        <v>1.4490000000000001</v>
      </c>
      <c r="K59" s="23">
        <v>1.0039999999999999E-2</v>
      </c>
      <c r="L59" s="23">
        <v>1.8069999999999999</v>
      </c>
      <c r="M59" s="23">
        <v>9.9999999999999995E-7</v>
      </c>
      <c r="N59" s="23">
        <v>9.8059999999999989E-6</v>
      </c>
    </row>
    <row r="60" spans="2:14" x14ac:dyDescent="0.25">
      <c r="B60" s="22">
        <v>135</v>
      </c>
      <c r="C60" s="22" t="s">
        <v>49</v>
      </c>
      <c r="D60" s="22"/>
      <c r="E60" s="22">
        <v>1</v>
      </c>
      <c r="F60" s="22">
        <v>1.8280000000000001</v>
      </c>
      <c r="G60" s="23">
        <v>1.025E-4</v>
      </c>
      <c r="H60" s="23">
        <v>7.0500000000000003E-7</v>
      </c>
      <c r="I60" s="23">
        <v>1.359</v>
      </c>
      <c r="J60" s="23">
        <v>1.359</v>
      </c>
      <c r="K60" s="23">
        <v>9.9600000000000018E-3</v>
      </c>
      <c r="L60" s="23">
        <v>1.7050000000000001</v>
      </c>
      <c r="M60" s="23">
        <v>3.5409999999999996E-6</v>
      </c>
      <c r="N60" s="23">
        <v>1.8679999999999997E-5</v>
      </c>
    </row>
    <row r="61" spans="2:14" x14ac:dyDescent="0.25">
      <c r="B61" s="22">
        <v>136</v>
      </c>
      <c r="C61" s="22" t="s">
        <v>49</v>
      </c>
      <c r="D61" s="22"/>
      <c r="E61" s="22">
        <v>1</v>
      </c>
      <c r="F61" s="22">
        <v>1.7509999999999999</v>
      </c>
      <c r="G61" s="23">
        <v>1.1629999999999999E-4</v>
      </c>
      <c r="H61" s="23">
        <v>6.7889999999999997E-7</v>
      </c>
      <c r="I61" s="23">
        <v>1.3280000000000001</v>
      </c>
      <c r="J61" s="23">
        <v>1.3280000000000001</v>
      </c>
      <c r="K61" s="23">
        <v>1.03E-2</v>
      </c>
      <c r="L61" s="23">
        <v>1.6870000000000001</v>
      </c>
      <c r="M61" s="23">
        <v>6.8550000000000004E-6</v>
      </c>
      <c r="N61" s="23">
        <v>2.2169999999999999E-5</v>
      </c>
    </row>
    <row r="62" spans="2:14" x14ac:dyDescent="0.25">
      <c r="B62" s="22">
        <v>139</v>
      </c>
      <c r="C62" s="22" t="s">
        <v>49</v>
      </c>
      <c r="D62" s="22"/>
      <c r="E62" s="22">
        <v>1</v>
      </c>
      <c r="F62" s="22">
        <v>1.7929999999999999</v>
      </c>
      <c r="G62" s="23">
        <v>4.3349999999999997E-5</v>
      </c>
      <c r="H62" s="23">
        <v>4.2060000000000005E-7</v>
      </c>
      <c r="I62" s="23">
        <v>1.4650000000000001</v>
      </c>
      <c r="J62" s="23">
        <v>1.4650000000000001</v>
      </c>
      <c r="K62" s="23">
        <v>1.0160000000000001E-2</v>
      </c>
      <c r="L62" s="23">
        <v>1.845</v>
      </c>
      <c r="M62" s="23">
        <v>7.7910000000000009E-7</v>
      </c>
      <c r="N62" s="23">
        <v>7.7309999999999993E-6</v>
      </c>
    </row>
    <row r="63" spans="2:14" x14ac:dyDescent="0.25">
      <c r="B63" s="22">
        <v>141</v>
      </c>
      <c r="C63" s="22" t="s">
        <v>49</v>
      </c>
      <c r="D63" s="22"/>
      <c r="E63" s="22">
        <v>1</v>
      </c>
      <c r="F63" s="22">
        <v>1.869</v>
      </c>
      <c r="G63" s="23">
        <v>7.928E-5</v>
      </c>
      <c r="H63" s="23">
        <v>7.891000000000001E-7</v>
      </c>
      <c r="I63" s="23">
        <v>1.446</v>
      </c>
      <c r="J63" s="23">
        <v>1.446</v>
      </c>
      <c r="K63" s="23">
        <v>9.8000000000000014E-3</v>
      </c>
      <c r="L63" s="23">
        <v>1.8169999999999999</v>
      </c>
      <c r="M63" s="23">
        <v>2.4820000000000001E-6</v>
      </c>
      <c r="N63" s="23">
        <v>1.3609999999999998E-5</v>
      </c>
    </row>
    <row r="64" spans="2:14" x14ac:dyDescent="0.25">
      <c r="B64" s="22">
        <v>143</v>
      </c>
      <c r="C64" s="22" t="s">
        <v>49</v>
      </c>
      <c r="D64" s="22"/>
      <c r="E64" s="22">
        <v>1</v>
      </c>
      <c r="F64" s="22">
        <v>1.8759999999999999</v>
      </c>
      <c r="G64" s="23">
        <v>3.7979999999999992E-5</v>
      </c>
      <c r="H64" s="23">
        <v>5.8090000000000002E-7</v>
      </c>
      <c r="I64" s="23">
        <v>1.5209999999999999</v>
      </c>
      <c r="J64" s="23">
        <v>1.5209999999999999</v>
      </c>
      <c r="K64" s="23">
        <v>9.8000000000000014E-3</v>
      </c>
      <c r="L64" s="23">
        <v>1.911</v>
      </c>
      <c r="M64" s="23">
        <v>1.0689999999999998E-6</v>
      </c>
      <c r="N64" s="23">
        <v>7.08E-6</v>
      </c>
    </row>
    <row r="65" spans="2:14" x14ac:dyDescent="0.25">
      <c r="B65" s="22">
        <v>145</v>
      </c>
      <c r="C65" s="22" t="s">
        <v>49</v>
      </c>
      <c r="D65" s="22"/>
      <c r="E65" s="22">
        <v>1</v>
      </c>
      <c r="F65" s="22">
        <v>1.83</v>
      </c>
      <c r="G65" s="23">
        <v>1.0429999999999999E-4</v>
      </c>
      <c r="H65" s="23">
        <v>7.3950000000000008E-7</v>
      </c>
      <c r="I65" s="23">
        <v>1.4530000000000001</v>
      </c>
      <c r="J65" s="23">
        <v>1.4530000000000001</v>
      </c>
      <c r="K65" s="23">
        <v>9.75E-3</v>
      </c>
      <c r="L65" s="23">
        <v>1.837</v>
      </c>
      <c r="M65" s="23">
        <v>3.3639999999999999E-6</v>
      </c>
      <c r="N65" s="23">
        <v>1.861E-5</v>
      </c>
    </row>
    <row r="66" spans="2:14" x14ac:dyDescent="0.25">
      <c r="B66" s="22">
        <v>147</v>
      </c>
      <c r="C66" s="22" t="s">
        <v>49</v>
      </c>
      <c r="D66" s="22"/>
      <c r="E66" s="22">
        <v>1</v>
      </c>
      <c r="F66" s="22">
        <v>1.8360000000000001</v>
      </c>
      <c r="G66" s="23">
        <v>7.0370000000000006E-5</v>
      </c>
      <c r="H66" s="23">
        <v>6.6190000000000007E-7</v>
      </c>
      <c r="I66" s="23">
        <v>1.4430000000000001</v>
      </c>
      <c r="J66" s="23">
        <v>1.4430000000000001</v>
      </c>
      <c r="K66" s="23">
        <v>9.9700000000000014E-3</v>
      </c>
      <c r="L66" s="23">
        <v>1.804</v>
      </c>
      <c r="M66" s="23">
        <v>1.437E-6</v>
      </c>
      <c r="N66" s="23">
        <v>1.348E-5</v>
      </c>
    </row>
    <row r="67" spans="2:14" x14ac:dyDescent="0.25">
      <c r="B67" s="22">
        <v>150</v>
      </c>
      <c r="C67" s="22" t="s">
        <v>49</v>
      </c>
      <c r="D67" s="22"/>
      <c r="E67" s="22">
        <v>1</v>
      </c>
      <c r="F67" s="22">
        <v>1.7729999999999999</v>
      </c>
      <c r="G67" s="23">
        <v>5.8520000000000002E-5</v>
      </c>
      <c r="H67" s="23">
        <v>5.5540000000000001E-7</v>
      </c>
      <c r="I67" s="23">
        <v>1.502</v>
      </c>
      <c r="J67" s="23">
        <v>1.502</v>
      </c>
      <c r="K67" s="23">
        <v>1.025E-2</v>
      </c>
      <c r="L67" s="23">
        <v>1.855</v>
      </c>
      <c r="M67" s="23">
        <v>1.172E-6</v>
      </c>
      <c r="N67" s="23">
        <v>1.1249999999999999E-5</v>
      </c>
    </row>
    <row r="68" spans="2:14" x14ac:dyDescent="0.25">
      <c r="B68" s="22">
        <v>151</v>
      </c>
      <c r="C68" s="22" t="s">
        <v>49</v>
      </c>
      <c r="D68" s="22"/>
      <c r="E68" s="22">
        <v>1</v>
      </c>
      <c r="F68" s="22">
        <v>1.7989999999999999</v>
      </c>
      <c r="G68" s="23">
        <v>4.5200000000000001E-5</v>
      </c>
      <c r="H68" s="23">
        <v>5.3379999999999998E-7</v>
      </c>
      <c r="I68" s="23">
        <v>1.5069999999999999</v>
      </c>
      <c r="J68" s="23">
        <v>1.5069999999999999</v>
      </c>
      <c r="K68" s="23">
        <v>9.9900000000000006E-3</v>
      </c>
      <c r="L68" s="23">
        <v>1.8819999999999999</v>
      </c>
      <c r="M68" s="23">
        <v>9.1110000000000005E-7</v>
      </c>
      <c r="N68" s="23">
        <v>8.9639999999999992E-6</v>
      </c>
    </row>
    <row r="69" spans="2:14" x14ac:dyDescent="0.25">
      <c r="B69" s="22">
        <v>152</v>
      </c>
      <c r="C69" s="22" t="s">
        <v>49</v>
      </c>
      <c r="D69" s="22"/>
      <c r="E69" s="22">
        <v>1</v>
      </c>
      <c r="F69" s="22">
        <v>1.8340000000000001</v>
      </c>
      <c r="G69" s="23">
        <v>5.164E-5</v>
      </c>
      <c r="H69" s="23">
        <v>4.8630000000000001E-7</v>
      </c>
      <c r="I69" s="23">
        <v>1.4510000000000001</v>
      </c>
      <c r="J69" s="23">
        <v>1.4510000000000001</v>
      </c>
      <c r="K69" s="23">
        <v>9.9399999999999992E-3</v>
      </c>
      <c r="L69" s="23">
        <v>1.8169999999999999</v>
      </c>
      <c r="M69" s="23">
        <v>1.0759999999999999E-6</v>
      </c>
      <c r="N69" s="23">
        <v>9.4730000000000006E-6</v>
      </c>
    </row>
    <row r="70" spans="2:14" x14ac:dyDescent="0.25">
      <c r="B70" s="22">
        <v>157</v>
      </c>
      <c r="C70" s="22" t="s">
        <v>49</v>
      </c>
      <c r="D70" s="22"/>
      <c r="E70" s="22">
        <v>1</v>
      </c>
      <c r="F70" s="22">
        <v>1.8029999999999999</v>
      </c>
      <c r="G70" s="23">
        <v>8.0260000000000007E-5</v>
      </c>
      <c r="H70" s="23">
        <v>6.1920000000000004E-7</v>
      </c>
      <c r="I70" s="23">
        <v>1.44</v>
      </c>
      <c r="J70" s="23">
        <v>1.44</v>
      </c>
      <c r="K70" s="23">
        <v>1.0119999999999999E-2</v>
      </c>
      <c r="L70" s="23">
        <v>1.776</v>
      </c>
      <c r="M70" s="23">
        <v>1.6609999999999999E-6</v>
      </c>
      <c r="N70" s="23">
        <v>1.3859999999999999E-5</v>
      </c>
    </row>
    <row r="71" spans="2:14" x14ac:dyDescent="0.25">
      <c r="B71" s="22">
        <v>160</v>
      </c>
      <c r="C71" s="22" t="s">
        <v>49</v>
      </c>
      <c r="D71" s="22"/>
      <c r="E71" s="22">
        <v>1</v>
      </c>
      <c r="F71" s="22">
        <v>1.8260000000000001</v>
      </c>
      <c r="G71" s="23">
        <v>3.968E-5</v>
      </c>
      <c r="H71" s="23">
        <v>4.299E-7</v>
      </c>
      <c r="I71" s="23">
        <v>1.5</v>
      </c>
      <c r="J71" s="23">
        <v>1.5</v>
      </c>
      <c r="K71" s="23">
        <v>9.859999999999999E-3</v>
      </c>
      <c r="L71" s="23">
        <v>1.9039999999999999</v>
      </c>
      <c r="M71" s="23">
        <v>9.0460000000000009E-7</v>
      </c>
      <c r="N71" s="23">
        <v>7.0940000000000002E-6</v>
      </c>
    </row>
    <row r="72" spans="2:14" x14ac:dyDescent="0.25">
      <c r="B72" s="22">
        <v>161</v>
      </c>
      <c r="C72" s="22" t="s">
        <v>49</v>
      </c>
      <c r="D72" s="22"/>
      <c r="E72" s="22">
        <v>1</v>
      </c>
      <c r="F72" s="22">
        <v>1.7949999999999999</v>
      </c>
      <c r="G72" s="23">
        <v>3.5450000000000001E-5</v>
      </c>
      <c r="H72" s="23">
        <v>6.2870000000000012E-7</v>
      </c>
      <c r="I72" s="23">
        <v>1.55</v>
      </c>
      <c r="J72" s="23">
        <v>1.55</v>
      </c>
      <c r="K72" s="23">
        <v>9.7900000000000001E-3</v>
      </c>
      <c r="L72" s="23">
        <v>1.931</v>
      </c>
      <c r="M72" s="23">
        <v>1.1319999999999999E-6</v>
      </c>
      <c r="N72" s="23">
        <v>6.3219999999999998E-6</v>
      </c>
    </row>
    <row r="73" spans="2:14" x14ac:dyDescent="0.25">
      <c r="B73" s="22">
        <v>166</v>
      </c>
      <c r="C73" s="22" t="s">
        <v>49</v>
      </c>
      <c r="D73" s="22"/>
      <c r="E73" s="22">
        <v>1</v>
      </c>
      <c r="F73" s="22">
        <v>1.84</v>
      </c>
      <c r="G73" s="23">
        <v>6.2729999999999991E-5</v>
      </c>
      <c r="H73" s="23">
        <v>6.3290000000000001E-7</v>
      </c>
      <c r="I73" s="23">
        <v>1.4930000000000001</v>
      </c>
      <c r="J73" s="23">
        <v>1.4930000000000001</v>
      </c>
      <c r="K73" s="23">
        <v>9.9700000000000014E-3</v>
      </c>
      <c r="L73" s="23">
        <v>1.86</v>
      </c>
      <c r="M73" s="23">
        <v>1.5249999999999998E-6</v>
      </c>
      <c r="N73" s="23">
        <v>1.0619999999999998E-5</v>
      </c>
    </row>
    <row r="74" spans="2:14" x14ac:dyDescent="0.25">
      <c r="B74" s="22">
        <v>173</v>
      </c>
      <c r="C74" s="22" t="s">
        <v>49</v>
      </c>
      <c r="D74" s="22"/>
      <c r="E74" s="22">
        <v>1</v>
      </c>
      <c r="F74" s="22">
        <v>1.903</v>
      </c>
      <c r="G74" s="23">
        <v>7.3519999999999987E-5</v>
      </c>
      <c r="H74" s="23">
        <v>7.4420000000000011E-7</v>
      </c>
      <c r="I74" s="23">
        <v>1.4750000000000001</v>
      </c>
      <c r="J74" s="23">
        <v>1.4750000000000001</v>
      </c>
      <c r="K74" s="23">
        <v>9.5199999999999989E-3</v>
      </c>
      <c r="L74" s="23">
        <v>1.8380000000000001</v>
      </c>
      <c r="M74" s="23">
        <v>2.1770000000000001E-6</v>
      </c>
      <c r="N74" s="23">
        <v>1.2789999999999998E-5</v>
      </c>
    </row>
    <row r="75" spans="2:14" x14ac:dyDescent="0.25">
      <c r="B75" s="22">
        <v>177</v>
      </c>
      <c r="C75" s="22" t="s">
        <v>49</v>
      </c>
      <c r="D75" s="22"/>
      <c r="E75" s="22">
        <v>1</v>
      </c>
      <c r="F75" s="22">
        <v>1.8149999999999999</v>
      </c>
      <c r="G75" s="23">
        <v>1.1949999999999999E-4</v>
      </c>
      <c r="H75" s="23">
        <v>7.6070000000000008E-7</v>
      </c>
      <c r="I75" s="23">
        <v>1.4</v>
      </c>
      <c r="J75" s="23">
        <v>1.4</v>
      </c>
      <c r="K75" s="23">
        <v>9.8699999999999986E-3</v>
      </c>
      <c r="L75" s="23">
        <v>1.764</v>
      </c>
      <c r="M75" s="23">
        <v>5.4709999999999998E-6</v>
      </c>
      <c r="N75" s="23">
        <v>2.2899999999999998E-5</v>
      </c>
    </row>
    <row r="76" spans="2:14" x14ac:dyDescent="0.25">
      <c r="B76" s="22">
        <v>185</v>
      </c>
      <c r="C76" s="22" t="s">
        <v>49</v>
      </c>
      <c r="D76" s="22"/>
      <c r="E76" s="22">
        <v>1</v>
      </c>
      <c r="F76" s="22">
        <v>1.8149999999999999</v>
      </c>
      <c r="G76" s="23">
        <v>4.9289999999999997E-5</v>
      </c>
      <c r="H76" s="23">
        <v>3.9939999999999999E-7</v>
      </c>
      <c r="I76" s="23">
        <v>1.444</v>
      </c>
      <c r="J76" s="23">
        <v>1.444</v>
      </c>
      <c r="K76" s="23">
        <v>1.0140000000000001E-2</v>
      </c>
      <c r="L76" s="23">
        <v>1.821</v>
      </c>
      <c r="M76" s="23">
        <v>7.4710000000000012E-7</v>
      </c>
      <c r="N76" s="23">
        <v>8.419999999999999E-6</v>
      </c>
    </row>
    <row r="77" spans="2:14" x14ac:dyDescent="0.25">
      <c r="B77" s="22">
        <v>187</v>
      </c>
      <c r="C77" s="22" t="s">
        <v>49</v>
      </c>
      <c r="D77" s="22"/>
      <c r="E77" s="22">
        <v>1</v>
      </c>
      <c r="F77" s="22">
        <v>1.9019999999999999</v>
      </c>
      <c r="G77" s="23">
        <v>7.5609999999999989E-5</v>
      </c>
      <c r="H77" s="23">
        <v>7.0670000000000005E-7</v>
      </c>
      <c r="I77" s="23">
        <v>1.466</v>
      </c>
      <c r="J77" s="23">
        <v>1.466</v>
      </c>
      <c r="K77" s="23">
        <v>9.4600000000000014E-3</v>
      </c>
      <c r="L77" s="23">
        <v>1.837</v>
      </c>
      <c r="M77" s="23">
        <v>2.1919999999999999E-6</v>
      </c>
      <c r="N77" s="23">
        <v>1.2679999999999999E-5</v>
      </c>
    </row>
    <row r="78" spans="2:14" x14ac:dyDescent="0.25">
      <c r="B78" s="22">
        <v>189</v>
      </c>
      <c r="C78" s="22" t="s">
        <v>49</v>
      </c>
      <c r="D78" s="22"/>
      <c r="E78" s="22">
        <v>1</v>
      </c>
      <c r="F78" s="22">
        <v>1.901</v>
      </c>
      <c r="G78" s="23">
        <v>6.6359999999999995E-5</v>
      </c>
      <c r="H78" s="23">
        <v>7.2250000000000007E-7</v>
      </c>
      <c r="I78" s="23">
        <v>1.5109999999999999</v>
      </c>
      <c r="J78" s="23">
        <v>1.5109999999999999</v>
      </c>
      <c r="K78" s="23">
        <v>9.7300000000000008E-3</v>
      </c>
      <c r="L78" s="23">
        <v>1.87</v>
      </c>
      <c r="M78" s="23">
        <v>1.782E-6</v>
      </c>
      <c r="N78" s="23">
        <v>1.0759999999999999E-5</v>
      </c>
    </row>
    <row r="79" spans="2:14" x14ac:dyDescent="0.25">
      <c r="B79" s="22">
        <v>192</v>
      </c>
      <c r="C79" s="22" t="s">
        <v>49</v>
      </c>
      <c r="D79" s="22"/>
      <c r="E79" s="22">
        <v>1</v>
      </c>
      <c r="F79" s="22">
        <v>1.76</v>
      </c>
      <c r="G79" s="23">
        <v>7.9959999999999987E-5</v>
      </c>
      <c r="H79" s="23">
        <v>6.4670000000000009E-7</v>
      </c>
      <c r="I79" s="23">
        <v>1.4390000000000001</v>
      </c>
      <c r="J79" s="23">
        <v>1.4390000000000001</v>
      </c>
      <c r="K79" s="23">
        <v>1.026E-2</v>
      </c>
      <c r="L79" s="23">
        <v>1.79</v>
      </c>
      <c r="M79" s="23">
        <v>1.5589999999999998E-6</v>
      </c>
      <c r="N79" s="23">
        <v>1.471E-5</v>
      </c>
    </row>
    <row r="80" spans="2:14" x14ac:dyDescent="0.25">
      <c r="B80" s="22">
        <v>193</v>
      </c>
      <c r="C80" s="22" t="s">
        <v>49</v>
      </c>
      <c r="D80" s="22"/>
      <c r="E80" s="22">
        <v>1</v>
      </c>
      <c r="F80" s="22">
        <v>1.849</v>
      </c>
      <c r="G80" s="23">
        <v>5.1629999999999999E-5</v>
      </c>
      <c r="H80" s="23">
        <v>8.2400000000000007E-7</v>
      </c>
      <c r="I80" s="23">
        <v>1.524</v>
      </c>
      <c r="J80" s="23">
        <v>1.524</v>
      </c>
      <c r="K80" s="23">
        <v>9.7300000000000008E-3</v>
      </c>
      <c r="L80" s="23">
        <v>1.873</v>
      </c>
      <c r="M80" s="23">
        <v>1.4870000000000001E-6</v>
      </c>
      <c r="N80" s="23">
        <v>9.6499999999999991E-6</v>
      </c>
    </row>
    <row r="81" spans="2:14" x14ac:dyDescent="0.25">
      <c r="B81" s="22">
        <v>194</v>
      </c>
      <c r="C81" s="22" t="s">
        <v>49</v>
      </c>
      <c r="D81" s="22"/>
      <c r="E81" s="22">
        <v>1</v>
      </c>
      <c r="F81" s="22">
        <v>1.845</v>
      </c>
      <c r="G81" s="23">
        <v>5.3329999999999993E-5</v>
      </c>
      <c r="H81" s="23">
        <v>5.4120000000000011E-7</v>
      </c>
      <c r="I81" s="23">
        <v>1.51</v>
      </c>
      <c r="J81" s="23">
        <v>1.51</v>
      </c>
      <c r="K81" s="23">
        <v>9.7699999999999992E-3</v>
      </c>
      <c r="L81" s="23">
        <v>1.8939999999999999</v>
      </c>
      <c r="M81" s="23">
        <v>1.2499999999999999E-6</v>
      </c>
      <c r="N81" s="23">
        <v>8.6389999999999998E-6</v>
      </c>
    </row>
    <row r="82" spans="2:14" x14ac:dyDescent="0.25">
      <c r="B82" s="22">
        <v>195</v>
      </c>
      <c r="C82" s="22" t="s">
        <v>49</v>
      </c>
      <c r="D82" s="22"/>
      <c r="E82" s="22">
        <v>1</v>
      </c>
      <c r="F82" s="22">
        <v>1.8009999999999999</v>
      </c>
      <c r="G82" s="23">
        <v>4.1179999999999995E-5</v>
      </c>
      <c r="H82" s="23">
        <v>4.6830000000000003E-7</v>
      </c>
      <c r="I82" s="23">
        <v>1.466</v>
      </c>
      <c r="J82" s="23">
        <v>1.466</v>
      </c>
      <c r="K82" s="23">
        <v>1.0029999999999999E-2</v>
      </c>
      <c r="L82" s="23">
        <v>1.8380000000000001</v>
      </c>
      <c r="M82" s="23">
        <v>7.4320000000000014E-7</v>
      </c>
      <c r="N82" s="23">
        <v>7.906999999999999E-6</v>
      </c>
    </row>
    <row r="83" spans="2:14" x14ac:dyDescent="0.25">
      <c r="B83" s="22">
        <v>197</v>
      </c>
      <c r="C83" s="22" t="s">
        <v>49</v>
      </c>
      <c r="D83" s="22"/>
      <c r="E83" s="22">
        <v>1</v>
      </c>
      <c r="F83" s="22">
        <v>1.8069999999999999</v>
      </c>
      <c r="G83" s="23">
        <v>5.0229999999999992E-5</v>
      </c>
      <c r="H83" s="23">
        <v>3.8720000000000003E-7</v>
      </c>
      <c r="I83" s="23">
        <v>1.45</v>
      </c>
      <c r="J83" s="23">
        <v>1.45</v>
      </c>
      <c r="K83" s="23">
        <v>1.0220000000000002E-2</v>
      </c>
      <c r="L83" s="23">
        <v>1.843</v>
      </c>
      <c r="M83" s="23">
        <v>1.1689999999999999E-6</v>
      </c>
      <c r="N83" s="23">
        <v>8.1939999999999998E-6</v>
      </c>
    </row>
    <row r="84" spans="2:14" x14ac:dyDescent="0.25">
      <c r="B84" s="22">
        <v>199</v>
      </c>
      <c r="C84" s="22" t="s">
        <v>49</v>
      </c>
      <c r="D84" s="22"/>
      <c r="E84" s="22">
        <v>1</v>
      </c>
      <c r="F84" s="22">
        <v>1.857</v>
      </c>
      <c r="G84" s="23">
        <v>1.2309999999999998E-4</v>
      </c>
      <c r="H84" s="23">
        <v>7.3839999999999999E-7</v>
      </c>
      <c r="I84" s="23">
        <v>1.41</v>
      </c>
      <c r="J84" s="23">
        <v>1.41</v>
      </c>
      <c r="K84" s="23">
        <v>9.6300000000000014E-3</v>
      </c>
      <c r="L84" s="23">
        <v>1.7789999999999999</v>
      </c>
      <c r="M84" s="23">
        <v>5.0579999999999997E-6</v>
      </c>
      <c r="N84" s="23">
        <v>2.304E-5</v>
      </c>
    </row>
    <row r="85" spans="2:14" x14ac:dyDescent="0.25">
      <c r="B85" s="22">
        <v>200</v>
      </c>
      <c r="C85" s="22" t="s">
        <v>49</v>
      </c>
      <c r="D85" s="22"/>
      <c r="E85" s="22">
        <v>1</v>
      </c>
      <c r="F85" s="22">
        <v>1.8540000000000001</v>
      </c>
      <c r="G85" s="23">
        <v>3.6170000000000001E-5</v>
      </c>
      <c r="H85" s="23">
        <v>4.5830000000000002E-7</v>
      </c>
      <c r="I85" s="23">
        <v>1.5349999999999999</v>
      </c>
      <c r="J85" s="23">
        <v>1.5349999999999999</v>
      </c>
      <c r="K85" s="23">
        <v>9.7400000000000004E-3</v>
      </c>
      <c r="L85" s="23">
        <v>1.9350000000000001</v>
      </c>
      <c r="M85" s="23">
        <v>8.1340000000000002E-7</v>
      </c>
      <c r="N85" s="23">
        <v>6.7479999999999996E-6</v>
      </c>
    </row>
    <row r="86" spans="2:14" x14ac:dyDescent="0.25">
      <c r="B86" s="22">
        <v>204</v>
      </c>
      <c r="C86" s="22" t="s">
        <v>49</v>
      </c>
      <c r="D86" s="22"/>
      <c r="E86" s="22">
        <v>1</v>
      </c>
      <c r="F86" s="22">
        <v>1.9139999999999999</v>
      </c>
      <c r="G86" s="23">
        <v>1.0659999999999999E-4</v>
      </c>
      <c r="H86" s="23">
        <v>7.3539999999999998E-7</v>
      </c>
      <c r="I86" s="23">
        <v>1.4059999999999999</v>
      </c>
      <c r="J86" s="23">
        <v>1.4059999999999999</v>
      </c>
      <c r="K86" s="23">
        <v>9.4999999999999998E-3</v>
      </c>
      <c r="L86" s="23">
        <v>1.772</v>
      </c>
      <c r="M86" s="23">
        <v>4.9259999999999999E-6</v>
      </c>
      <c r="N86" s="23">
        <v>1.8539999999999999E-5</v>
      </c>
    </row>
    <row r="87" spans="2:14" x14ac:dyDescent="0.25">
      <c r="B87" s="22">
        <v>205</v>
      </c>
      <c r="C87" s="22" t="s">
        <v>49</v>
      </c>
      <c r="D87" s="22"/>
      <c r="E87" s="22">
        <v>1</v>
      </c>
      <c r="F87" s="22">
        <v>1.8759999999999999</v>
      </c>
      <c r="G87" s="23">
        <v>6.6069999999999996E-5</v>
      </c>
      <c r="H87" s="23">
        <v>7.5130000000000001E-7</v>
      </c>
      <c r="I87" s="23">
        <v>1.5009999999999999</v>
      </c>
      <c r="J87" s="23">
        <v>1.5009999999999999</v>
      </c>
      <c r="K87" s="23">
        <v>9.75E-3</v>
      </c>
      <c r="L87" s="23">
        <v>1.843</v>
      </c>
      <c r="M87" s="23">
        <v>1.454E-6</v>
      </c>
      <c r="N87" s="23">
        <v>1.274E-5</v>
      </c>
    </row>
    <row r="88" spans="2:14" x14ac:dyDescent="0.25">
      <c r="B88" s="22">
        <v>206</v>
      </c>
      <c r="C88" s="22" t="s">
        <v>49</v>
      </c>
      <c r="D88" s="22"/>
      <c r="E88" s="22">
        <v>1</v>
      </c>
      <c r="F88" s="22">
        <v>1.8340000000000001</v>
      </c>
      <c r="G88" s="23">
        <v>4.5409999999999994E-5</v>
      </c>
      <c r="H88" s="23">
        <v>4.3830000000000005E-7</v>
      </c>
      <c r="I88" s="23">
        <v>1.462</v>
      </c>
      <c r="J88" s="23">
        <v>1.462</v>
      </c>
      <c r="K88" s="23">
        <v>9.8900000000000012E-3</v>
      </c>
      <c r="L88" s="23">
        <v>1.86</v>
      </c>
      <c r="M88" s="23">
        <v>1.0549999999999999E-6</v>
      </c>
      <c r="N88" s="23">
        <v>7.7959999999999996E-6</v>
      </c>
    </row>
    <row r="89" spans="2:14" x14ac:dyDescent="0.25">
      <c r="B89" s="22">
        <v>207</v>
      </c>
      <c r="C89" s="22" t="s">
        <v>49</v>
      </c>
      <c r="D89" s="22"/>
      <c r="E89" s="22">
        <v>1</v>
      </c>
      <c r="F89" s="22">
        <v>1.7290000000000001</v>
      </c>
      <c r="G89" s="23">
        <v>7.7689999999999996E-5</v>
      </c>
      <c r="H89" s="23">
        <v>6.2650000000000006E-7</v>
      </c>
      <c r="I89" s="23">
        <v>1.431</v>
      </c>
      <c r="J89" s="23">
        <v>1.431</v>
      </c>
      <c r="K89" s="23">
        <v>1.051E-2</v>
      </c>
      <c r="L89" s="23">
        <v>1.821</v>
      </c>
      <c r="M89" s="23">
        <v>1.8079999999999999E-6</v>
      </c>
      <c r="N89" s="23">
        <v>1.242E-5</v>
      </c>
    </row>
    <row r="90" spans="2:14" x14ac:dyDescent="0.25">
      <c r="B90" s="22">
        <v>214</v>
      </c>
      <c r="C90" s="22" t="s">
        <v>49</v>
      </c>
      <c r="D90" s="22"/>
      <c r="E90" s="22">
        <v>1</v>
      </c>
      <c r="F90" s="22">
        <v>1.883</v>
      </c>
      <c r="G90" s="23">
        <v>8.3889999999999998E-5</v>
      </c>
      <c r="H90" s="23">
        <v>7.4510000000000007E-7</v>
      </c>
      <c r="I90" s="23">
        <v>1.472</v>
      </c>
      <c r="J90" s="23">
        <v>1.472</v>
      </c>
      <c r="K90" s="23">
        <v>9.689999999999999E-3</v>
      </c>
      <c r="L90" s="23">
        <v>1.8280000000000001</v>
      </c>
      <c r="M90" s="23">
        <v>1.8649999999999999E-6</v>
      </c>
      <c r="N90" s="23">
        <v>1.5439999999999998E-5</v>
      </c>
    </row>
    <row r="91" spans="2:14" x14ac:dyDescent="0.25">
      <c r="B91" s="22">
        <v>220</v>
      </c>
      <c r="C91" s="22" t="s">
        <v>49</v>
      </c>
      <c r="D91" s="22"/>
      <c r="E91" s="22">
        <v>1</v>
      </c>
      <c r="F91" s="22">
        <v>1.829</v>
      </c>
      <c r="G91" s="23">
        <v>1.1209999999999999E-4</v>
      </c>
      <c r="H91" s="23">
        <v>7.257000000000001E-7</v>
      </c>
      <c r="I91" s="23">
        <v>1.4139999999999999</v>
      </c>
      <c r="J91" s="23">
        <v>1.4139999999999999</v>
      </c>
      <c r="K91" s="23">
        <v>9.7400000000000004E-3</v>
      </c>
      <c r="L91" s="23">
        <v>1.784</v>
      </c>
      <c r="M91" s="23">
        <v>4.9119999999999997E-6</v>
      </c>
      <c r="N91" s="23">
        <v>1.9089999999999998E-5</v>
      </c>
    </row>
    <row r="92" spans="2:14" x14ac:dyDescent="0.25">
      <c r="B92" s="22">
        <v>221</v>
      </c>
      <c r="C92" s="22" t="s">
        <v>49</v>
      </c>
      <c r="D92" s="22"/>
      <c r="E92" s="22">
        <v>1</v>
      </c>
      <c r="F92" s="22">
        <v>1.8420000000000001</v>
      </c>
      <c r="G92" s="23">
        <v>6.7609999999999998E-5</v>
      </c>
      <c r="H92" s="23">
        <v>8.1700000000000008E-7</v>
      </c>
      <c r="I92" s="23">
        <v>1.498</v>
      </c>
      <c r="J92" s="23">
        <v>1.498</v>
      </c>
      <c r="K92" s="23">
        <v>9.689999999999999E-3</v>
      </c>
      <c r="L92" s="23">
        <v>1.857</v>
      </c>
      <c r="M92" s="23">
        <v>1.7319999999999999E-6</v>
      </c>
      <c r="N92" s="23">
        <v>1.238E-5</v>
      </c>
    </row>
    <row r="93" spans="2:14" x14ac:dyDescent="0.25">
      <c r="B93" s="22">
        <v>224</v>
      </c>
      <c r="C93" s="22" t="s">
        <v>49</v>
      </c>
      <c r="D93" s="22"/>
      <c r="E93" s="22">
        <v>1</v>
      </c>
      <c r="F93" s="22">
        <v>1.9059999999999999</v>
      </c>
      <c r="G93" s="23">
        <v>5.9579999999999995E-5</v>
      </c>
      <c r="H93" s="23">
        <v>3.6300000000000001E-7</v>
      </c>
      <c r="I93" s="23">
        <v>1.4790000000000001</v>
      </c>
      <c r="J93" s="23">
        <v>1.4790000000000001</v>
      </c>
      <c r="K93" s="23">
        <v>9.58E-3</v>
      </c>
      <c r="L93" s="23">
        <v>1.8049999999999999</v>
      </c>
      <c r="M93" s="23">
        <v>7.0360000000000003E-7</v>
      </c>
      <c r="N93" s="23">
        <v>9.2839999999999995E-6</v>
      </c>
    </row>
    <row r="94" spans="2:14" x14ac:dyDescent="0.25">
      <c r="B94" s="22">
        <v>226</v>
      </c>
      <c r="C94" s="22" t="s">
        <v>49</v>
      </c>
      <c r="D94" s="22"/>
      <c r="E94" s="22">
        <v>1</v>
      </c>
      <c r="F94" s="22">
        <v>1.74</v>
      </c>
      <c r="G94" s="23">
        <v>3.5509999999999997E-5</v>
      </c>
      <c r="H94" s="23">
        <v>3.3070000000000002E-7</v>
      </c>
      <c r="I94" s="23">
        <v>1.528</v>
      </c>
      <c r="J94" s="23">
        <v>1.528</v>
      </c>
      <c r="K94" s="23">
        <v>1.01E-2</v>
      </c>
      <c r="L94" s="23">
        <v>1.889</v>
      </c>
      <c r="M94" s="23">
        <v>5.5310000000000005E-7</v>
      </c>
      <c r="N94" s="23">
        <v>5.9209999999999997E-6</v>
      </c>
    </row>
    <row r="95" spans="2:14" x14ac:dyDescent="0.25">
      <c r="B95" s="22">
        <v>228</v>
      </c>
      <c r="C95" s="22" t="s">
        <v>49</v>
      </c>
      <c r="D95" s="22"/>
      <c r="E95" s="22">
        <v>1</v>
      </c>
      <c r="F95" s="22">
        <v>1.8759999999999999</v>
      </c>
      <c r="G95" s="23">
        <v>7.4319999999999993E-5</v>
      </c>
      <c r="H95" s="23">
        <v>5.6280000000000004E-7</v>
      </c>
      <c r="I95" s="23">
        <v>1.4159999999999999</v>
      </c>
      <c r="J95" s="23">
        <v>1.4159999999999999</v>
      </c>
      <c r="K95" s="23">
        <v>9.4400000000000005E-3</v>
      </c>
      <c r="L95" s="23">
        <v>1.764</v>
      </c>
      <c r="M95" s="23">
        <v>1.809E-6</v>
      </c>
      <c r="N95" s="23">
        <v>1.2789999999999998E-5</v>
      </c>
    </row>
    <row r="96" spans="2:14" x14ac:dyDescent="0.25">
      <c r="B96" s="22">
        <v>233</v>
      </c>
      <c r="C96" s="22" t="s">
        <v>49</v>
      </c>
      <c r="D96" s="22"/>
      <c r="E96" s="22">
        <v>1</v>
      </c>
      <c r="F96" s="22">
        <v>1.8340000000000001</v>
      </c>
      <c r="G96" s="23">
        <v>7.0279999999999998E-5</v>
      </c>
      <c r="H96" s="23">
        <v>8.1710000000000008E-7</v>
      </c>
      <c r="I96" s="23">
        <v>1.5349999999999999</v>
      </c>
      <c r="J96" s="23">
        <v>1.5349999999999999</v>
      </c>
      <c r="K96" s="23">
        <v>9.9499999999999988E-3</v>
      </c>
      <c r="L96" s="23">
        <v>1.887</v>
      </c>
      <c r="M96" s="23">
        <v>1.9199999999999998E-6</v>
      </c>
      <c r="N96" s="23">
        <v>1.173E-5</v>
      </c>
    </row>
    <row r="97" spans="2:14" x14ac:dyDescent="0.25">
      <c r="B97" s="22">
        <v>237</v>
      </c>
      <c r="C97" s="22" t="s">
        <v>49</v>
      </c>
      <c r="D97" s="22"/>
      <c r="E97" s="22">
        <v>1</v>
      </c>
      <c r="F97" s="22">
        <v>1.804</v>
      </c>
      <c r="G97" s="23">
        <v>4.9840000000000004E-5</v>
      </c>
      <c r="H97" s="23">
        <v>3.9430000000000003E-7</v>
      </c>
      <c r="I97" s="23">
        <v>1.4450000000000001</v>
      </c>
      <c r="J97" s="23">
        <v>1.4450000000000001</v>
      </c>
      <c r="K97" s="23">
        <v>1.001E-2</v>
      </c>
      <c r="L97" s="23">
        <v>1.8180000000000001</v>
      </c>
      <c r="M97" s="23">
        <v>8.8530000000000002E-7</v>
      </c>
      <c r="N97" s="23">
        <v>8.4399999999999988E-6</v>
      </c>
    </row>
    <row r="98" spans="2:14" x14ac:dyDescent="0.25">
      <c r="B98" s="22">
        <v>240</v>
      </c>
      <c r="C98" s="22" t="s">
        <v>49</v>
      </c>
      <c r="D98" s="22"/>
      <c r="E98" s="22">
        <v>1</v>
      </c>
      <c r="F98" s="22">
        <v>1.7949999999999999</v>
      </c>
      <c r="G98" s="23">
        <v>6.512E-5</v>
      </c>
      <c r="H98" s="23">
        <v>7.017000000000001E-7</v>
      </c>
      <c r="I98" s="23">
        <v>1.506</v>
      </c>
      <c r="J98" s="23">
        <v>1.506</v>
      </c>
      <c r="K98" s="23">
        <v>1.0060000000000001E-2</v>
      </c>
      <c r="L98" s="23">
        <v>1.849</v>
      </c>
      <c r="M98" s="23">
        <v>1.4330000000000001E-6</v>
      </c>
      <c r="N98" s="23">
        <v>1.1960000000000001E-5</v>
      </c>
    </row>
    <row r="99" spans="2:14" x14ac:dyDescent="0.25">
      <c r="B99" s="22">
        <v>241</v>
      </c>
      <c r="C99" s="22" t="s">
        <v>49</v>
      </c>
      <c r="D99" s="22"/>
      <c r="E99" s="22">
        <v>1</v>
      </c>
      <c r="F99" s="22">
        <v>1.796</v>
      </c>
      <c r="G99" s="23">
        <v>6.848999999999999E-5</v>
      </c>
      <c r="H99" s="23">
        <v>6.9749999999999999E-7</v>
      </c>
      <c r="I99" s="23">
        <v>1.5069999999999999</v>
      </c>
      <c r="J99" s="23">
        <v>1.5069999999999999</v>
      </c>
      <c r="K99" s="23">
        <v>1.0279999999999999E-2</v>
      </c>
      <c r="L99" s="23">
        <v>1.865</v>
      </c>
      <c r="M99" s="23">
        <v>2.0139999999999997E-6</v>
      </c>
      <c r="N99" s="23">
        <v>1.172E-5</v>
      </c>
    </row>
    <row r="100" spans="2:14" x14ac:dyDescent="0.25">
      <c r="B100" s="22">
        <v>248</v>
      </c>
      <c r="C100" s="22" t="s">
        <v>49</v>
      </c>
      <c r="D100" s="22"/>
      <c r="E100" s="22">
        <v>1</v>
      </c>
      <c r="F100" s="22">
        <v>1.891</v>
      </c>
      <c r="G100" s="23">
        <v>8.6650000000000006E-5</v>
      </c>
      <c r="H100" s="23">
        <v>6.7570000000000005E-7</v>
      </c>
      <c r="I100" s="23">
        <v>1.4390000000000001</v>
      </c>
      <c r="J100" s="23">
        <v>1.4390000000000001</v>
      </c>
      <c r="K100" s="23">
        <v>9.5300000000000003E-3</v>
      </c>
      <c r="L100" s="23">
        <v>1.798</v>
      </c>
      <c r="M100" s="23">
        <v>1.8749999999999998E-6</v>
      </c>
      <c r="N100" s="23">
        <v>1.5719999999999999E-5</v>
      </c>
    </row>
    <row r="101" spans="2:14" x14ac:dyDescent="0.25">
      <c r="B101" s="22">
        <v>249</v>
      </c>
      <c r="C101" s="22" t="s">
        <v>49</v>
      </c>
      <c r="D101" s="22"/>
      <c r="E101" s="22">
        <v>1</v>
      </c>
      <c r="F101" s="22">
        <v>1.7829999999999999</v>
      </c>
      <c r="G101" s="23">
        <v>5.8850000000000001E-5</v>
      </c>
      <c r="H101" s="23">
        <v>4.9120000000000006E-7</v>
      </c>
      <c r="I101" s="23">
        <v>1.4730000000000001</v>
      </c>
      <c r="J101" s="23">
        <v>1.4730000000000001</v>
      </c>
      <c r="K101" s="23">
        <v>1.0230000000000001E-2</v>
      </c>
      <c r="L101" s="23">
        <v>1.8680000000000001</v>
      </c>
      <c r="M101" s="23">
        <v>1.1679999999999999E-6</v>
      </c>
      <c r="N101" s="23">
        <v>9.516E-6</v>
      </c>
    </row>
    <row r="102" spans="2:14" x14ac:dyDescent="0.25">
      <c r="B102" s="22">
        <v>251</v>
      </c>
      <c r="C102" s="22" t="s">
        <v>49</v>
      </c>
      <c r="D102" s="22"/>
      <c r="E102" s="22">
        <v>1</v>
      </c>
      <c r="F102" s="22">
        <v>1.893</v>
      </c>
      <c r="G102" s="23">
        <v>4.0439999999999999E-5</v>
      </c>
      <c r="H102" s="23">
        <v>7.3770000000000005E-7</v>
      </c>
      <c r="I102" s="23">
        <v>1.5720000000000001</v>
      </c>
      <c r="J102" s="23">
        <v>1.5720000000000001</v>
      </c>
      <c r="K102" s="23">
        <v>9.7400000000000004E-3</v>
      </c>
      <c r="L102" s="23">
        <v>1.9339999999999999</v>
      </c>
      <c r="M102" s="23">
        <v>1.4079999999999999E-6</v>
      </c>
      <c r="N102" s="23">
        <v>7.3860000000000001E-6</v>
      </c>
    </row>
    <row r="103" spans="2:14" x14ac:dyDescent="0.25">
      <c r="B103" s="22">
        <v>254</v>
      </c>
      <c r="C103" s="22" t="s">
        <v>49</v>
      </c>
      <c r="D103" s="22"/>
      <c r="E103" s="22">
        <v>1</v>
      </c>
      <c r="F103" s="22">
        <v>1.8220000000000001</v>
      </c>
      <c r="G103" s="23">
        <v>3.735E-5</v>
      </c>
      <c r="H103" s="23">
        <v>7.3020000000000012E-7</v>
      </c>
      <c r="I103" s="23">
        <v>1.5609999999999999</v>
      </c>
      <c r="J103" s="23">
        <v>1.5609999999999999</v>
      </c>
      <c r="K103" s="23">
        <v>9.8900000000000012E-3</v>
      </c>
      <c r="L103" s="23">
        <v>1.9279999999999999</v>
      </c>
      <c r="M103" s="23">
        <v>1.3939999999999999E-6</v>
      </c>
      <c r="N103" s="23">
        <v>6.6319999999999994E-6</v>
      </c>
    </row>
    <row r="104" spans="2:14" x14ac:dyDescent="0.25">
      <c r="B104" s="22">
        <v>255</v>
      </c>
      <c r="C104" s="22" t="s">
        <v>49</v>
      </c>
      <c r="D104" s="22"/>
      <c r="E104" s="22">
        <v>1</v>
      </c>
      <c r="F104" s="22">
        <v>1.859</v>
      </c>
      <c r="G104" s="23">
        <v>6.779E-5</v>
      </c>
      <c r="H104" s="23">
        <v>7.3160000000000012E-7</v>
      </c>
      <c r="I104" s="23">
        <v>1.488</v>
      </c>
      <c r="J104" s="23">
        <v>1.488</v>
      </c>
      <c r="K104" s="23">
        <v>9.6600000000000002E-3</v>
      </c>
      <c r="L104" s="23">
        <v>1.845</v>
      </c>
      <c r="M104" s="23">
        <v>1.6399999999999998E-6</v>
      </c>
      <c r="N104" s="23">
        <v>1.2449999999999999E-5</v>
      </c>
    </row>
    <row r="105" spans="2:14" x14ac:dyDescent="0.25">
      <c r="B105" s="22">
        <v>256</v>
      </c>
      <c r="C105" s="22" t="s">
        <v>49</v>
      </c>
      <c r="D105" s="22"/>
      <c r="E105" s="22">
        <v>1</v>
      </c>
      <c r="F105" s="22">
        <v>1.829</v>
      </c>
      <c r="G105" s="23">
        <v>9.2549999999999986E-5</v>
      </c>
      <c r="H105" s="23">
        <v>7.1560000000000008E-7</v>
      </c>
      <c r="I105" s="23">
        <v>1.369</v>
      </c>
      <c r="J105" s="23">
        <v>1.369</v>
      </c>
      <c r="K105" s="23">
        <v>9.9900000000000006E-3</v>
      </c>
      <c r="L105" s="23">
        <v>1.724</v>
      </c>
      <c r="M105" s="23">
        <v>3.1439999999999999E-6</v>
      </c>
      <c r="N105" s="23">
        <v>1.6869999999999999E-5</v>
      </c>
    </row>
    <row r="106" spans="2:14" x14ac:dyDescent="0.25">
      <c r="B106" s="22">
        <v>257</v>
      </c>
      <c r="C106" s="22" t="s">
        <v>49</v>
      </c>
      <c r="D106" s="22"/>
      <c r="E106" s="22">
        <v>1</v>
      </c>
      <c r="F106" s="22">
        <v>1.869</v>
      </c>
      <c r="G106" s="23">
        <v>3.379E-5</v>
      </c>
      <c r="H106" s="23">
        <v>4.6420000000000004E-7</v>
      </c>
      <c r="I106" s="23">
        <v>1.5569999999999999</v>
      </c>
      <c r="J106" s="23">
        <v>1.5569999999999999</v>
      </c>
      <c r="K106" s="23">
        <v>9.7000000000000003E-3</v>
      </c>
      <c r="L106" s="23">
        <v>1.9510000000000001</v>
      </c>
      <c r="M106" s="23">
        <v>8.09E-7</v>
      </c>
      <c r="N106" s="23">
        <v>6.2160000000000003E-6</v>
      </c>
    </row>
    <row r="107" spans="2:14" x14ac:dyDescent="0.25">
      <c r="B107" s="22">
        <v>259</v>
      </c>
      <c r="C107" s="22" t="s">
        <v>49</v>
      </c>
      <c r="D107" s="22"/>
      <c r="E107" s="22">
        <v>1</v>
      </c>
      <c r="F107" s="22">
        <v>1.776</v>
      </c>
      <c r="G107" s="23">
        <v>1.06E-4</v>
      </c>
      <c r="H107" s="23">
        <v>6.6550000000000002E-7</v>
      </c>
      <c r="I107" s="23">
        <v>1.373</v>
      </c>
      <c r="J107" s="23">
        <v>1.373</v>
      </c>
      <c r="K107" s="23">
        <v>1.0150000000000001E-2</v>
      </c>
      <c r="L107" s="23">
        <v>1.7210000000000001</v>
      </c>
      <c r="M107" s="23">
        <v>5.4009999999999996E-6</v>
      </c>
      <c r="N107" s="23">
        <v>1.9939999999999999E-5</v>
      </c>
    </row>
    <row r="108" spans="2:14" x14ac:dyDescent="0.25">
      <c r="B108" s="22">
        <v>262</v>
      </c>
      <c r="C108" s="22" t="s">
        <v>49</v>
      </c>
      <c r="D108" s="22"/>
      <c r="E108" s="22">
        <v>1</v>
      </c>
      <c r="F108" s="22">
        <v>1.786</v>
      </c>
      <c r="G108" s="23">
        <v>4.5340000000000003E-5</v>
      </c>
      <c r="H108" s="23">
        <v>4.5600000000000001E-7</v>
      </c>
      <c r="I108" s="23">
        <v>1.46</v>
      </c>
      <c r="J108" s="23">
        <v>1.46</v>
      </c>
      <c r="K108" s="23">
        <v>9.9299999999999996E-3</v>
      </c>
      <c r="L108" s="23">
        <v>1.8380000000000001</v>
      </c>
      <c r="M108" s="23">
        <v>8.0589999999999998E-7</v>
      </c>
      <c r="N108" s="23">
        <v>8.3420000000000008E-6</v>
      </c>
    </row>
    <row r="109" spans="2:14" x14ac:dyDescent="0.25">
      <c r="B109" s="22">
        <v>268</v>
      </c>
      <c r="C109" s="22" t="s">
        <v>49</v>
      </c>
      <c r="D109" s="22"/>
      <c r="E109" s="22">
        <v>1</v>
      </c>
      <c r="F109" s="22">
        <v>1.845</v>
      </c>
      <c r="G109" s="23">
        <v>7.5870000000000004E-5</v>
      </c>
      <c r="H109" s="23">
        <v>6.3010000000000001E-7</v>
      </c>
      <c r="I109" s="23">
        <v>1.474</v>
      </c>
      <c r="J109" s="23">
        <v>1.474</v>
      </c>
      <c r="K109" s="23">
        <v>9.8499999999999994E-3</v>
      </c>
      <c r="L109" s="23">
        <v>1.82</v>
      </c>
      <c r="M109" s="23">
        <v>1.3649999999999998E-6</v>
      </c>
      <c r="N109" s="23">
        <v>1.366E-5</v>
      </c>
    </row>
    <row r="110" spans="2:14" x14ac:dyDescent="0.25">
      <c r="B110" s="22">
        <v>271</v>
      </c>
      <c r="C110" s="22" t="s">
        <v>49</v>
      </c>
      <c r="D110" s="22"/>
      <c r="E110" s="22">
        <v>1</v>
      </c>
      <c r="F110" s="22">
        <v>1.8360000000000001</v>
      </c>
      <c r="G110" s="23">
        <v>7.9649999999999998E-5</v>
      </c>
      <c r="H110" s="23">
        <v>7.568E-7</v>
      </c>
      <c r="I110" s="23">
        <v>1.4590000000000001</v>
      </c>
      <c r="J110" s="23">
        <v>1.4590000000000001</v>
      </c>
      <c r="K110" s="23">
        <v>9.8800000000000016E-3</v>
      </c>
      <c r="L110" s="23">
        <v>1.821</v>
      </c>
      <c r="M110" s="23">
        <v>1.762E-6</v>
      </c>
      <c r="N110" s="23">
        <v>1.4579999999999999E-5</v>
      </c>
    </row>
    <row r="111" spans="2:14" x14ac:dyDescent="0.25">
      <c r="B111" s="22">
        <v>276</v>
      </c>
      <c r="C111" s="22" t="s">
        <v>49</v>
      </c>
      <c r="D111" s="22"/>
      <c r="E111" s="22">
        <v>1</v>
      </c>
      <c r="F111" s="22">
        <v>1.8160000000000001</v>
      </c>
      <c r="G111" s="23">
        <v>6.2159999999999988E-5</v>
      </c>
      <c r="H111" s="23">
        <v>6.8460000000000008E-7</v>
      </c>
      <c r="I111" s="23">
        <v>1.5049999999999999</v>
      </c>
      <c r="J111" s="23">
        <v>1.5049999999999999</v>
      </c>
      <c r="K111" s="23">
        <v>9.980000000000001E-3</v>
      </c>
      <c r="L111" s="23">
        <v>1.849</v>
      </c>
      <c r="M111" s="23">
        <v>1.319E-6</v>
      </c>
      <c r="N111" s="23">
        <v>1.172E-5</v>
      </c>
    </row>
    <row r="112" spans="2:14" x14ac:dyDescent="0.25">
      <c r="B112" s="22">
        <v>278</v>
      </c>
      <c r="C112" s="22" t="s">
        <v>49</v>
      </c>
      <c r="D112" s="22"/>
      <c r="E112" s="22">
        <v>1</v>
      </c>
      <c r="F112" s="22">
        <v>1.8120000000000001</v>
      </c>
      <c r="G112" s="23">
        <v>5.7059999999999999E-5</v>
      </c>
      <c r="H112" s="23">
        <v>4.5430000000000004E-7</v>
      </c>
      <c r="I112" s="23">
        <v>1.4830000000000001</v>
      </c>
      <c r="J112" s="23">
        <v>1.4830000000000001</v>
      </c>
      <c r="K112" s="23">
        <v>9.9399999999999992E-3</v>
      </c>
      <c r="L112" s="23">
        <v>1.835</v>
      </c>
      <c r="M112" s="23">
        <v>8.4770000000000005E-7</v>
      </c>
      <c r="N112" s="23">
        <v>9.8719999999999997E-6</v>
      </c>
    </row>
    <row r="113" spans="2:14" x14ac:dyDescent="0.25">
      <c r="B113" s="22">
        <v>281</v>
      </c>
      <c r="C113" s="22" t="s">
        <v>49</v>
      </c>
      <c r="D113" s="22"/>
      <c r="E113" s="22">
        <v>1</v>
      </c>
      <c r="F113" s="22">
        <v>1.8009999999999999</v>
      </c>
      <c r="G113" s="23">
        <v>6.7650000000000005E-5</v>
      </c>
      <c r="H113" s="23">
        <v>5.1400000000000008E-7</v>
      </c>
      <c r="I113" s="23">
        <v>1.4419999999999999</v>
      </c>
      <c r="J113" s="23">
        <v>1.4419999999999999</v>
      </c>
      <c r="K113" s="23">
        <v>9.9700000000000014E-3</v>
      </c>
      <c r="L113" s="23">
        <v>1.7849999999999999</v>
      </c>
      <c r="M113" s="23">
        <v>1.082E-6</v>
      </c>
      <c r="N113" s="23">
        <v>1.1929999999999999E-5</v>
      </c>
    </row>
    <row r="114" spans="2:14" x14ac:dyDescent="0.25">
      <c r="B114" s="22">
        <v>283</v>
      </c>
      <c r="C114" s="22" t="s">
        <v>49</v>
      </c>
      <c r="D114" s="22"/>
      <c r="E114" s="22">
        <v>1</v>
      </c>
      <c r="F114" s="22">
        <v>1.84</v>
      </c>
      <c r="G114" s="23">
        <v>4.8939999999999996E-5</v>
      </c>
      <c r="H114" s="23">
        <v>7.4180000000000004E-7</v>
      </c>
      <c r="I114" s="23">
        <v>1.526</v>
      </c>
      <c r="J114" s="23">
        <v>1.526</v>
      </c>
      <c r="K114" s="23">
        <v>1.0029999999999999E-2</v>
      </c>
      <c r="L114" s="23">
        <v>1.88</v>
      </c>
      <c r="M114" s="23">
        <v>1.367E-6</v>
      </c>
      <c r="N114" s="23">
        <v>1.1219999999999999E-5</v>
      </c>
    </row>
    <row r="115" spans="2:14" x14ac:dyDescent="0.25">
      <c r="B115" s="22">
        <v>284</v>
      </c>
      <c r="C115" s="22" t="s">
        <v>49</v>
      </c>
      <c r="D115" s="22"/>
      <c r="E115" s="22">
        <v>1</v>
      </c>
      <c r="F115" s="22">
        <v>1.8560000000000001</v>
      </c>
      <c r="G115" s="23">
        <v>4.7759999999999997E-5</v>
      </c>
      <c r="H115" s="23">
        <v>5.8650000000000002E-7</v>
      </c>
      <c r="I115" s="23">
        <v>1.5269999999999999</v>
      </c>
      <c r="J115" s="23">
        <v>1.5269999999999999</v>
      </c>
      <c r="K115" s="23">
        <v>9.7300000000000008E-3</v>
      </c>
      <c r="L115" s="23">
        <v>1.883</v>
      </c>
      <c r="M115" s="23">
        <v>1.0449999999999999E-6</v>
      </c>
      <c r="N115" s="23">
        <v>9.2099999999999999E-6</v>
      </c>
    </row>
    <row r="116" spans="2:14" x14ac:dyDescent="0.25">
      <c r="B116" s="22">
        <v>285</v>
      </c>
      <c r="C116" s="22" t="s">
        <v>49</v>
      </c>
      <c r="D116" s="22"/>
      <c r="E116" s="22">
        <v>1</v>
      </c>
      <c r="F116" s="22">
        <v>1.802</v>
      </c>
      <c r="G116" s="23">
        <v>4.4479999999999994E-5</v>
      </c>
      <c r="H116" s="23">
        <v>3.9890000000000001E-7</v>
      </c>
      <c r="I116" s="23">
        <v>1.4550000000000001</v>
      </c>
      <c r="J116" s="23">
        <v>1.4550000000000001</v>
      </c>
      <c r="K116" s="23">
        <v>1.009E-2</v>
      </c>
      <c r="L116" s="23">
        <v>1.8340000000000001</v>
      </c>
      <c r="M116" s="23">
        <v>6.9910000000000011E-7</v>
      </c>
      <c r="N116" s="23">
        <v>7.8169999999999999E-6</v>
      </c>
    </row>
    <row r="117" spans="2:14" x14ac:dyDescent="0.25">
      <c r="B117" s="22">
        <v>286</v>
      </c>
      <c r="C117" s="22" t="s">
        <v>49</v>
      </c>
      <c r="D117" s="22"/>
      <c r="E117" s="22">
        <v>1</v>
      </c>
      <c r="F117" s="22">
        <v>1.8779999999999999</v>
      </c>
      <c r="G117" s="23">
        <v>4.2079999999999997E-5</v>
      </c>
      <c r="H117" s="23">
        <v>4.2780000000000006E-7</v>
      </c>
      <c r="I117" s="23">
        <v>1.514</v>
      </c>
      <c r="J117" s="23">
        <v>1.514</v>
      </c>
      <c r="K117" s="23">
        <v>9.5899999999999996E-3</v>
      </c>
      <c r="L117" s="23">
        <v>1.881</v>
      </c>
      <c r="M117" s="23">
        <v>7.6060000000000007E-7</v>
      </c>
      <c r="N117" s="23">
        <v>7.9889999999999992E-6</v>
      </c>
    </row>
    <row r="118" spans="2:14" x14ac:dyDescent="0.25">
      <c r="B118" s="22">
        <v>287</v>
      </c>
      <c r="C118" s="22" t="s">
        <v>49</v>
      </c>
      <c r="D118" s="22"/>
      <c r="E118" s="22">
        <v>1</v>
      </c>
      <c r="F118" s="22">
        <v>1.7909999999999999</v>
      </c>
      <c r="G118" s="23">
        <v>6.5129999999999995E-5</v>
      </c>
      <c r="H118" s="23">
        <v>6.3730000000000002E-7</v>
      </c>
      <c r="I118" s="23">
        <v>1.5109999999999999</v>
      </c>
      <c r="J118" s="23">
        <v>1.5109999999999999</v>
      </c>
      <c r="K118" s="23">
        <v>1.008E-2</v>
      </c>
      <c r="L118" s="23">
        <v>1.8640000000000001</v>
      </c>
      <c r="M118" s="23">
        <v>1.201E-6</v>
      </c>
      <c r="N118" s="23">
        <v>1.4989999999999999E-5</v>
      </c>
    </row>
    <row r="119" spans="2:14" x14ac:dyDescent="0.25">
      <c r="B119" s="22">
        <v>288</v>
      </c>
      <c r="C119" s="22" t="s">
        <v>49</v>
      </c>
      <c r="D119" s="22"/>
      <c r="E119" s="22">
        <v>1</v>
      </c>
      <c r="F119" s="22">
        <v>1.77</v>
      </c>
      <c r="G119" s="23">
        <v>5.6709999999999997E-5</v>
      </c>
      <c r="H119" s="23">
        <v>5.1699999999999998E-7</v>
      </c>
      <c r="I119" s="23">
        <v>1.4750000000000001</v>
      </c>
      <c r="J119" s="23">
        <v>1.4750000000000001</v>
      </c>
      <c r="K119" s="23">
        <v>1.0240000000000001E-2</v>
      </c>
      <c r="L119" s="23">
        <v>1.867</v>
      </c>
      <c r="M119" s="23">
        <v>1.145E-6</v>
      </c>
      <c r="N119" s="23">
        <v>9.3319999999999998E-6</v>
      </c>
    </row>
    <row r="120" spans="2:14" x14ac:dyDescent="0.25">
      <c r="B120" s="22">
        <v>289</v>
      </c>
      <c r="C120" s="22" t="s">
        <v>49</v>
      </c>
      <c r="D120" s="22"/>
      <c r="E120" s="22">
        <v>1</v>
      </c>
      <c r="F120" s="22">
        <v>1.857</v>
      </c>
      <c r="G120" s="23">
        <v>9.7510000000000007E-5</v>
      </c>
      <c r="H120" s="23">
        <v>6.6550000000000002E-7</v>
      </c>
      <c r="I120" s="23">
        <v>1.4810000000000001</v>
      </c>
      <c r="J120" s="23">
        <v>1.4810000000000001</v>
      </c>
      <c r="K120" s="23">
        <v>9.859999999999999E-3</v>
      </c>
      <c r="L120" s="23">
        <v>1.853</v>
      </c>
      <c r="M120" s="23">
        <v>2.5499999999999997E-6</v>
      </c>
      <c r="N120" s="23">
        <v>1.6629999999999998E-5</v>
      </c>
    </row>
    <row r="121" spans="2:14" x14ac:dyDescent="0.25">
      <c r="B121" s="22">
        <v>290</v>
      </c>
      <c r="C121" s="22" t="s">
        <v>49</v>
      </c>
      <c r="D121" s="22"/>
      <c r="E121" s="22">
        <v>1</v>
      </c>
      <c r="F121" s="22">
        <v>1.875</v>
      </c>
      <c r="G121" s="23">
        <v>4.9959999999999996E-5</v>
      </c>
      <c r="H121" s="23">
        <v>5.6450000000000006E-7</v>
      </c>
      <c r="I121" s="23">
        <v>1.514</v>
      </c>
      <c r="J121" s="23">
        <v>1.514</v>
      </c>
      <c r="K121" s="23">
        <v>9.7599999999999996E-3</v>
      </c>
      <c r="L121" s="23">
        <v>1.8919999999999999</v>
      </c>
      <c r="M121" s="23">
        <v>1.1769999999999999E-6</v>
      </c>
      <c r="N121" s="23">
        <v>8.2579999999999995E-6</v>
      </c>
    </row>
    <row r="122" spans="2:14" x14ac:dyDescent="0.25">
      <c r="B122" s="22">
        <v>291</v>
      </c>
      <c r="C122" s="22" t="s">
        <v>49</v>
      </c>
      <c r="D122" s="22"/>
      <c r="E122" s="22">
        <v>1</v>
      </c>
      <c r="F122" s="22">
        <v>1.855</v>
      </c>
      <c r="G122" s="23">
        <v>1.132E-4</v>
      </c>
      <c r="H122" s="23">
        <v>6.9310000000000009E-7</v>
      </c>
      <c r="I122" s="23">
        <v>1.4059999999999999</v>
      </c>
      <c r="J122" s="23">
        <v>1.4059999999999999</v>
      </c>
      <c r="K122" s="23">
        <v>9.5999999999999992E-3</v>
      </c>
      <c r="L122" s="23">
        <v>1.782</v>
      </c>
      <c r="M122" s="23">
        <v>4.9659999999999995E-6</v>
      </c>
      <c r="N122" s="23">
        <v>1.9039999999999997E-5</v>
      </c>
    </row>
    <row r="123" spans="2:14" x14ac:dyDescent="0.25">
      <c r="B123" s="22">
        <v>292</v>
      </c>
      <c r="C123" s="22" t="s">
        <v>49</v>
      </c>
      <c r="D123" s="22"/>
      <c r="E123" s="22">
        <v>1</v>
      </c>
      <c r="F123" s="22">
        <v>1.819</v>
      </c>
      <c r="G123" s="23">
        <v>1.144E-4</v>
      </c>
      <c r="H123" s="23">
        <v>6.7950000000000002E-7</v>
      </c>
      <c r="I123" s="23">
        <v>1.329</v>
      </c>
      <c r="J123" s="23">
        <v>1.329</v>
      </c>
      <c r="K123" s="23">
        <v>9.8200000000000006E-3</v>
      </c>
      <c r="L123" s="23">
        <v>1.677</v>
      </c>
      <c r="M123" s="23">
        <v>7.1909999999999994E-6</v>
      </c>
      <c r="N123" s="23">
        <v>2.128E-5</v>
      </c>
    </row>
    <row r="124" spans="2:14" x14ac:dyDescent="0.25">
      <c r="B124" s="22">
        <v>294</v>
      </c>
      <c r="C124" s="22" t="s">
        <v>49</v>
      </c>
      <c r="D124" s="22"/>
      <c r="E124" s="22">
        <v>1</v>
      </c>
      <c r="F124" s="22">
        <v>1.8420000000000001</v>
      </c>
      <c r="G124" s="23">
        <v>9.070999999999999E-5</v>
      </c>
      <c r="H124" s="23">
        <v>5.9870000000000009E-7</v>
      </c>
      <c r="I124" s="23">
        <v>1.3939999999999999</v>
      </c>
      <c r="J124" s="23">
        <v>1.3939999999999999</v>
      </c>
      <c r="K124" s="23">
        <v>9.7900000000000001E-3</v>
      </c>
      <c r="L124" s="23">
        <v>1.734</v>
      </c>
      <c r="M124" s="23">
        <v>2.7679999999999996E-6</v>
      </c>
      <c r="N124" s="23">
        <v>1.609E-5</v>
      </c>
    </row>
    <row r="125" spans="2:14" x14ac:dyDescent="0.25">
      <c r="B125" s="22">
        <v>300</v>
      </c>
      <c r="C125" s="22" t="s">
        <v>49</v>
      </c>
      <c r="D125" s="22"/>
      <c r="E125" s="22">
        <v>1</v>
      </c>
      <c r="F125" s="22">
        <v>1.762</v>
      </c>
      <c r="G125" s="23">
        <v>8.0129999999999993E-5</v>
      </c>
      <c r="H125" s="23">
        <v>5.5220000000000009E-7</v>
      </c>
      <c r="I125" s="23">
        <v>1.452</v>
      </c>
      <c r="J125" s="23">
        <v>1.452</v>
      </c>
      <c r="K125" s="23">
        <v>1.0369999999999999E-2</v>
      </c>
      <c r="L125" s="23">
        <v>1.831</v>
      </c>
      <c r="M125" s="23">
        <v>1.6649999999999999E-6</v>
      </c>
      <c r="N125" s="23">
        <v>1.1789999999999999E-5</v>
      </c>
    </row>
    <row r="126" spans="2:14" x14ac:dyDescent="0.25">
      <c r="B126" s="22">
        <v>306</v>
      </c>
      <c r="C126" s="22" t="s">
        <v>49</v>
      </c>
      <c r="D126" s="22"/>
      <c r="E126" s="22">
        <v>1</v>
      </c>
      <c r="F126" s="22">
        <v>1.81</v>
      </c>
      <c r="G126" s="23">
        <v>4.8600000000000002E-5</v>
      </c>
      <c r="H126" s="23">
        <v>4.4210000000000007E-7</v>
      </c>
      <c r="I126" s="23">
        <v>1.4350000000000001</v>
      </c>
      <c r="J126" s="23">
        <v>1.4350000000000001</v>
      </c>
      <c r="K126" s="23">
        <v>0.01</v>
      </c>
      <c r="L126" s="23">
        <v>1.837</v>
      </c>
      <c r="M126" s="23">
        <v>1.127E-6</v>
      </c>
      <c r="N126" s="23">
        <v>8.1479999999999989E-6</v>
      </c>
    </row>
  </sheetData>
  <sheetProtection algorithmName="SHA-512" hashValue="095FsRs7Z8/mW4VNwcpBIqTRgOFf9UkzN1osNWrRjA7MBAsNsADYoJS0Q4+YmtTG1kc/UjUSSI0WKrcLzGWyZw==" saltValue="8smvjgIzy1reQgYV6/h9+Q==" spinCount="100000" sheet="1" objects="1" scenarios="1" sort="0" autoFilter="0"/>
  <autoFilter ref="A10:N126" xr:uid="{FF8B4B03-E760-4D1D-8134-9DE644D778A2}"/>
  <mergeCells count="13">
    <mergeCell ref="A1:F1"/>
    <mergeCell ref="K1:L1"/>
    <mergeCell ref="M1:N1"/>
    <mergeCell ref="A2:B2"/>
    <mergeCell ref="C2:D2"/>
    <mergeCell ref="E2:F2"/>
    <mergeCell ref="H2:N2"/>
    <mergeCell ref="A3:B3"/>
    <mergeCell ref="C3:D3"/>
    <mergeCell ref="E3:F3"/>
    <mergeCell ref="H3:N3"/>
    <mergeCell ref="A4:G4"/>
    <mergeCell ref="H4:N4"/>
  </mergeCells>
  <conditionalFormatting sqref="A11:A53">
    <cfRule type="duplicateValues" dxfId="33" priority="10"/>
  </conditionalFormatting>
  <conditionalFormatting sqref="A3:G3">
    <cfRule type="cellIs" dxfId="32" priority="1" operator="equal">
      <formula>0</formula>
    </cfRule>
  </conditionalFormatting>
  <conditionalFormatting sqref="B10">
    <cfRule type="cellIs" dxfId="31" priority="9" operator="equal">
      <formula>"All Pass"</formula>
    </cfRule>
  </conditionalFormatting>
  <conditionalFormatting sqref="B11:B53">
    <cfRule type="duplicateValues" dxfId="30" priority="11"/>
  </conditionalFormatting>
  <conditionalFormatting sqref="C11:C1764">
    <cfRule type="containsBlanks" dxfId="29" priority="5">
      <formula>LEN(TRIM(C11))=0</formula>
    </cfRule>
    <cfRule type="cellIs" dxfId="28" priority="6" operator="equal">
      <formula>"ALL PASS"</formula>
    </cfRule>
    <cfRule type="cellIs" dxfId="27" priority="7" stopIfTrue="1" operator="equal">
      <formula>"ND"</formula>
    </cfRule>
    <cfRule type="cellIs" dxfId="26" priority="8" operator="notEqual">
      <formula>"ALL PASS"</formula>
    </cfRule>
  </conditionalFormatting>
  <conditionalFormatting sqref="E11:E1764">
    <cfRule type="cellIs" dxfId="25" priority="2" stopIfTrue="1" operator="equal">
      <formula>99</formula>
    </cfRule>
    <cfRule type="cellIs" dxfId="24" priority="3" operator="between">
      <formula>2</formula>
      <formula>98</formula>
    </cfRule>
    <cfRule type="cellIs" dxfId="23" priority="4" operator="equal">
      <formula>1</formula>
    </cfRule>
  </conditionalFormatting>
  <hyperlinks>
    <hyperlink ref="H1" location="INDEX!A1" display="RETURN TO INDEX" xr:uid="{3DA6160D-80A2-449C-8961-5132A1E2DE41}"/>
    <hyperlink ref="H1:I1" location="INDEX!A1" display="RETURN TO INDEX" xr:uid="{AC817277-D038-4E82-B814-5CD03D1766C4}"/>
    <hyperlink ref="M1" location="'SCREENING STATUS'!A1" display="SCREENING STATUS" xr:uid="{C10E1E85-913E-49FB-8BFE-30C5ACAE8937}"/>
    <hyperlink ref="J1" location="SUMMARY!A1" display="SUMMARY" xr:uid="{E7A7CB6B-BB02-4730-9154-755ECB709266}"/>
    <hyperlink ref="K1" location="'SCREENING STATUS'!A1" display="SCREENING STATUS" xr:uid="{CA6549CB-CF77-4A05-A34A-9762475D119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67CB6-43AA-4FC1-B379-BABCCCDC681D}">
  <sheetPr>
    <tabColor theme="4" tint="-0.249977111117893"/>
  </sheetPr>
  <dimension ref="A1:H129"/>
  <sheetViews>
    <sheetView zoomScale="95" zoomScaleNormal="95" workbookViewId="0">
      <pane xSplit="3" ySplit="13" topLeftCell="D14" activePane="bottomRight" state="frozen"/>
      <selection activeCell="D250" sqref="D250"/>
      <selection pane="topRight" activeCell="D250" sqref="D250"/>
      <selection pane="bottomLeft" activeCell="D250" sqref="D250"/>
      <selection pane="bottomRight" activeCell="D14" sqref="D14"/>
    </sheetView>
  </sheetViews>
  <sheetFormatPr defaultColWidth="0" defaultRowHeight="15" zeroHeight="1" x14ac:dyDescent="0.25"/>
  <cols>
    <col min="1" max="1" width="18.85546875" customWidth="1"/>
    <col min="2" max="2" width="12.28515625" style="21" customWidth="1"/>
    <col min="3" max="3" width="13.5703125" style="21" customWidth="1"/>
    <col min="4" max="4" width="5.5703125" style="21" customWidth="1"/>
    <col min="5" max="5" width="3.85546875" style="21" customWidth="1"/>
    <col min="6" max="7" width="18.85546875" customWidth="1"/>
    <col min="8" max="8" width="30.42578125" customWidth="1"/>
  </cols>
  <sheetData>
    <row r="1" spans="1:8" ht="24" x14ac:dyDescent="0.25">
      <c r="A1" s="80" t="s">
        <v>50</v>
      </c>
      <c r="B1" s="80"/>
      <c r="C1" s="80"/>
      <c r="D1" s="86" t="s">
        <v>1</v>
      </c>
      <c r="E1" s="86"/>
      <c r="F1" s="86"/>
      <c r="G1" s="86"/>
      <c r="H1" s="3" t="s">
        <v>2</v>
      </c>
    </row>
    <row r="2" spans="1:8" ht="15.75" x14ac:dyDescent="0.25">
      <c r="A2" s="75" t="s">
        <v>100</v>
      </c>
      <c r="B2" s="75"/>
      <c r="C2" s="75" t="s">
        <v>101</v>
      </c>
      <c r="D2" s="75"/>
      <c r="E2" s="75" t="s">
        <v>102</v>
      </c>
      <c r="F2" s="75"/>
      <c r="G2" s="6" t="s">
        <v>103</v>
      </c>
      <c r="H2" s="6"/>
    </row>
    <row r="3" spans="1:8" ht="23.25" customHeight="1" x14ac:dyDescent="0.25">
      <c r="A3" s="87" t="s">
        <v>104</v>
      </c>
      <c r="B3" s="87"/>
      <c r="C3" s="87" t="s">
        <v>104</v>
      </c>
      <c r="D3" s="87"/>
      <c r="E3" s="87"/>
      <c r="F3" s="87"/>
      <c r="G3" s="37">
        <v>2342</v>
      </c>
      <c r="H3" s="6"/>
    </row>
    <row r="4" spans="1:8" ht="24" x14ac:dyDescent="0.25">
      <c r="A4" s="82" t="s">
        <v>67</v>
      </c>
      <c r="B4" s="83"/>
      <c r="C4" s="83"/>
      <c r="D4" s="83"/>
      <c r="E4" s="83"/>
      <c r="F4" s="83"/>
      <c r="G4" s="83"/>
      <c r="H4" s="83"/>
    </row>
    <row r="5" spans="1:8" ht="24" x14ac:dyDescent="0.25">
      <c r="A5" s="76" t="s">
        <v>68</v>
      </c>
      <c r="B5" s="77"/>
      <c r="C5" s="77"/>
      <c r="D5" s="77"/>
      <c r="E5" s="77"/>
      <c r="F5" s="77"/>
      <c r="G5" s="77"/>
      <c r="H5" s="77"/>
    </row>
    <row r="6" spans="1:8" ht="24" x14ac:dyDescent="0.25">
      <c r="A6" s="76" t="s">
        <v>8</v>
      </c>
      <c r="B6" s="77"/>
      <c r="C6" s="77"/>
      <c r="D6" s="77"/>
      <c r="E6" s="77"/>
      <c r="F6" s="77"/>
      <c r="G6" s="77"/>
      <c r="H6" s="77"/>
    </row>
    <row r="7" spans="1:8" ht="24" x14ac:dyDescent="0.4">
      <c r="A7" s="84" t="str">
        <f>IF($B$8=$B$9,"PASS","FAIL")</f>
        <v>PASS</v>
      </c>
      <c r="B7" s="85"/>
      <c r="C7" s="85"/>
      <c r="D7" s="85"/>
      <c r="E7" s="85"/>
      <c r="F7" s="85"/>
      <c r="G7" s="85"/>
      <c r="H7" s="85"/>
    </row>
    <row r="8" spans="1:8" x14ac:dyDescent="0.25">
      <c r="A8" s="7" t="s">
        <v>9</v>
      </c>
      <c r="B8" s="8">
        <f>COUNTA(C$14:C$2000)-COUNTIF(C14:C$2000,"ND")</f>
        <v>116</v>
      </c>
      <c r="C8" s="9"/>
      <c r="D8" s="10"/>
      <c r="E8" s="10"/>
      <c r="F8" s="11"/>
      <c r="G8" s="11"/>
      <c r="H8" s="12"/>
    </row>
    <row r="9" spans="1:8" x14ac:dyDescent="0.25">
      <c r="A9" s="13" t="s">
        <v>10</v>
      </c>
      <c r="B9" s="14">
        <f>COUNTIF(C14:C$2000,"All Pass")</f>
        <v>116</v>
      </c>
      <c r="C9" s="15"/>
      <c r="D9" s="15"/>
      <c r="E9" s="15"/>
      <c r="F9" s="16" t="s">
        <v>11</v>
      </c>
      <c r="G9" s="16" t="s">
        <v>69</v>
      </c>
      <c r="H9" s="17" t="s">
        <v>70</v>
      </c>
    </row>
    <row r="10" spans="1:8" x14ac:dyDescent="0.25">
      <c r="A10" s="13" t="s">
        <v>22</v>
      </c>
      <c r="B10" s="14">
        <f>COUNTIF(C14:C$2000,"ND")</f>
        <v>0</v>
      </c>
      <c r="C10" s="15"/>
      <c r="D10" s="15"/>
      <c r="E10" s="15"/>
      <c r="F10" s="16" t="s">
        <v>23</v>
      </c>
      <c r="G10" s="16" t="s">
        <v>71</v>
      </c>
      <c r="H10" s="17" t="s">
        <v>72</v>
      </c>
    </row>
    <row r="11" spans="1:8" x14ac:dyDescent="0.25">
      <c r="A11" s="13" t="s">
        <v>31</v>
      </c>
      <c r="B11" s="14">
        <f>B8-B9</f>
        <v>0</v>
      </c>
      <c r="C11" s="15"/>
      <c r="D11" s="15"/>
      <c r="E11" s="15"/>
      <c r="F11" s="16" t="s">
        <v>32</v>
      </c>
      <c r="G11" s="16" t="s">
        <v>37</v>
      </c>
      <c r="H11" s="17" t="s">
        <v>73</v>
      </c>
    </row>
    <row r="12" spans="1:8" x14ac:dyDescent="0.25">
      <c r="A12" s="15" t="s">
        <v>43</v>
      </c>
      <c r="B12" s="15" t="s">
        <v>44</v>
      </c>
      <c r="C12" s="15" t="s">
        <v>45</v>
      </c>
      <c r="D12" s="15" t="s">
        <v>46</v>
      </c>
      <c r="E12" s="15" t="s">
        <v>47</v>
      </c>
      <c r="F12" s="16" t="s">
        <v>39</v>
      </c>
      <c r="G12" s="16"/>
      <c r="H12" s="18"/>
    </row>
    <row r="13" spans="1:8" x14ac:dyDescent="0.25">
      <c r="A13" s="28"/>
      <c r="B13" s="29"/>
      <c r="C13" s="30"/>
      <c r="D13" s="30"/>
      <c r="E13" s="31"/>
      <c r="F13" s="32"/>
      <c r="G13" s="33"/>
      <c r="H13" s="34"/>
    </row>
    <row r="14" spans="1:8" x14ac:dyDescent="0.25">
      <c r="B14" s="22">
        <v>1</v>
      </c>
      <c r="C14" s="22" t="s">
        <v>49</v>
      </c>
      <c r="D14" s="22"/>
      <c r="E14" s="22">
        <v>1</v>
      </c>
      <c r="F14" s="22">
        <v>2.7930000000000001</v>
      </c>
      <c r="G14" s="23">
        <v>1.5960000000000001</v>
      </c>
      <c r="H14" s="23">
        <v>1.5960000000000001</v>
      </c>
    </row>
    <row r="15" spans="1:8" x14ac:dyDescent="0.25">
      <c r="B15" s="22">
        <v>6</v>
      </c>
      <c r="C15" s="22" t="s">
        <v>49</v>
      </c>
      <c r="D15" s="22"/>
      <c r="E15" s="22">
        <v>1</v>
      </c>
      <c r="F15" s="22">
        <v>2.5720000000000001</v>
      </c>
      <c r="G15" s="23">
        <v>1.5980000000000001</v>
      </c>
      <c r="H15" s="23">
        <v>1.5980000000000001</v>
      </c>
    </row>
    <row r="16" spans="1:8" x14ac:dyDescent="0.25">
      <c r="B16" s="22">
        <v>10</v>
      </c>
      <c r="C16" s="22" t="s">
        <v>49</v>
      </c>
      <c r="D16" s="22"/>
      <c r="E16" s="22">
        <v>1</v>
      </c>
      <c r="F16" s="22">
        <v>2.7810000000000001</v>
      </c>
      <c r="G16" s="23">
        <v>1.575</v>
      </c>
      <c r="H16" s="23">
        <v>1.575</v>
      </c>
    </row>
    <row r="17" spans="2:8" x14ac:dyDescent="0.25">
      <c r="B17" s="22">
        <v>12</v>
      </c>
      <c r="C17" s="22" t="s">
        <v>49</v>
      </c>
      <c r="D17" s="22"/>
      <c r="E17" s="22">
        <v>1</v>
      </c>
      <c r="F17" s="22">
        <v>2.8239999999999998</v>
      </c>
      <c r="G17" s="23">
        <v>1.5660000000000001</v>
      </c>
      <c r="H17" s="23">
        <v>1.5660000000000001</v>
      </c>
    </row>
    <row r="18" spans="2:8" x14ac:dyDescent="0.25">
      <c r="B18" s="22">
        <v>14</v>
      </c>
      <c r="C18" s="22" t="s">
        <v>49</v>
      </c>
      <c r="D18" s="22"/>
      <c r="E18" s="22">
        <v>1</v>
      </c>
      <c r="F18" s="22">
        <v>2.8069999999999999</v>
      </c>
      <c r="G18" s="23">
        <v>1.5580000000000001</v>
      </c>
      <c r="H18" s="23">
        <v>1.5580000000000001</v>
      </c>
    </row>
    <row r="19" spans="2:8" x14ac:dyDescent="0.25">
      <c r="B19" s="22">
        <v>19</v>
      </c>
      <c r="C19" s="22" t="s">
        <v>49</v>
      </c>
      <c r="D19" s="22"/>
      <c r="E19" s="22">
        <v>1</v>
      </c>
      <c r="F19" s="22">
        <v>2.681</v>
      </c>
      <c r="G19" s="23">
        <v>1.5640000000000001</v>
      </c>
      <c r="H19" s="23">
        <v>1.5640000000000001</v>
      </c>
    </row>
    <row r="20" spans="2:8" x14ac:dyDescent="0.25">
      <c r="B20" s="22">
        <v>23</v>
      </c>
      <c r="C20" s="22" t="s">
        <v>49</v>
      </c>
      <c r="D20" s="22"/>
      <c r="E20" s="22">
        <v>1</v>
      </c>
      <c r="F20" s="22">
        <v>2.7850000000000001</v>
      </c>
      <c r="G20" s="23">
        <v>1.536</v>
      </c>
      <c r="H20" s="23">
        <v>1.536</v>
      </c>
    </row>
    <row r="21" spans="2:8" x14ac:dyDescent="0.25">
      <c r="B21" s="22">
        <v>25</v>
      </c>
      <c r="C21" s="22" t="s">
        <v>49</v>
      </c>
      <c r="D21" s="22"/>
      <c r="E21" s="22">
        <v>1</v>
      </c>
      <c r="F21" s="22">
        <v>2.88</v>
      </c>
      <c r="G21" s="23">
        <v>1.534</v>
      </c>
      <c r="H21" s="23">
        <v>1.534</v>
      </c>
    </row>
    <row r="22" spans="2:8" x14ac:dyDescent="0.25">
      <c r="B22" s="22">
        <v>33</v>
      </c>
      <c r="C22" s="22" t="s">
        <v>49</v>
      </c>
      <c r="D22" s="22"/>
      <c r="E22" s="22">
        <v>1</v>
      </c>
      <c r="F22" s="22">
        <v>2.9420000000000002</v>
      </c>
      <c r="G22" s="23">
        <v>1.57</v>
      </c>
      <c r="H22" s="23">
        <v>1.57</v>
      </c>
    </row>
    <row r="23" spans="2:8" x14ac:dyDescent="0.25">
      <c r="B23" s="22">
        <v>35</v>
      </c>
      <c r="C23" s="22" t="s">
        <v>49</v>
      </c>
      <c r="D23" s="22"/>
      <c r="E23" s="22">
        <v>1</v>
      </c>
      <c r="F23" s="22">
        <v>2.863</v>
      </c>
      <c r="G23" s="23">
        <v>1.587</v>
      </c>
      <c r="H23" s="23">
        <v>1.587</v>
      </c>
    </row>
    <row r="24" spans="2:8" x14ac:dyDescent="0.25">
      <c r="B24" s="22">
        <v>36</v>
      </c>
      <c r="C24" s="22" t="s">
        <v>49</v>
      </c>
      <c r="D24" s="22"/>
      <c r="E24" s="22">
        <v>1</v>
      </c>
      <c r="F24" s="22">
        <v>2.7909999999999999</v>
      </c>
      <c r="G24" s="23">
        <v>1.5609999999999999</v>
      </c>
      <c r="H24" s="23">
        <v>1.5609999999999999</v>
      </c>
    </row>
    <row r="25" spans="2:8" x14ac:dyDescent="0.25">
      <c r="B25" s="22">
        <v>37</v>
      </c>
      <c r="C25" s="22" t="s">
        <v>49</v>
      </c>
      <c r="D25" s="22"/>
      <c r="E25" s="22">
        <v>1</v>
      </c>
      <c r="F25" s="22">
        <v>2.9020000000000001</v>
      </c>
      <c r="G25" s="23">
        <v>1.5629999999999999</v>
      </c>
      <c r="H25" s="23">
        <v>1.5629999999999999</v>
      </c>
    </row>
    <row r="26" spans="2:8" x14ac:dyDescent="0.25">
      <c r="B26" s="22">
        <v>38</v>
      </c>
      <c r="C26" s="22" t="s">
        <v>49</v>
      </c>
      <c r="D26" s="22"/>
      <c r="E26" s="22">
        <v>1</v>
      </c>
      <c r="F26" s="22">
        <v>2.843</v>
      </c>
      <c r="G26" s="23">
        <v>1.575</v>
      </c>
      <c r="H26" s="23">
        <v>1.575</v>
      </c>
    </row>
    <row r="27" spans="2:8" x14ac:dyDescent="0.25">
      <c r="B27" s="22">
        <v>40</v>
      </c>
      <c r="C27" s="22" t="s">
        <v>49</v>
      </c>
      <c r="D27" s="22"/>
      <c r="E27" s="22">
        <v>1</v>
      </c>
      <c r="F27" s="22">
        <v>2.7879999999999998</v>
      </c>
      <c r="G27" s="23">
        <v>1.569</v>
      </c>
      <c r="H27" s="23">
        <v>1.569</v>
      </c>
    </row>
    <row r="28" spans="2:8" x14ac:dyDescent="0.25">
      <c r="B28" s="22">
        <v>41</v>
      </c>
      <c r="C28" s="22" t="s">
        <v>49</v>
      </c>
      <c r="D28" s="22"/>
      <c r="E28" s="22">
        <v>1</v>
      </c>
      <c r="F28" s="22">
        <v>3.0019999999999998</v>
      </c>
      <c r="G28" s="23">
        <v>1.577</v>
      </c>
      <c r="H28" s="23">
        <v>1.577</v>
      </c>
    </row>
    <row r="29" spans="2:8" x14ac:dyDescent="0.25">
      <c r="B29" s="22">
        <v>42</v>
      </c>
      <c r="C29" s="22" t="s">
        <v>49</v>
      </c>
      <c r="D29" s="22"/>
      <c r="E29" s="22">
        <v>1</v>
      </c>
      <c r="F29" s="22">
        <v>2.9689999999999999</v>
      </c>
      <c r="G29" s="23">
        <v>1.554</v>
      </c>
      <c r="H29" s="23">
        <v>1.554</v>
      </c>
    </row>
    <row r="30" spans="2:8" x14ac:dyDescent="0.25">
      <c r="B30" s="22">
        <v>44</v>
      </c>
      <c r="C30" s="22" t="s">
        <v>49</v>
      </c>
      <c r="D30" s="22"/>
      <c r="E30" s="22">
        <v>1</v>
      </c>
      <c r="F30" s="22">
        <v>2.8460000000000001</v>
      </c>
      <c r="G30" s="23">
        <v>1.591</v>
      </c>
      <c r="H30" s="23">
        <v>1.591</v>
      </c>
    </row>
    <row r="31" spans="2:8" x14ac:dyDescent="0.25">
      <c r="B31" s="22">
        <v>46</v>
      </c>
      <c r="C31" s="22" t="s">
        <v>49</v>
      </c>
      <c r="D31" s="22"/>
      <c r="E31" s="22">
        <v>1</v>
      </c>
      <c r="F31" s="22">
        <v>2.8759999999999999</v>
      </c>
      <c r="G31" s="23">
        <v>1.585</v>
      </c>
      <c r="H31" s="23">
        <v>1.585</v>
      </c>
    </row>
    <row r="32" spans="2:8" x14ac:dyDescent="0.25">
      <c r="B32" s="22">
        <v>47</v>
      </c>
      <c r="C32" s="22" t="s">
        <v>49</v>
      </c>
      <c r="D32" s="22"/>
      <c r="E32" s="22">
        <v>1</v>
      </c>
      <c r="F32" s="22">
        <v>2.7919999999999998</v>
      </c>
      <c r="G32" s="23">
        <v>1.5920000000000001</v>
      </c>
      <c r="H32" s="23">
        <v>1.5920000000000001</v>
      </c>
    </row>
    <row r="33" spans="2:8" x14ac:dyDescent="0.25">
      <c r="B33" s="22">
        <v>48</v>
      </c>
      <c r="C33" s="22" t="s">
        <v>49</v>
      </c>
      <c r="D33" s="22"/>
      <c r="E33" s="22">
        <v>1</v>
      </c>
      <c r="F33" s="22">
        <v>2.81</v>
      </c>
      <c r="G33" s="23">
        <v>1.583</v>
      </c>
      <c r="H33" s="23">
        <v>1.583</v>
      </c>
    </row>
    <row r="34" spans="2:8" x14ac:dyDescent="0.25">
      <c r="B34" s="22">
        <v>50</v>
      </c>
      <c r="C34" s="22" t="s">
        <v>49</v>
      </c>
      <c r="D34" s="22"/>
      <c r="E34" s="22">
        <v>1</v>
      </c>
      <c r="F34" s="22">
        <v>2.7970000000000002</v>
      </c>
      <c r="G34" s="23">
        <v>1.5349999999999999</v>
      </c>
      <c r="H34" s="23">
        <v>1.5349999999999999</v>
      </c>
    </row>
    <row r="35" spans="2:8" x14ac:dyDescent="0.25">
      <c r="B35" s="22">
        <v>54</v>
      </c>
      <c r="C35" s="22" t="s">
        <v>49</v>
      </c>
      <c r="D35" s="22"/>
      <c r="E35" s="22">
        <v>1</v>
      </c>
      <c r="F35" s="22">
        <v>2.9380000000000002</v>
      </c>
      <c r="G35" s="23">
        <v>1.56</v>
      </c>
      <c r="H35" s="23">
        <v>1.56</v>
      </c>
    </row>
    <row r="36" spans="2:8" x14ac:dyDescent="0.25">
      <c r="B36" s="22">
        <v>59</v>
      </c>
      <c r="C36" s="22" t="s">
        <v>49</v>
      </c>
      <c r="D36" s="22"/>
      <c r="E36" s="22">
        <v>1</v>
      </c>
      <c r="F36" s="22">
        <v>2.8559999999999999</v>
      </c>
      <c r="G36" s="23">
        <v>1.5740000000000001</v>
      </c>
      <c r="H36" s="23">
        <v>1.5740000000000001</v>
      </c>
    </row>
    <row r="37" spans="2:8" x14ac:dyDescent="0.25">
      <c r="B37" s="22">
        <v>71</v>
      </c>
      <c r="C37" s="22" t="s">
        <v>49</v>
      </c>
      <c r="D37" s="22"/>
      <c r="E37" s="22">
        <v>1</v>
      </c>
      <c r="F37" s="22">
        <v>2.9390000000000001</v>
      </c>
      <c r="G37" s="23">
        <v>1.583</v>
      </c>
      <c r="H37" s="23">
        <v>1.583</v>
      </c>
    </row>
    <row r="38" spans="2:8" x14ac:dyDescent="0.25">
      <c r="B38" s="22">
        <v>72</v>
      </c>
      <c r="C38" s="22" t="s">
        <v>49</v>
      </c>
      <c r="D38" s="22"/>
      <c r="E38" s="22">
        <v>1</v>
      </c>
      <c r="F38" s="22">
        <v>2.7839999999999998</v>
      </c>
      <c r="G38" s="23">
        <v>1.4990000000000001</v>
      </c>
      <c r="H38" s="23">
        <v>1.4990000000000001</v>
      </c>
    </row>
    <row r="39" spans="2:8" x14ac:dyDescent="0.25">
      <c r="B39" s="22">
        <v>75</v>
      </c>
      <c r="C39" s="22" t="s">
        <v>49</v>
      </c>
      <c r="D39" s="22"/>
      <c r="E39" s="22">
        <v>1</v>
      </c>
      <c r="F39" s="22">
        <v>2.79</v>
      </c>
      <c r="G39" s="23">
        <v>1.542</v>
      </c>
      <c r="H39" s="23">
        <v>1.542</v>
      </c>
    </row>
    <row r="40" spans="2:8" x14ac:dyDescent="0.25">
      <c r="B40" s="22">
        <v>76</v>
      </c>
      <c r="C40" s="22" t="s">
        <v>49</v>
      </c>
      <c r="D40" s="22"/>
      <c r="E40" s="22">
        <v>1</v>
      </c>
      <c r="F40" s="22">
        <v>2.97</v>
      </c>
      <c r="G40" s="23">
        <v>1.5409999999999999</v>
      </c>
      <c r="H40" s="23">
        <v>1.5409999999999999</v>
      </c>
    </row>
    <row r="41" spans="2:8" x14ac:dyDescent="0.25">
      <c r="B41" s="22">
        <v>83</v>
      </c>
      <c r="C41" s="22" t="s">
        <v>49</v>
      </c>
      <c r="D41" s="22"/>
      <c r="E41" s="22">
        <v>1</v>
      </c>
      <c r="F41" s="22">
        <v>0.1376</v>
      </c>
      <c r="G41" s="23">
        <v>0.996</v>
      </c>
      <c r="H41" s="23">
        <v>0.99670000000000003</v>
      </c>
    </row>
    <row r="42" spans="2:8" x14ac:dyDescent="0.25">
      <c r="B42" s="22">
        <v>87</v>
      </c>
      <c r="C42" s="22" t="s">
        <v>49</v>
      </c>
      <c r="D42" s="22"/>
      <c r="E42" s="22">
        <v>1</v>
      </c>
      <c r="F42" s="22">
        <v>2.9380000000000002</v>
      </c>
      <c r="G42" s="23">
        <v>1.5569999999999999</v>
      </c>
      <c r="H42" s="23">
        <v>1.5569999999999999</v>
      </c>
    </row>
    <row r="43" spans="2:8" x14ac:dyDescent="0.25">
      <c r="B43" s="22">
        <v>88</v>
      </c>
      <c r="C43" s="22" t="s">
        <v>49</v>
      </c>
      <c r="D43" s="22"/>
      <c r="E43" s="22">
        <v>1</v>
      </c>
      <c r="F43" s="22">
        <v>2.8679999999999999</v>
      </c>
      <c r="G43" s="23">
        <v>1.571</v>
      </c>
      <c r="H43" s="23">
        <v>1.571</v>
      </c>
    </row>
    <row r="44" spans="2:8" x14ac:dyDescent="0.25">
      <c r="B44" s="22">
        <v>90</v>
      </c>
      <c r="C44" s="22" t="s">
        <v>49</v>
      </c>
      <c r="D44" s="22"/>
      <c r="E44" s="22">
        <v>1</v>
      </c>
      <c r="F44" s="22">
        <v>2.8580000000000001</v>
      </c>
      <c r="G44" s="23">
        <v>1.4870000000000001</v>
      </c>
      <c r="H44" s="23">
        <v>1.4870000000000001</v>
      </c>
    </row>
    <row r="45" spans="2:8" x14ac:dyDescent="0.25">
      <c r="B45" s="22">
        <v>91</v>
      </c>
      <c r="C45" s="22" t="s">
        <v>49</v>
      </c>
      <c r="D45" s="22"/>
      <c r="E45" s="22">
        <v>1</v>
      </c>
      <c r="F45" s="22">
        <v>2.68</v>
      </c>
      <c r="G45" s="23">
        <v>1.544</v>
      </c>
      <c r="H45" s="23">
        <v>1.544</v>
      </c>
    </row>
    <row r="46" spans="2:8" x14ac:dyDescent="0.25">
      <c r="B46" s="22">
        <v>92</v>
      </c>
      <c r="C46" s="22" t="s">
        <v>49</v>
      </c>
      <c r="D46" s="22"/>
      <c r="E46" s="22">
        <v>1</v>
      </c>
      <c r="F46" s="22">
        <v>2.895</v>
      </c>
      <c r="G46" s="23">
        <v>1.56</v>
      </c>
      <c r="H46" s="23">
        <v>1.56</v>
      </c>
    </row>
    <row r="47" spans="2:8" x14ac:dyDescent="0.25">
      <c r="B47" s="22">
        <v>93</v>
      </c>
      <c r="C47" s="22" t="s">
        <v>49</v>
      </c>
      <c r="D47" s="22"/>
      <c r="E47" s="22">
        <v>1</v>
      </c>
      <c r="F47" s="22">
        <v>2.9180000000000001</v>
      </c>
      <c r="G47" s="23">
        <v>1.5029999999999999</v>
      </c>
      <c r="H47" s="23">
        <v>1.5029999999999999</v>
      </c>
    </row>
    <row r="48" spans="2:8" x14ac:dyDescent="0.25">
      <c r="B48" s="22">
        <v>95</v>
      </c>
      <c r="C48" s="22" t="s">
        <v>49</v>
      </c>
      <c r="D48" s="22"/>
      <c r="E48" s="22">
        <v>1</v>
      </c>
      <c r="F48" s="22">
        <v>2.8109999999999999</v>
      </c>
      <c r="G48" s="23">
        <v>1.591</v>
      </c>
      <c r="H48" s="23">
        <v>1.591</v>
      </c>
    </row>
    <row r="49" spans="2:8" x14ac:dyDescent="0.25">
      <c r="B49" s="22">
        <v>97</v>
      </c>
      <c r="C49" s="22" t="s">
        <v>49</v>
      </c>
      <c r="D49" s="22"/>
      <c r="E49" s="22">
        <v>1</v>
      </c>
      <c r="F49" s="22">
        <v>2.9169999999999998</v>
      </c>
      <c r="G49" s="23">
        <v>1.5640000000000001</v>
      </c>
      <c r="H49" s="23">
        <v>1.5640000000000001</v>
      </c>
    </row>
    <row r="50" spans="2:8" x14ac:dyDescent="0.25">
      <c r="B50" s="22">
        <v>98</v>
      </c>
      <c r="C50" s="22" t="s">
        <v>49</v>
      </c>
      <c r="D50" s="22"/>
      <c r="E50" s="22">
        <v>1</v>
      </c>
      <c r="F50" s="22">
        <v>2.91</v>
      </c>
      <c r="G50" s="23">
        <v>1.486</v>
      </c>
      <c r="H50" s="23">
        <v>1.486</v>
      </c>
    </row>
    <row r="51" spans="2:8" x14ac:dyDescent="0.25">
      <c r="B51" s="22">
        <v>106</v>
      </c>
      <c r="C51" s="22" t="s">
        <v>49</v>
      </c>
      <c r="D51" s="22"/>
      <c r="E51" s="22">
        <v>1</v>
      </c>
      <c r="F51" s="22">
        <v>2.867</v>
      </c>
      <c r="G51" s="23">
        <v>1.536</v>
      </c>
      <c r="H51" s="23">
        <v>1.536</v>
      </c>
    </row>
    <row r="52" spans="2:8" x14ac:dyDescent="0.25">
      <c r="B52" s="22">
        <v>107</v>
      </c>
      <c r="C52" s="22" t="s">
        <v>49</v>
      </c>
      <c r="D52" s="22"/>
      <c r="E52" s="22">
        <v>1</v>
      </c>
      <c r="F52" s="22">
        <v>2.8</v>
      </c>
      <c r="G52" s="23">
        <v>1.4890000000000001</v>
      </c>
      <c r="H52" s="23">
        <v>1.4890000000000001</v>
      </c>
    </row>
    <row r="53" spans="2:8" x14ac:dyDescent="0.25">
      <c r="B53" s="22">
        <v>109</v>
      </c>
      <c r="C53" s="22" t="s">
        <v>49</v>
      </c>
      <c r="D53" s="22"/>
      <c r="E53" s="22">
        <v>1</v>
      </c>
      <c r="F53" s="22">
        <v>2.915</v>
      </c>
      <c r="G53" s="23">
        <v>1.575</v>
      </c>
      <c r="H53" s="23">
        <v>1.575</v>
      </c>
    </row>
    <row r="54" spans="2:8" x14ac:dyDescent="0.25">
      <c r="B54" s="22">
        <v>113</v>
      </c>
      <c r="C54" s="22" t="s">
        <v>49</v>
      </c>
      <c r="D54" s="22"/>
      <c r="E54" s="22">
        <v>1</v>
      </c>
      <c r="F54" s="22">
        <v>2.8109999999999999</v>
      </c>
      <c r="G54" s="23">
        <v>1.5309999999999999</v>
      </c>
      <c r="H54" s="23">
        <v>1.5309999999999999</v>
      </c>
    </row>
    <row r="55" spans="2:8" x14ac:dyDescent="0.25">
      <c r="B55" s="22">
        <v>115</v>
      </c>
      <c r="C55" s="22" t="s">
        <v>49</v>
      </c>
      <c r="D55" s="22"/>
      <c r="E55" s="22">
        <v>1</v>
      </c>
      <c r="F55" s="22">
        <v>2.63</v>
      </c>
      <c r="G55" s="23">
        <v>1.58</v>
      </c>
      <c r="H55" s="23">
        <v>1.58</v>
      </c>
    </row>
    <row r="56" spans="2:8" x14ac:dyDescent="0.25">
      <c r="B56" s="22">
        <v>120</v>
      </c>
      <c r="C56" s="22" t="s">
        <v>49</v>
      </c>
      <c r="D56" s="22"/>
      <c r="E56" s="22">
        <v>1</v>
      </c>
      <c r="F56" s="22">
        <v>2.8180000000000001</v>
      </c>
      <c r="G56" s="23">
        <v>1.5189999999999999</v>
      </c>
      <c r="H56" s="23">
        <v>1.5189999999999999</v>
      </c>
    </row>
    <row r="57" spans="2:8" x14ac:dyDescent="0.25">
      <c r="B57" s="22">
        <v>122</v>
      </c>
      <c r="C57" s="22" t="s">
        <v>49</v>
      </c>
      <c r="D57" s="22"/>
      <c r="E57" s="22">
        <v>1</v>
      </c>
      <c r="F57" s="22">
        <v>2.9180000000000001</v>
      </c>
      <c r="G57" s="23">
        <v>1.5640000000000001</v>
      </c>
      <c r="H57" s="23">
        <v>1.5640000000000001</v>
      </c>
    </row>
    <row r="58" spans="2:8" x14ac:dyDescent="0.25">
      <c r="B58" s="22">
        <v>124</v>
      </c>
      <c r="C58" s="22" t="s">
        <v>49</v>
      </c>
      <c r="D58" s="22"/>
      <c r="E58" s="22">
        <v>1</v>
      </c>
      <c r="F58" s="22">
        <v>2.8959999999999999</v>
      </c>
      <c r="G58" s="23">
        <v>1.5469999999999999</v>
      </c>
      <c r="H58" s="23">
        <v>1.5469999999999999</v>
      </c>
    </row>
    <row r="59" spans="2:8" x14ac:dyDescent="0.25">
      <c r="B59" s="22">
        <v>126</v>
      </c>
      <c r="C59" s="22" t="s">
        <v>49</v>
      </c>
      <c r="D59" s="22"/>
      <c r="E59" s="22">
        <v>1</v>
      </c>
      <c r="F59" s="22">
        <v>2.8239999999999998</v>
      </c>
      <c r="G59" s="23">
        <v>1.486</v>
      </c>
      <c r="H59" s="23">
        <v>1.486</v>
      </c>
    </row>
    <row r="60" spans="2:8" x14ac:dyDescent="0.25">
      <c r="B60" s="22">
        <v>131</v>
      </c>
      <c r="C60" s="22" t="s">
        <v>49</v>
      </c>
      <c r="D60" s="22"/>
      <c r="E60" s="22">
        <v>1</v>
      </c>
      <c r="F60" s="22">
        <v>2.7970000000000002</v>
      </c>
      <c r="G60" s="23">
        <v>1.5740000000000001</v>
      </c>
      <c r="H60" s="23">
        <v>1.5740000000000001</v>
      </c>
    </row>
    <row r="61" spans="2:8" x14ac:dyDescent="0.25">
      <c r="B61" s="22">
        <v>132</v>
      </c>
      <c r="C61" s="22" t="s">
        <v>49</v>
      </c>
      <c r="D61" s="22"/>
      <c r="E61" s="22">
        <v>1</v>
      </c>
      <c r="F61" s="22">
        <v>2.6930000000000001</v>
      </c>
      <c r="G61" s="23">
        <v>1.5309999999999999</v>
      </c>
      <c r="H61" s="23">
        <v>1.5309999999999999</v>
      </c>
    </row>
    <row r="62" spans="2:8" x14ac:dyDescent="0.25">
      <c r="B62" s="22">
        <v>133</v>
      </c>
      <c r="C62" s="22" t="s">
        <v>49</v>
      </c>
      <c r="D62" s="22"/>
      <c r="E62" s="22">
        <v>1</v>
      </c>
      <c r="F62" s="22">
        <v>2.8079999999999998</v>
      </c>
      <c r="G62" s="23">
        <v>1.5109999999999999</v>
      </c>
      <c r="H62" s="23">
        <v>1.5109999999999999</v>
      </c>
    </row>
    <row r="63" spans="2:8" x14ac:dyDescent="0.25">
      <c r="B63" s="22">
        <v>135</v>
      </c>
      <c r="C63" s="22" t="s">
        <v>49</v>
      </c>
      <c r="D63" s="22"/>
      <c r="E63" s="22">
        <v>1</v>
      </c>
      <c r="F63" s="22">
        <v>2.7810000000000001</v>
      </c>
      <c r="G63" s="23">
        <v>1.486</v>
      </c>
      <c r="H63" s="23">
        <v>1.486</v>
      </c>
    </row>
    <row r="64" spans="2:8" x14ac:dyDescent="0.25">
      <c r="B64" s="22">
        <v>136</v>
      </c>
      <c r="C64" s="22" t="s">
        <v>49</v>
      </c>
      <c r="D64" s="22"/>
      <c r="E64" s="22">
        <v>1</v>
      </c>
      <c r="F64" s="22">
        <v>2.722</v>
      </c>
      <c r="G64" s="23">
        <v>1.4830000000000001</v>
      </c>
      <c r="H64" s="23">
        <v>1.4830000000000001</v>
      </c>
    </row>
    <row r="65" spans="2:8" x14ac:dyDescent="0.25">
      <c r="B65" s="22">
        <v>139</v>
      </c>
      <c r="C65" s="22" t="s">
        <v>49</v>
      </c>
      <c r="D65" s="22"/>
      <c r="E65" s="22">
        <v>1</v>
      </c>
      <c r="F65" s="22">
        <v>2.7850000000000001</v>
      </c>
      <c r="G65" s="23">
        <v>1.514</v>
      </c>
      <c r="H65" s="23">
        <v>1.514</v>
      </c>
    </row>
    <row r="66" spans="2:8" x14ac:dyDescent="0.25">
      <c r="B66" s="22">
        <v>141</v>
      </c>
      <c r="C66" s="22" t="s">
        <v>49</v>
      </c>
      <c r="D66" s="22"/>
      <c r="E66" s="22">
        <v>1</v>
      </c>
      <c r="F66" s="22">
        <v>2.96</v>
      </c>
      <c r="G66" s="23">
        <v>1.554</v>
      </c>
      <c r="H66" s="23">
        <v>1.554</v>
      </c>
    </row>
    <row r="67" spans="2:8" x14ac:dyDescent="0.25">
      <c r="B67" s="22">
        <v>143</v>
      </c>
      <c r="C67" s="22" t="s">
        <v>49</v>
      </c>
      <c r="D67" s="22"/>
      <c r="E67" s="22">
        <v>1</v>
      </c>
      <c r="F67" s="22">
        <v>2.851</v>
      </c>
      <c r="G67" s="23">
        <v>1.5640000000000001</v>
      </c>
      <c r="H67" s="23">
        <v>1.5640000000000001</v>
      </c>
    </row>
    <row r="68" spans="2:8" x14ac:dyDescent="0.25">
      <c r="B68" s="22">
        <v>145</v>
      </c>
      <c r="C68" s="22" t="s">
        <v>49</v>
      </c>
      <c r="D68" s="22"/>
      <c r="E68" s="22">
        <v>1</v>
      </c>
      <c r="F68" s="22">
        <v>2.879</v>
      </c>
      <c r="G68" s="23">
        <v>1.6040000000000001</v>
      </c>
      <c r="H68" s="23">
        <v>1.6040000000000001</v>
      </c>
    </row>
    <row r="69" spans="2:8" x14ac:dyDescent="0.25">
      <c r="B69" s="22">
        <v>147</v>
      </c>
      <c r="C69" s="22" t="s">
        <v>49</v>
      </c>
      <c r="D69" s="22"/>
      <c r="E69" s="22">
        <v>1</v>
      </c>
      <c r="F69" s="22">
        <v>2.8519999999999999</v>
      </c>
      <c r="G69" s="23">
        <v>1.5349999999999999</v>
      </c>
      <c r="H69" s="23">
        <v>1.5349999999999999</v>
      </c>
    </row>
    <row r="70" spans="2:8" x14ac:dyDescent="0.25">
      <c r="B70" s="22">
        <v>150</v>
      </c>
      <c r="C70" s="22" t="s">
        <v>49</v>
      </c>
      <c r="D70" s="22"/>
      <c r="E70" s="22">
        <v>1</v>
      </c>
      <c r="F70" s="22">
        <v>2.778</v>
      </c>
      <c r="G70" s="23">
        <v>1.5580000000000001</v>
      </c>
      <c r="H70" s="23">
        <v>1.5580000000000001</v>
      </c>
    </row>
    <row r="71" spans="2:8" x14ac:dyDescent="0.25">
      <c r="B71" s="22">
        <v>151</v>
      </c>
      <c r="C71" s="22" t="s">
        <v>49</v>
      </c>
      <c r="D71" s="22"/>
      <c r="E71" s="22">
        <v>1</v>
      </c>
      <c r="F71" s="22">
        <v>2.8980000000000001</v>
      </c>
      <c r="G71" s="23">
        <v>1.55</v>
      </c>
      <c r="H71" s="23">
        <v>1.55</v>
      </c>
    </row>
    <row r="72" spans="2:8" x14ac:dyDescent="0.25">
      <c r="B72" s="22">
        <v>152</v>
      </c>
      <c r="C72" s="22" t="s">
        <v>49</v>
      </c>
      <c r="D72" s="22"/>
      <c r="E72" s="22">
        <v>1</v>
      </c>
      <c r="F72" s="22">
        <v>3.0049999999999999</v>
      </c>
      <c r="G72" s="23">
        <v>1.516</v>
      </c>
      <c r="H72" s="23">
        <v>1.516</v>
      </c>
    </row>
    <row r="73" spans="2:8" x14ac:dyDescent="0.25">
      <c r="B73" s="22">
        <v>157</v>
      </c>
      <c r="C73" s="22" t="s">
        <v>49</v>
      </c>
      <c r="D73" s="22"/>
      <c r="E73" s="22">
        <v>1</v>
      </c>
      <c r="F73" s="22">
        <v>2.742</v>
      </c>
      <c r="G73" s="23">
        <v>1.5229999999999999</v>
      </c>
      <c r="H73" s="23">
        <v>1.5229999999999999</v>
      </c>
    </row>
    <row r="74" spans="2:8" x14ac:dyDescent="0.25">
      <c r="B74" s="22">
        <v>160</v>
      </c>
      <c r="C74" s="22" t="s">
        <v>49</v>
      </c>
      <c r="D74" s="22"/>
      <c r="E74" s="22">
        <v>1</v>
      </c>
      <c r="F74" s="22">
        <v>2.8719999999999999</v>
      </c>
      <c r="G74" s="23">
        <v>1.546</v>
      </c>
      <c r="H74" s="23">
        <v>1.546</v>
      </c>
    </row>
    <row r="75" spans="2:8" x14ac:dyDescent="0.25">
      <c r="B75" s="22">
        <v>161</v>
      </c>
      <c r="C75" s="22" t="s">
        <v>49</v>
      </c>
      <c r="D75" s="22"/>
      <c r="E75" s="22">
        <v>1</v>
      </c>
      <c r="F75" s="22">
        <v>2.8530000000000002</v>
      </c>
      <c r="G75" s="23">
        <v>1.585</v>
      </c>
      <c r="H75" s="23">
        <v>1.585</v>
      </c>
    </row>
    <row r="76" spans="2:8" x14ac:dyDescent="0.25">
      <c r="B76" s="22">
        <v>166</v>
      </c>
      <c r="C76" s="22" t="s">
        <v>49</v>
      </c>
      <c r="D76" s="22"/>
      <c r="E76" s="22">
        <v>1</v>
      </c>
      <c r="F76" s="22">
        <v>2.899</v>
      </c>
      <c r="G76" s="23">
        <v>1.5660000000000001</v>
      </c>
      <c r="H76" s="23">
        <v>1.5660000000000001</v>
      </c>
    </row>
    <row r="77" spans="2:8" x14ac:dyDescent="0.25">
      <c r="B77" s="22">
        <v>173</v>
      </c>
      <c r="C77" s="22" t="s">
        <v>49</v>
      </c>
      <c r="D77" s="22"/>
      <c r="E77" s="22">
        <v>1</v>
      </c>
      <c r="F77" s="22">
        <v>2.8980000000000001</v>
      </c>
      <c r="G77" s="23">
        <v>1.56</v>
      </c>
      <c r="H77" s="23">
        <v>1.56</v>
      </c>
    </row>
    <row r="78" spans="2:8" x14ac:dyDescent="0.25">
      <c r="B78" s="22">
        <v>177</v>
      </c>
      <c r="C78" s="22" t="s">
        <v>49</v>
      </c>
      <c r="D78" s="22"/>
      <c r="E78" s="22">
        <v>1</v>
      </c>
      <c r="F78" s="22">
        <v>2.7839999999999998</v>
      </c>
      <c r="G78" s="23">
        <v>1.5529999999999999</v>
      </c>
      <c r="H78" s="23">
        <v>1.5529999999999999</v>
      </c>
    </row>
    <row r="79" spans="2:8" x14ac:dyDescent="0.25">
      <c r="B79" s="22">
        <v>185</v>
      </c>
      <c r="C79" s="22" t="s">
        <v>49</v>
      </c>
      <c r="D79" s="22"/>
      <c r="E79" s="22">
        <v>1</v>
      </c>
      <c r="F79" s="22">
        <v>2.7309999999999999</v>
      </c>
      <c r="G79" s="23">
        <v>1.5149999999999999</v>
      </c>
      <c r="H79" s="23">
        <v>1.5149999999999999</v>
      </c>
    </row>
    <row r="80" spans="2:8" x14ac:dyDescent="0.25">
      <c r="B80" s="22">
        <v>187</v>
      </c>
      <c r="C80" s="22" t="s">
        <v>49</v>
      </c>
      <c r="D80" s="22"/>
      <c r="E80" s="22">
        <v>1</v>
      </c>
      <c r="F80" s="22">
        <v>2.9470000000000001</v>
      </c>
      <c r="G80" s="23">
        <v>1.5489999999999999</v>
      </c>
      <c r="H80" s="23">
        <v>1.5489999999999999</v>
      </c>
    </row>
    <row r="81" spans="2:8" x14ac:dyDescent="0.25">
      <c r="B81" s="22">
        <v>189</v>
      </c>
      <c r="C81" s="22" t="s">
        <v>49</v>
      </c>
      <c r="D81" s="22"/>
      <c r="E81" s="22">
        <v>1</v>
      </c>
      <c r="F81" s="22">
        <v>2.8540000000000001</v>
      </c>
      <c r="G81" s="23">
        <v>1.5660000000000001</v>
      </c>
      <c r="H81" s="23">
        <v>1.5660000000000001</v>
      </c>
    </row>
    <row r="82" spans="2:8" x14ac:dyDescent="0.25">
      <c r="B82" s="22">
        <v>192</v>
      </c>
      <c r="C82" s="22" t="s">
        <v>49</v>
      </c>
      <c r="D82" s="22"/>
      <c r="E82" s="22">
        <v>1</v>
      </c>
      <c r="F82" s="22">
        <v>2.6869999999999998</v>
      </c>
      <c r="G82" s="23">
        <v>1.528</v>
      </c>
      <c r="H82" s="23">
        <v>1.528</v>
      </c>
    </row>
    <row r="83" spans="2:8" x14ac:dyDescent="0.25">
      <c r="B83" s="22">
        <v>193</v>
      </c>
      <c r="C83" s="22" t="s">
        <v>49</v>
      </c>
      <c r="D83" s="22"/>
      <c r="E83" s="22">
        <v>1</v>
      </c>
      <c r="F83" s="22">
        <v>2.9369999999999998</v>
      </c>
      <c r="G83" s="23">
        <v>1.585</v>
      </c>
      <c r="H83" s="23">
        <v>1.585</v>
      </c>
    </row>
    <row r="84" spans="2:8" x14ac:dyDescent="0.25">
      <c r="B84" s="22">
        <v>194</v>
      </c>
      <c r="C84" s="22" t="s">
        <v>49</v>
      </c>
      <c r="D84" s="22"/>
      <c r="E84" s="22">
        <v>1</v>
      </c>
      <c r="F84" s="22">
        <v>2.8879999999999999</v>
      </c>
      <c r="G84" s="23">
        <v>1.5669999999999999</v>
      </c>
      <c r="H84" s="23">
        <v>1.5669999999999999</v>
      </c>
    </row>
    <row r="85" spans="2:8" x14ac:dyDescent="0.25">
      <c r="B85" s="22">
        <v>195</v>
      </c>
      <c r="C85" s="22" t="s">
        <v>49</v>
      </c>
      <c r="D85" s="22"/>
      <c r="E85" s="22">
        <v>1</v>
      </c>
      <c r="F85" s="22">
        <v>2.798</v>
      </c>
      <c r="G85" s="23">
        <v>1.569</v>
      </c>
      <c r="H85" s="23">
        <v>1.569</v>
      </c>
    </row>
    <row r="86" spans="2:8" x14ac:dyDescent="0.25">
      <c r="B86" s="22">
        <v>197</v>
      </c>
      <c r="C86" s="22" t="s">
        <v>49</v>
      </c>
      <c r="D86" s="22"/>
      <c r="E86" s="22">
        <v>1</v>
      </c>
      <c r="F86" s="22">
        <v>2.8239999999999998</v>
      </c>
      <c r="G86" s="23">
        <v>1.5209999999999999</v>
      </c>
      <c r="H86" s="23">
        <v>1.5209999999999999</v>
      </c>
    </row>
    <row r="87" spans="2:8" x14ac:dyDescent="0.25">
      <c r="B87" s="22">
        <v>199</v>
      </c>
      <c r="C87" s="22" t="s">
        <v>49</v>
      </c>
      <c r="D87" s="22"/>
      <c r="E87" s="22">
        <v>1</v>
      </c>
      <c r="F87" s="22">
        <v>2.8820000000000001</v>
      </c>
      <c r="G87" s="23">
        <v>1.554</v>
      </c>
      <c r="H87" s="23">
        <v>1.554</v>
      </c>
    </row>
    <row r="88" spans="2:8" x14ac:dyDescent="0.25">
      <c r="B88" s="22">
        <v>200</v>
      </c>
      <c r="C88" s="22" t="s">
        <v>49</v>
      </c>
      <c r="D88" s="22"/>
      <c r="E88" s="22">
        <v>1</v>
      </c>
      <c r="F88" s="22">
        <v>2.8719999999999999</v>
      </c>
      <c r="G88" s="23">
        <v>1.5549999999999999</v>
      </c>
      <c r="H88" s="23">
        <v>1.5549999999999999</v>
      </c>
    </row>
    <row r="89" spans="2:8" x14ac:dyDescent="0.25">
      <c r="B89" s="22">
        <v>204</v>
      </c>
      <c r="C89" s="22" t="s">
        <v>49</v>
      </c>
      <c r="D89" s="22"/>
      <c r="E89" s="22">
        <v>1</v>
      </c>
      <c r="F89" s="22">
        <v>2.9689999999999999</v>
      </c>
      <c r="G89" s="23">
        <v>1.5580000000000001</v>
      </c>
      <c r="H89" s="23">
        <v>1.5580000000000001</v>
      </c>
    </row>
    <row r="90" spans="2:8" x14ac:dyDescent="0.25">
      <c r="B90" s="22">
        <v>205</v>
      </c>
      <c r="C90" s="22" t="s">
        <v>49</v>
      </c>
      <c r="D90" s="22"/>
      <c r="E90" s="22">
        <v>1</v>
      </c>
      <c r="F90" s="22">
        <v>2.8740000000000001</v>
      </c>
      <c r="G90" s="23">
        <v>1.581</v>
      </c>
      <c r="H90" s="23">
        <v>1.581</v>
      </c>
    </row>
    <row r="91" spans="2:8" x14ac:dyDescent="0.25">
      <c r="B91" s="22">
        <v>206</v>
      </c>
      <c r="C91" s="22" t="s">
        <v>49</v>
      </c>
      <c r="D91" s="22"/>
      <c r="E91" s="22">
        <v>1</v>
      </c>
      <c r="F91" s="22">
        <v>2.82</v>
      </c>
      <c r="G91" s="23">
        <v>1.5940000000000001</v>
      </c>
      <c r="H91" s="23">
        <v>1.5940000000000001</v>
      </c>
    </row>
    <row r="92" spans="2:8" x14ac:dyDescent="0.25">
      <c r="B92" s="22">
        <v>207</v>
      </c>
      <c r="C92" s="22" t="s">
        <v>49</v>
      </c>
      <c r="D92" s="22"/>
      <c r="E92" s="22">
        <v>1</v>
      </c>
      <c r="F92" s="22">
        <v>2.843</v>
      </c>
      <c r="G92" s="23">
        <v>1.542</v>
      </c>
      <c r="H92" s="23">
        <v>1.542</v>
      </c>
    </row>
    <row r="93" spans="2:8" x14ac:dyDescent="0.25">
      <c r="B93" s="22">
        <v>214</v>
      </c>
      <c r="C93" s="22" t="s">
        <v>49</v>
      </c>
      <c r="D93" s="22"/>
      <c r="E93" s="22">
        <v>1</v>
      </c>
      <c r="F93" s="22">
        <v>2.8929999999999998</v>
      </c>
      <c r="G93" s="23">
        <v>1.571</v>
      </c>
      <c r="H93" s="23">
        <v>1.571</v>
      </c>
    </row>
    <row r="94" spans="2:8" x14ac:dyDescent="0.25">
      <c r="B94" s="22">
        <v>220</v>
      </c>
      <c r="C94" s="22" t="s">
        <v>49</v>
      </c>
      <c r="D94" s="22"/>
      <c r="E94" s="22">
        <v>1</v>
      </c>
      <c r="F94" s="22">
        <v>2.87</v>
      </c>
      <c r="G94" s="23">
        <v>1.546</v>
      </c>
      <c r="H94" s="23">
        <v>1.546</v>
      </c>
    </row>
    <row r="95" spans="2:8" x14ac:dyDescent="0.25">
      <c r="B95" s="22">
        <v>221</v>
      </c>
      <c r="C95" s="22" t="s">
        <v>49</v>
      </c>
      <c r="D95" s="22"/>
      <c r="E95" s="22">
        <v>1</v>
      </c>
      <c r="F95" s="22">
        <v>2.871</v>
      </c>
      <c r="G95" s="23">
        <v>1.5660000000000001</v>
      </c>
      <c r="H95" s="23">
        <v>1.5660000000000001</v>
      </c>
    </row>
    <row r="96" spans="2:8" x14ac:dyDescent="0.25">
      <c r="B96" s="22">
        <v>224</v>
      </c>
      <c r="C96" s="22" t="s">
        <v>49</v>
      </c>
      <c r="D96" s="22"/>
      <c r="E96" s="22">
        <v>1</v>
      </c>
      <c r="F96" s="22">
        <v>2.8820000000000001</v>
      </c>
      <c r="G96" s="23">
        <v>1.524</v>
      </c>
      <c r="H96" s="23">
        <v>1.524</v>
      </c>
    </row>
    <row r="97" spans="2:8" x14ac:dyDescent="0.25">
      <c r="B97" s="22">
        <v>226</v>
      </c>
      <c r="C97" s="22" t="s">
        <v>49</v>
      </c>
      <c r="D97" s="22"/>
      <c r="E97" s="22">
        <v>1</v>
      </c>
      <c r="F97" s="22">
        <v>2.5779999999999998</v>
      </c>
      <c r="G97" s="23">
        <v>1.546</v>
      </c>
      <c r="H97" s="23">
        <v>1.546</v>
      </c>
    </row>
    <row r="98" spans="2:8" x14ac:dyDescent="0.25">
      <c r="B98" s="22">
        <v>228</v>
      </c>
      <c r="C98" s="22" t="s">
        <v>49</v>
      </c>
      <c r="D98" s="22"/>
      <c r="E98" s="22">
        <v>1</v>
      </c>
      <c r="F98" s="22">
        <v>2.76</v>
      </c>
      <c r="G98" s="23">
        <v>1.52</v>
      </c>
      <c r="H98" s="23">
        <v>1.52</v>
      </c>
    </row>
    <row r="99" spans="2:8" x14ac:dyDescent="0.25">
      <c r="B99" s="22">
        <v>233</v>
      </c>
      <c r="C99" s="22" t="s">
        <v>49</v>
      </c>
      <c r="D99" s="22"/>
      <c r="E99" s="22">
        <v>1</v>
      </c>
      <c r="F99" s="22">
        <v>2.8929999999999998</v>
      </c>
      <c r="G99" s="23">
        <v>1.4910000000000001</v>
      </c>
      <c r="H99" s="23">
        <v>1.4910000000000001</v>
      </c>
    </row>
    <row r="100" spans="2:8" x14ac:dyDescent="0.25">
      <c r="B100" s="22">
        <v>237</v>
      </c>
      <c r="C100" s="22" t="s">
        <v>49</v>
      </c>
      <c r="D100" s="22"/>
      <c r="E100" s="22">
        <v>1</v>
      </c>
      <c r="F100" s="22">
        <v>2.7719999999999998</v>
      </c>
      <c r="G100" s="23">
        <v>1.504</v>
      </c>
      <c r="H100" s="23">
        <v>1.504</v>
      </c>
    </row>
    <row r="101" spans="2:8" x14ac:dyDescent="0.25">
      <c r="B101" s="22">
        <v>240</v>
      </c>
      <c r="C101" s="22" t="s">
        <v>49</v>
      </c>
      <c r="D101" s="22"/>
      <c r="E101" s="22">
        <v>1</v>
      </c>
      <c r="F101" s="22">
        <v>2.794</v>
      </c>
      <c r="G101" s="23">
        <v>1.58</v>
      </c>
      <c r="H101" s="23">
        <v>1.58</v>
      </c>
    </row>
    <row r="102" spans="2:8" x14ac:dyDescent="0.25">
      <c r="B102" s="22">
        <v>241</v>
      </c>
      <c r="C102" s="22" t="s">
        <v>49</v>
      </c>
      <c r="D102" s="22"/>
      <c r="E102" s="22">
        <v>1</v>
      </c>
      <c r="F102" s="22">
        <v>2.8450000000000002</v>
      </c>
      <c r="G102" s="23">
        <v>1.583</v>
      </c>
      <c r="H102" s="23">
        <v>1.583</v>
      </c>
    </row>
    <row r="103" spans="2:8" x14ac:dyDescent="0.25">
      <c r="B103" s="22">
        <v>248</v>
      </c>
      <c r="C103" s="22" t="s">
        <v>49</v>
      </c>
      <c r="D103" s="22"/>
      <c r="E103" s="22">
        <v>1</v>
      </c>
      <c r="F103" s="22">
        <v>2.9049999999999998</v>
      </c>
      <c r="G103" s="23">
        <v>1.536</v>
      </c>
      <c r="H103" s="23">
        <v>1.536</v>
      </c>
    </row>
    <row r="104" spans="2:8" x14ac:dyDescent="0.25">
      <c r="B104" s="22">
        <v>249</v>
      </c>
      <c r="C104" s="22" t="s">
        <v>49</v>
      </c>
      <c r="D104" s="22"/>
      <c r="E104" s="22">
        <v>1</v>
      </c>
      <c r="F104" s="22">
        <v>2.867</v>
      </c>
      <c r="G104" s="23">
        <v>1.5469999999999999</v>
      </c>
      <c r="H104" s="23">
        <v>1.5469999999999999</v>
      </c>
    </row>
    <row r="105" spans="2:8" x14ac:dyDescent="0.25">
      <c r="B105" s="22">
        <v>251</v>
      </c>
      <c r="C105" s="22" t="s">
        <v>49</v>
      </c>
      <c r="D105" s="22"/>
      <c r="E105" s="22">
        <v>1</v>
      </c>
      <c r="F105" s="22">
        <v>2.831</v>
      </c>
      <c r="G105" s="23">
        <v>1.603</v>
      </c>
      <c r="H105" s="23">
        <v>1.603</v>
      </c>
    </row>
    <row r="106" spans="2:8" x14ac:dyDescent="0.25">
      <c r="B106" s="22">
        <v>254</v>
      </c>
      <c r="C106" s="22" t="s">
        <v>49</v>
      </c>
      <c r="D106" s="22"/>
      <c r="E106" s="22">
        <v>1</v>
      </c>
      <c r="F106" s="22">
        <v>2.72</v>
      </c>
      <c r="G106" s="23">
        <v>1.5940000000000001</v>
      </c>
      <c r="H106" s="23">
        <v>1.5940000000000001</v>
      </c>
    </row>
    <row r="107" spans="2:8" x14ac:dyDescent="0.25">
      <c r="B107" s="22">
        <v>255</v>
      </c>
      <c r="C107" s="22" t="s">
        <v>49</v>
      </c>
      <c r="D107" s="22"/>
      <c r="E107" s="22">
        <v>1</v>
      </c>
      <c r="F107" s="22">
        <v>2.9060000000000001</v>
      </c>
      <c r="G107" s="23">
        <v>1.573</v>
      </c>
      <c r="H107" s="23">
        <v>1.573</v>
      </c>
    </row>
    <row r="108" spans="2:8" x14ac:dyDescent="0.25">
      <c r="B108" s="22">
        <v>256</v>
      </c>
      <c r="C108" s="22" t="s">
        <v>49</v>
      </c>
      <c r="D108" s="22"/>
      <c r="E108" s="22">
        <v>1</v>
      </c>
      <c r="F108" s="22">
        <v>2.8029999999999999</v>
      </c>
      <c r="G108" s="23">
        <v>1.4910000000000001</v>
      </c>
      <c r="H108" s="23">
        <v>1.4910000000000001</v>
      </c>
    </row>
    <row r="109" spans="2:8" x14ac:dyDescent="0.25">
      <c r="B109" s="22">
        <v>257</v>
      </c>
      <c r="C109" s="22" t="s">
        <v>49</v>
      </c>
      <c r="D109" s="22"/>
      <c r="E109" s="22">
        <v>1</v>
      </c>
      <c r="F109" s="22">
        <v>2.919</v>
      </c>
      <c r="G109" s="23">
        <v>1.583</v>
      </c>
      <c r="H109" s="23">
        <v>1.583</v>
      </c>
    </row>
    <row r="110" spans="2:8" x14ac:dyDescent="0.25">
      <c r="B110" s="22">
        <v>259</v>
      </c>
      <c r="C110" s="22" t="s">
        <v>49</v>
      </c>
      <c r="D110" s="22"/>
      <c r="E110" s="22">
        <v>1</v>
      </c>
      <c r="F110" s="22">
        <v>2.8679999999999999</v>
      </c>
      <c r="G110" s="23">
        <v>1.5109999999999999</v>
      </c>
      <c r="H110" s="23">
        <v>1.5109999999999999</v>
      </c>
    </row>
    <row r="111" spans="2:8" x14ac:dyDescent="0.25">
      <c r="B111" s="22">
        <v>262</v>
      </c>
      <c r="C111" s="22" t="s">
        <v>49</v>
      </c>
      <c r="D111" s="22"/>
      <c r="E111" s="22">
        <v>1</v>
      </c>
      <c r="F111" s="22">
        <v>2.823</v>
      </c>
      <c r="G111" s="23">
        <v>1.5149999999999999</v>
      </c>
      <c r="H111" s="23">
        <v>1.5149999999999999</v>
      </c>
    </row>
    <row r="112" spans="2:8" x14ac:dyDescent="0.25">
      <c r="B112" s="22">
        <v>268</v>
      </c>
      <c r="C112" s="22" t="s">
        <v>49</v>
      </c>
      <c r="D112" s="22"/>
      <c r="E112" s="22">
        <v>1</v>
      </c>
      <c r="F112" s="22">
        <v>3.1709999999999998</v>
      </c>
      <c r="G112" s="23">
        <v>1.524</v>
      </c>
      <c r="H112" s="23">
        <v>1.524</v>
      </c>
    </row>
    <row r="113" spans="2:8" x14ac:dyDescent="0.25">
      <c r="B113" s="22">
        <v>271</v>
      </c>
      <c r="C113" s="22" t="s">
        <v>49</v>
      </c>
      <c r="D113" s="22"/>
      <c r="E113" s="22">
        <v>1</v>
      </c>
      <c r="F113" s="22">
        <v>2.915</v>
      </c>
      <c r="G113" s="23">
        <v>1.56</v>
      </c>
      <c r="H113" s="23">
        <v>1.56</v>
      </c>
    </row>
    <row r="114" spans="2:8" x14ac:dyDescent="0.25">
      <c r="B114" s="22">
        <v>276</v>
      </c>
      <c r="C114" s="22" t="s">
        <v>49</v>
      </c>
      <c r="D114" s="22"/>
      <c r="E114" s="22">
        <v>1</v>
      </c>
      <c r="F114" s="22">
        <v>2.8679999999999999</v>
      </c>
      <c r="G114" s="23">
        <v>1.58</v>
      </c>
      <c r="H114" s="23">
        <v>1.58</v>
      </c>
    </row>
    <row r="115" spans="2:8" x14ac:dyDescent="0.25">
      <c r="B115" s="22">
        <v>278</v>
      </c>
      <c r="C115" s="22" t="s">
        <v>49</v>
      </c>
      <c r="D115" s="22"/>
      <c r="E115" s="22">
        <v>1</v>
      </c>
      <c r="F115" s="22">
        <v>2.8029999999999999</v>
      </c>
      <c r="G115" s="23">
        <v>1.5269999999999999</v>
      </c>
      <c r="H115" s="23">
        <v>1.5269999999999999</v>
      </c>
    </row>
    <row r="116" spans="2:8" x14ac:dyDescent="0.25">
      <c r="B116" s="22">
        <v>281</v>
      </c>
      <c r="C116" s="22" t="s">
        <v>49</v>
      </c>
      <c r="D116" s="22"/>
      <c r="E116" s="22">
        <v>1</v>
      </c>
      <c r="F116" s="22">
        <v>2.883</v>
      </c>
      <c r="G116" s="23">
        <v>1.5249999999999999</v>
      </c>
      <c r="H116" s="23">
        <v>1.5249999999999999</v>
      </c>
    </row>
    <row r="117" spans="2:8" x14ac:dyDescent="0.25">
      <c r="B117" s="22">
        <v>283</v>
      </c>
      <c r="C117" s="22" t="s">
        <v>49</v>
      </c>
      <c r="D117" s="22"/>
      <c r="E117" s="22">
        <v>1</v>
      </c>
      <c r="F117" s="22">
        <v>2.863</v>
      </c>
      <c r="G117" s="23">
        <v>1.585</v>
      </c>
      <c r="H117" s="23">
        <v>1.585</v>
      </c>
    </row>
    <row r="118" spans="2:8" x14ac:dyDescent="0.25">
      <c r="B118" s="22">
        <v>284</v>
      </c>
      <c r="C118" s="22" t="s">
        <v>49</v>
      </c>
      <c r="D118" s="22"/>
      <c r="E118" s="22">
        <v>1</v>
      </c>
      <c r="F118" s="22">
        <v>2.9049999999999998</v>
      </c>
      <c r="G118" s="23">
        <v>1.583</v>
      </c>
      <c r="H118" s="23">
        <v>1.583</v>
      </c>
    </row>
    <row r="119" spans="2:8" x14ac:dyDescent="0.25">
      <c r="B119" s="22">
        <v>285</v>
      </c>
      <c r="C119" s="22" t="s">
        <v>49</v>
      </c>
      <c r="D119" s="22"/>
      <c r="E119" s="22">
        <v>1</v>
      </c>
      <c r="F119" s="22">
        <v>2.8540000000000001</v>
      </c>
      <c r="G119" s="23">
        <v>1.506</v>
      </c>
      <c r="H119" s="23">
        <v>1.506</v>
      </c>
    </row>
    <row r="120" spans="2:8" x14ac:dyDescent="0.25">
      <c r="B120" s="22">
        <v>286</v>
      </c>
      <c r="C120" s="22" t="s">
        <v>49</v>
      </c>
      <c r="D120" s="22"/>
      <c r="E120" s="22">
        <v>1</v>
      </c>
      <c r="F120" s="22">
        <v>2.8959999999999999</v>
      </c>
      <c r="G120" s="23">
        <v>1.54</v>
      </c>
      <c r="H120" s="23">
        <v>1.54</v>
      </c>
    </row>
    <row r="121" spans="2:8" x14ac:dyDescent="0.25">
      <c r="B121" s="22">
        <v>287</v>
      </c>
      <c r="C121" s="22" t="s">
        <v>49</v>
      </c>
      <c r="D121" s="22"/>
      <c r="E121" s="22">
        <v>1</v>
      </c>
      <c r="F121" s="22">
        <v>2.8679999999999999</v>
      </c>
      <c r="G121" s="23">
        <v>1.5529999999999999</v>
      </c>
      <c r="H121" s="23">
        <v>1.5529999999999999</v>
      </c>
    </row>
    <row r="122" spans="2:8" x14ac:dyDescent="0.25">
      <c r="B122" s="22">
        <v>288</v>
      </c>
      <c r="C122" s="22" t="s">
        <v>49</v>
      </c>
      <c r="D122" s="22"/>
      <c r="E122" s="22">
        <v>1</v>
      </c>
      <c r="F122" s="22">
        <v>2.7989999999999999</v>
      </c>
      <c r="G122" s="23">
        <v>1.5429999999999999</v>
      </c>
      <c r="H122" s="23">
        <v>1.5429999999999999</v>
      </c>
    </row>
    <row r="123" spans="2:8" x14ac:dyDescent="0.25">
      <c r="B123" s="22">
        <v>289</v>
      </c>
      <c r="C123" s="22" t="s">
        <v>49</v>
      </c>
      <c r="D123" s="22"/>
      <c r="E123" s="22">
        <v>1</v>
      </c>
      <c r="F123" s="22">
        <v>2.883</v>
      </c>
      <c r="G123" s="23">
        <v>1.6020000000000001</v>
      </c>
      <c r="H123" s="23">
        <v>1.6020000000000001</v>
      </c>
    </row>
    <row r="124" spans="2:8" x14ac:dyDescent="0.25">
      <c r="B124" s="22">
        <v>290</v>
      </c>
      <c r="C124" s="22" t="s">
        <v>49</v>
      </c>
      <c r="D124" s="22"/>
      <c r="E124" s="22">
        <v>1</v>
      </c>
      <c r="F124" s="22">
        <v>2.8959999999999999</v>
      </c>
      <c r="G124" s="23">
        <v>1.5640000000000001</v>
      </c>
      <c r="H124" s="23">
        <v>1.5640000000000001</v>
      </c>
    </row>
    <row r="125" spans="2:8" x14ac:dyDescent="0.25">
      <c r="B125" s="22">
        <v>291</v>
      </c>
      <c r="C125" s="22" t="s">
        <v>49</v>
      </c>
      <c r="D125" s="22"/>
      <c r="E125" s="22">
        <v>1</v>
      </c>
      <c r="F125" s="22">
        <v>2.9289999999999998</v>
      </c>
      <c r="G125" s="23">
        <v>1.544</v>
      </c>
      <c r="H125" s="23">
        <v>1.544</v>
      </c>
    </row>
    <row r="126" spans="2:8" x14ac:dyDescent="0.25">
      <c r="B126" s="22">
        <v>292</v>
      </c>
      <c r="C126" s="22" t="s">
        <v>49</v>
      </c>
      <c r="D126" s="22"/>
      <c r="E126" s="22">
        <v>1</v>
      </c>
      <c r="F126" s="22">
        <v>2.8159999999999998</v>
      </c>
      <c r="G126" s="23">
        <v>1.478</v>
      </c>
      <c r="H126" s="23">
        <v>1.478</v>
      </c>
    </row>
    <row r="127" spans="2:8" x14ac:dyDescent="0.25">
      <c r="B127" s="22">
        <v>294</v>
      </c>
      <c r="C127" s="22" t="s">
        <v>49</v>
      </c>
      <c r="D127" s="22"/>
      <c r="E127" s="22">
        <v>1</v>
      </c>
      <c r="F127" s="22">
        <v>2.8250000000000002</v>
      </c>
      <c r="G127" s="23">
        <v>1.494</v>
      </c>
      <c r="H127" s="23">
        <v>1.494</v>
      </c>
    </row>
    <row r="128" spans="2:8" x14ac:dyDescent="0.25">
      <c r="B128" s="22">
        <v>300</v>
      </c>
      <c r="C128" s="22" t="s">
        <v>49</v>
      </c>
      <c r="D128" s="22"/>
      <c r="E128" s="22">
        <v>1</v>
      </c>
      <c r="F128" s="22">
        <v>2.794</v>
      </c>
      <c r="G128" s="23">
        <v>1.5649999999999999</v>
      </c>
      <c r="H128" s="23">
        <v>1.5649999999999999</v>
      </c>
    </row>
    <row r="129" spans="2:8" x14ac:dyDescent="0.25">
      <c r="B129" s="22">
        <v>306</v>
      </c>
      <c r="C129" s="22" t="s">
        <v>49</v>
      </c>
      <c r="D129" s="22"/>
      <c r="E129" s="22">
        <v>1</v>
      </c>
      <c r="F129" s="22">
        <v>2.7930000000000001</v>
      </c>
      <c r="G129" s="23">
        <v>1.512</v>
      </c>
      <c r="H129" s="23">
        <v>1.512</v>
      </c>
    </row>
  </sheetData>
  <sheetProtection algorithmName="SHA-512" hashValue="caBzGEuF2iUypojukcHX/zVL3QiUatBqr4v/NZxdj1EWr77cviVHeRaDBjKWhbjCj14sb0Uz0gDf/xo7IwSpRQ==" saltValue="zvR0wD/9I2iJ3XJMK3R3Mw==" spinCount="100000" sheet="1" objects="1" scenarios="1" sort="0" autoFilter="0"/>
  <autoFilter ref="A13:H129" xr:uid="{DA067CB6-43AA-4FC1-B379-BABCCCDC681D}"/>
  <mergeCells count="12">
    <mergeCell ref="A4:H4"/>
    <mergeCell ref="A5:H5"/>
    <mergeCell ref="A6:H6"/>
    <mergeCell ref="A7:H7"/>
    <mergeCell ref="A1:C1"/>
    <mergeCell ref="D1:G1"/>
    <mergeCell ref="A2:B2"/>
    <mergeCell ref="C2:D2"/>
    <mergeCell ref="E2:F2"/>
    <mergeCell ref="A3:B3"/>
    <mergeCell ref="C3:D3"/>
    <mergeCell ref="E3:F3"/>
  </mergeCells>
  <conditionalFormatting sqref="A14:A55">
    <cfRule type="duplicateValues" dxfId="22" priority="10"/>
  </conditionalFormatting>
  <conditionalFormatting sqref="A3:G3">
    <cfRule type="cellIs" dxfId="21" priority="1" operator="equal">
      <formula>0</formula>
    </cfRule>
  </conditionalFormatting>
  <conditionalFormatting sqref="B13">
    <cfRule type="cellIs" dxfId="20" priority="9" operator="equal">
      <formula>"All Pass"</formula>
    </cfRule>
  </conditionalFormatting>
  <conditionalFormatting sqref="B14:B55">
    <cfRule type="duplicateValues" dxfId="19" priority="11"/>
  </conditionalFormatting>
  <conditionalFormatting sqref="C14:C1764">
    <cfRule type="containsBlanks" dxfId="18" priority="5">
      <formula>LEN(TRIM(C14))=0</formula>
    </cfRule>
    <cfRule type="cellIs" dxfId="17" priority="6" operator="equal">
      <formula>"ALL PASS"</formula>
    </cfRule>
    <cfRule type="cellIs" dxfId="16" priority="7" stopIfTrue="1" operator="equal">
      <formula>"ND"</formula>
    </cfRule>
    <cfRule type="cellIs" dxfId="15" priority="8" operator="notEqual">
      <formula>"ALL PASS"</formula>
    </cfRule>
  </conditionalFormatting>
  <conditionalFormatting sqref="E14:E4764">
    <cfRule type="cellIs" dxfId="14" priority="2" stopIfTrue="1" operator="equal">
      <formula>99</formula>
    </cfRule>
    <cfRule type="cellIs" dxfId="13" priority="3" operator="between">
      <formula>2</formula>
      <formula>98</formula>
    </cfRule>
    <cfRule type="cellIs" dxfId="12" priority="4" operator="equal">
      <formula>1</formula>
    </cfRule>
  </conditionalFormatting>
  <hyperlinks>
    <hyperlink ref="D1" location="INDEX!A1" display="RETURN TO INDEX" xr:uid="{F26E47B7-9B2A-498A-B740-55633FA02173}"/>
    <hyperlink ref="D1:E1" location="INDEX!A1" display="RETURN TO INDEX" xr:uid="{F55E77C2-548D-455C-AE50-BBA7B3D185A1}"/>
    <hyperlink ref="H1" location="'QCI Sample Selection'!A1" display="QCI SAMPLE SELECTION" xr:uid="{7A1BB317-BD9C-4AF7-8715-0C1511CF382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90A8C-C2F6-4D0E-86E9-25066378C7F2}">
  <sheetPr>
    <tabColor theme="4" tint="-0.249977111117893"/>
    <pageSetUpPr fitToPage="1"/>
  </sheetPr>
  <dimension ref="A1:E123"/>
  <sheetViews>
    <sheetView zoomScaleNormal="100" workbookViewId="0">
      <pane xSplit="1" ySplit="9" topLeftCell="B10" activePane="bottomRight" state="frozen"/>
      <selection activeCell="D250" sqref="D250"/>
      <selection pane="topRight" activeCell="D250" sqref="D250"/>
      <selection pane="bottomLeft" activeCell="D250" sqref="D250"/>
      <selection pane="bottomRight" activeCell="B10" sqref="B10"/>
    </sheetView>
  </sheetViews>
  <sheetFormatPr defaultColWidth="0" defaultRowHeight="15" zeroHeight="1" x14ac:dyDescent="0.25"/>
  <cols>
    <col min="1" max="1" width="30.140625" customWidth="1"/>
    <col min="2" max="2" width="21" bestFit="1" customWidth="1"/>
    <col min="3" max="3" width="13.5703125" style="21" bestFit="1" customWidth="1"/>
    <col min="4" max="4" width="12" style="21" bestFit="1" customWidth="1"/>
    <col min="5" max="5" width="20" style="21" bestFit="1" customWidth="1"/>
    <col min="6" max="16384" width="9.140625" hidden="1"/>
  </cols>
  <sheetData>
    <row r="1" spans="1:5" ht="26.25" customHeight="1" x14ac:dyDescent="0.25">
      <c r="A1" s="1" t="s">
        <v>74</v>
      </c>
      <c r="B1" s="74" t="s">
        <v>1</v>
      </c>
      <c r="C1" s="74"/>
      <c r="D1" s="74" t="s">
        <v>2</v>
      </c>
      <c r="E1" s="74"/>
    </row>
    <row r="2" spans="1:5" ht="15.75" x14ac:dyDescent="0.25">
      <c r="A2" s="38" t="s">
        <v>100</v>
      </c>
      <c r="B2" s="39" t="s">
        <v>101</v>
      </c>
      <c r="C2" s="39" t="s">
        <v>102</v>
      </c>
      <c r="D2" s="39" t="s">
        <v>103</v>
      </c>
      <c r="E2" s="40"/>
    </row>
    <row r="3" spans="1:5" ht="18.75" x14ac:dyDescent="0.25">
      <c r="A3" s="41" t="s">
        <v>104</v>
      </c>
      <c r="B3" s="42" t="s">
        <v>104</v>
      </c>
      <c r="C3" s="42"/>
      <c r="D3" s="42">
        <v>2342</v>
      </c>
      <c r="E3" s="40"/>
    </row>
    <row r="4" spans="1:5" ht="27.6" customHeight="1" x14ac:dyDescent="0.35">
      <c r="A4" s="43" t="str">
        <f>"N= " &amp; COUNT($A$10:$A$123)</f>
        <v>N= 22</v>
      </c>
      <c r="B4" s="44"/>
      <c r="C4" s="45" t="s">
        <v>75</v>
      </c>
      <c r="D4" s="46"/>
      <c r="E4" s="46"/>
    </row>
    <row r="5" spans="1:5" ht="27.6" customHeight="1" x14ac:dyDescent="0.4">
      <c r="A5" s="47" t="str">
        <f>IF(COUNTIF($E$11:$E$123,"FAIL")=0,"PASS","FAIL")</f>
        <v>PASS</v>
      </c>
      <c r="B5" s="44"/>
      <c r="C5" s="48">
        <v>45300.602083333331</v>
      </c>
      <c r="D5" s="46"/>
      <c r="E5" s="46"/>
    </row>
    <row r="6" spans="1:5" ht="27.6" customHeight="1" x14ac:dyDescent="0.25">
      <c r="A6" s="49" t="s">
        <v>76</v>
      </c>
      <c r="B6" s="49" t="s">
        <v>77</v>
      </c>
      <c r="C6" s="49" t="s">
        <v>78</v>
      </c>
      <c r="D6" s="50"/>
      <c r="E6" s="51"/>
    </row>
    <row r="7" spans="1:5" ht="27.6" customHeight="1" x14ac:dyDescent="0.25">
      <c r="A7" s="49"/>
      <c r="B7" s="52" t="s">
        <v>79</v>
      </c>
      <c r="C7" s="52">
        <v>20</v>
      </c>
      <c r="D7" s="53" t="s">
        <v>80</v>
      </c>
      <c r="E7" s="51"/>
    </row>
    <row r="8" spans="1:5" ht="27.6" customHeight="1" x14ac:dyDescent="0.25">
      <c r="A8" s="54" t="s">
        <v>81</v>
      </c>
      <c r="B8" s="55">
        <v>1.45E-9</v>
      </c>
      <c r="C8" s="55">
        <v>8.9999999999999999E-10</v>
      </c>
      <c r="D8" s="55">
        <v>6E-11</v>
      </c>
      <c r="E8" s="51"/>
    </row>
    <row r="9" spans="1:5" ht="27.6" customHeight="1" x14ac:dyDescent="0.25">
      <c r="A9" s="54" t="s">
        <v>82</v>
      </c>
      <c r="B9" s="56" t="s">
        <v>83</v>
      </c>
      <c r="C9" s="56" t="s">
        <v>84</v>
      </c>
      <c r="D9" s="56" t="s">
        <v>85</v>
      </c>
      <c r="E9" s="57" t="s">
        <v>86</v>
      </c>
    </row>
    <row r="10" spans="1:5" ht="27.6" customHeight="1" x14ac:dyDescent="0.25">
      <c r="A10" s="58">
        <v>1</v>
      </c>
      <c r="B10" s="59">
        <v>1.31E-9</v>
      </c>
      <c r="C10" s="59">
        <v>7.8499999999999998E-10</v>
      </c>
      <c r="D10" s="59">
        <v>9.0899999999999994E-12</v>
      </c>
      <c r="E10" s="60" t="str">
        <f>IF(AND(B10&lt;&gt;"",B10&lt;=B$8,C10&lt;&gt;"",C10&lt;=C$8,D10&lt;&gt;"",D10&lt;=D$8),"PASS","FAIL")</f>
        <v>PASS</v>
      </c>
    </row>
    <row r="11" spans="1:5" s="62" customFormat="1" ht="27.6" customHeight="1" x14ac:dyDescent="0.25">
      <c r="A11" s="61">
        <v>2</v>
      </c>
      <c r="B11" s="59">
        <v>1.27E-9</v>
      </c>
      <c r="C11" s="59">
        <v>7.5699999999999997E-10</v>
      </c>
      <c r="D11" s="59">
        <v>8.3600000000000007E-12</v>
      </c>
      <c r="E11" s="60" t="str">
        <f t="shared" ref="E11:E31" si="0">IF(AND(B11&lt;&gt;"",B11&lt;=B$8,C11&lt;&gt;"",C11&lt;=C$8,D11&lt;&gt;"",D11&lt;=D$8),"PASS","FAIL")</f>
        <v>PASS</v>
      </c>
    </row>
    <row r="12" spans="1:5" s="62" customFormat="1" ht="27.6" customHeight="1" x14ac:dyDescent="0.25">
      <c r="A12" s="61">
        <v>3</v>
      </c>
      <c r="B12" s="59">
        <v>1.3500000000000001E-9</v>
      </c>
      <c r="C12" s="59">
        <v>7.9800000000000004E-10</v>
      </c>
      <c r="D12" s="59">
        <v>9.8199999999999998E-12</v>
      </c>
      <c r="E12" s="60" t="str">
        <f t="shared" si="0"/>
        <v>PASS</v>
      </c>
    </row>
    <row r="13" spans="1:5" s="62" customFormat="1" ht="27.6" customHeight="1" x14ac:dyDescent="0.25">
      <c r="A13" s="61">
        <v>4</v>
      </c>
      <c r="B13" s="59">
        <v>1.31E-9</v>
      </c>
      <c r="C13" s="59">
        <v>7.7600000000000001E-10</v>
      </c>
      <c r="D13" s="59">
        <v>9.4700000000000006E-12</v>
      </c>
      <c r="E13" s="60" t="str">
        <f t="shared" si="0"/>
        <v>PASS</v>
      </c>
    </row>
    <row r="14" spans="1:5" s="62" customFormat="1" ht="27.6" customHeight="1" x14ac:dyDescent="0.25">
      <c r="A14" s="61">
        <v>5</v>
      </c>
      <c r="B14" s="59">
        <v>1.3399999999999999E-9</v>
      </c>
      <c r="C14" s="59">
        <v>8.1599999999999997E-10</v>
      </c>
      <c r="D14" s="59">
        <v>1.0499999999999999E-11</v>
      </c>
      <c r="E14" s="60" t="str">
        <f t="shared" si="0"/>
        <v>PASS</v>
      </c>
    </row>
    <row r="15" spans="1:5" s="62" customFormat="1" ht="27.6" customHeight="1" x14ac:dyDescent="0.25">
      <c r="A15" s="61">
        <v>6</v>
      </c>
      <c r="B15" s="59">
        <v>1.38E-9</v>
      </c>
      <c r="C15" s="59">
        <v>8.4199999999999999E-10</v>
      </c>
      <c r="D15" s="59">
        <v>1.1300000000000001E-11</v>
      </c>
      <c r="E15" s="60" t="str">
        <f t="shared" si="0"/>
        <v>PASS</v>
      </c>
    </row>
    <row r="16" spans="1:5" s="62" customFormat="1" ht="27.6" customHeight="1" x14ac:dyDescent="0.25">
      <c r="A16" s="61">
        <v>7</v>
      </c>
      <c r="B16" s="59">
        <v>1.3600000000000001E-9</v>
      </c>
      <c r="C16" s="59">
        <v>8.09E-10</v>
      </c>
      <c r="D16" s="59">
        <v>1.0099999999999999E-11</v>
      </c>
      <c r="E16" s="60" t="str">
        <f t="shared" si="0"/>
        <v>PASS</v>
      </c>
    </row>
    <row r="17" spans="1:5" s="62" customFormat="1" ht="27.6" customHeight="1" x14ac:dyDescent="0.25">
      <c r="A17" s="61">
        <v>10</v>
      </c>
      <c r="B17" s="59">
        <v>1.33E-9</v>
      </c>
      <c r="C17" s="59">
        <v>8.0300000000000002E-10</v>
      </c>
      <c r="D17" s="59">
        <v>9.8500000000000002E-12</v>
      </c>
      <c r="E17" s="60" t="str">
        <f t="shared" si="0"/>
        <v>PASS</v>
      </c>
    </row>
    <row r="18" spans="1:5" s="62" customFormat="1" ht="27.6" customHeight="1" x14ac:dyDescent="0.25">
      <c r="A18" s="61">
        <v>11</v>
      </c>
      <c r="B18" s="59">
        <v>1.3399999999999999E-9</v>
      </c>
      <c r="C18" s="59">
        <v>8.0600000000000001E-10</v>
      </c>
      <c r="D18" s="59">
        <v>9.7700000000000006E-12</v>
      </c>
      <c r="E18" s="60" t="str">
        <f t="shared" si="0"/>
        <v>PASS</v>
      </c>
    </row>
    <row r="19" spans="1:5" s="62" customFormat="1" ht="27.6" customHeight="1" x14ac:dyDescent="0.25">
      <c r="A19" s="61">
        <v>12</v>
      </c>
      <c r="B19" s="59">
        <v>1.37E-9</v>
      </c>
      <c r="C19" s="59">
        <v>8.2800000000000004E-10</v>
      </c>
      <c r="D19" s="59">
        <v>1.1300000000000001E-11</v>
      </c>
      <c r="E19" s="60" t="str">
        <f t="shared" si="0"/>
        <v>PASS</v>
      </c>
    </row>
    <row r="20" spans="1:5" s="62" customFormat="1" ht="27.6" customHeight="1" x14ac:dyDescent="0.25">
      <c r="A20" s="61">
        <v>13</v>
      </c>
      <c r="B20" s="59">
        <v>1.3000000000000001E-9</v>
      </c>
      <c r="C20" s="59">
        <v>7.7700000000000001E-10</v>
      </c>
      <c r="D20" s="59">
        <v>9.2999999999999996E-12</v>
      </c>
      <c r="E20" s="60" t="str">
        <f t="shared" si="0"/>
        <v>PASS</v>
      </c>
    </row>
    <row r="21" spans="1:5" s="62" customFormat="1" ht="27.6" customHeight="1" x14ac:dyDescent="0.25">
      <c r="A21" s="58">
        <v>14</v>
      </c>
      <c r="B21" s="59">
        <v>1.3600000000000001E-9</v>
      </c>
      <c r="C21" s="59">
        <v>8.0600000000000001E-10</v>
      </c>
      <c r="D21" s="59">
        <v>9.9999999999999994E-12</v>
      </c>
      <c r="E21" s="60" t="str">
        <f t="shared" si="0"/>
        <v>PASS</v>
      </c>
    </row>
    <row r="22" spans="1:5" s="62" customFormat="1" ht="27.6" customHeight="1" x14ac:dyDescent="0.25">
      <c r="A22" s="61">
        <v>15</v>
      </c>
      <c r="B22" s="63">
        <v>1.3000000000000001E-9</v>
      </c>
      <c r="C22" s="63">
        <v>7.7600000000000001E-10</v>
      </c>
      <c r="D22" s="63">
        <v>8.9999999999999996E-12</v>
      </c>
      <c r="E22" s="60" t="str">
        <f t="shared" si="0"/>
        <v>PASS</v>
      </c>
    </row>
    <row r="23" spans="1:5" s="62" customFormat="1" ht="27.6" customHeight="1" x14ac:dyDescent="0.25">
      <c r="A23" s="61">
        <v>19</v>
      </c>
      <c r="B23" s="63">
        <v>1.3999999999999999E-9</v>
      </c>
      <c r="C23" s="63">
        <v>8.4399999999999998E-10</v>
      </c>
      <c r="D23" s="63">
        <v>1.2000000000000001E-11</v>
      </c>
      <c r="E23" s="60" t="str">
        <f t="shared" si="0"/>
        <v>PASS</v>
      </c>
    </row>
    <row r="24" spans="1:5" s="62" customFormat="1" ht="27.6" customHeight="1" x14ac:dyDescent="0.25">
      <c r="A24" s="61">
        <v>21</v>
      </c>
      <c r="B24" s="63">
        <v>1.37E-9</v>
      </c>
      <c r="C24" s="63">
        <v>8.1599999999999997E-10</v>
      </c>
      <c r="D24" s="63">
        <v>1.0499999999999999E-11</v>
      </c>
      <c r="E24" s="60" t="str">
        <f t="shared" si="0"/>
        <v>PASS</v>
      </c>
    </row>
    <row r="25" spans="1:5" s="62" customFormat="1" ht="27.6" customHeight="1" x14ac:dyDescent="0.25">
      <c r="A25" s="61">
        <v>22</v>
      </c>
      <c r="B25" s="63">
        <v>1.38E-9</v>
      </c>
      <c r="C25" s="63">
        <v>8.2800000000000004E-10</v>
      </c>
      <c r="D25" s="63">
        <v>1.1400000000000001E-11</v>
      </c>
      <c r="E25" s="60" t="str">
        <f t="shared" si="0"/>
        <v>PASS</v>
      </c>
    </row>
    <row r="26" spans="1:5" s="62" customFormat="1" ht="27.6" customHeight="1" x14ac:dyDescent="0.25">
      <c r="A26" s="61">
        <v>23</v>
      </c>
      <c r="B26" s="63">
        <v>1.3399999999999999E-9</v>
      </c>
      <c r="C26" s="63">
        <v>7.9299999999999995E-10</v>
      </c>
      <c r="D26" s="63">
        <v>9.6500000000000003E-12</v>
      </c>
      <c r="E26" s="60" t="str">
        <f t="shared" si="0"/>
        <v>PASS</v>
      </c>
    </row>
    <row r="27" spans="1:5" s="62" customFormat="1" ht="27.6" customHeight="1" x14ac:dyDescent="0.25">
      <c r="A27" s="61">
        <v>24</v>
      </c>
      <c r="B27" s="63">
        <v>1.3500000000000001E-9</v>
      </c>
      <c r="C27" s="63">
        <v>8.2900000000000003E-10</v>
      </c>
      <c r="D27" s="63">
        <v>1.0099999999999999E-11</v>
      </c>
      <c r="E27" s="60" t="str">
        <f t="shared" si="0"/>
        <v>PASS</v>
      </c>
    </row>
    <row r="28" spans="1:5" s="62" customFormat="1" ht="27.6" customHeight="1" x14ac:dyDescent="0.25">
      <c r="A28" s="61">
        <v>25</v>
      </c>
      <c r="B28" s="63">
        <v>1.39E-9</v>
      </c>
      <c r="C28" s="63">
        <v>8.5099999999999996E-10</v>
      </c>
      <c r="D28" s="63">
        <v>1.2200000000000001E-11</v>
      </c>
      <c r="E28" s="60" t="str">
        <f t="shared" si="0"/>
        <v>PASS</v>
      </c>
    </row>
    <row r="29" spans="1:5" s="62" customFormat="1" ht="27.6" customHeight="1" x14ac:dyDescent="0.25">
      <c r="A29" s="61">
        <v>26</v>
      </c>
      <c r="B29" s="63">
        <v>1.33E-9</v>
      </c>
      <c r="C29" s="63">
        <v>8.1099999999999999E-10</v>
      </c>
      <c r="D29" s="63">
        <v>9.8999999999999994E-12</v>
      </c>
      <c r="E29" s="60" t="str">
        <f t="shared" si="0"/>
        <v>PASS</v>
      </c>
    </row>
    <row r="30" spans="1:5" s="62" customFormat="1" ht="27.6" customHeight="1" x14ac:dyDescent="0.25">
      <c r="A30" s="61">
        <v>28</v>
      </c>
      <c r="B30" s="63">
        <v>1.33E-9</v>
      </c>
      <c r="C30" s="63">
        <v>8.1299999999999998E-10</v>
      </c>
      <c r="D30" s="63">
        <v>9.8299999999999999E-12</v>
      </c>
      <c r="E30" s="60" t="str">
        <f t="shared" si="0"/>
        <v>PASS</v>
      </c>
    </row>
    <row r="31" spans="1:5" s="62" customFormat="1" ht="27.6" customHeight="1" x14ac:dyDescent="0.25">
      <c r="A31" s="61">
        <v>29</v>
      </c>
      <c r="B31" s="63">
        <v>1.3000000000000001E-9</v>
      </c>
      <c r="C31" s="63">
        <v>7.7999999999999999E-10</v>
      </c>
      <c r="D31" s="63">
        <v>8.9799999999999993E-12</v>
      </c>
      <c r="E31" s="60" t="str">
        <f t="shared" si="0"/>
        <v>PASS</v>
      </c>
    </row>
    <row r="32" spans="1:5" s="62" customFormat="1" ht="27.6" hidden="1" customHeight="1" x14ac:dyDescent="0.25">
      <c r="A32" s="61"/>
      <c r="B32" s="63"/>
      <c r="C32" s="63"/>
      <c r="D32" s="63"/>
      <c r="E32" s="60"/>
    </row>
    <row r="33" spans="1:5" s="62" customFormat="1" ht="27.6" hidden="1" customHeight="1" x14ac:dyDescent="0.25">
      <c r="A33" s="61"/>
      <c r="B33" s="63"/>
      <c r="C33" s="63"/>
      <c r="D33" s="63"/>
      <c r="E33" s="60"/>
    </row>
    <row r="34" spans="1:5" s="62" customFormat="1" ht="27.6" hidden="1" customHeight="1" x14ac:dyDescent="0.25">
      <c r="A34" s="61"/>
      <c r="B34" s="63"/>
      <c r="C34" s="63"/>
      <c r="D34" s="63"/>
      <c r="E34" s="60"/>
    </row>
    <row r="35" spans="1:5" s="62" customFormat="1" ht="27.6" hidden="1" customHeight="1" x14ac:dyDescent="0.25">
      <c r="A35" s="61"/>
      <c r="B35" s="63"/>
      <c r="C35" s="63"/>
      <c r="D35" s="63"/>
      <c r="E35" s="60"/>
    </row>
    <row r="36" spans="1:5" s="62" customFormat="1" ht="27.6" hidden="1" customHeight="1" x14ac:dyDescent="0.25">
      <c r="A36" s="61"/>
      <c r="B36" s="63"/>
      <c r="C36" s="63"/>
      <c r="D36" s="63"/>
      <c r="E36" s="60"/>
    </row>
    <row r="37" spans="1:5" s="62" customFormat="1" ht="27.6" hidden="1" customHeight="1" x14ac:dyDescent="0.25">
      <c r="A37" s="61"/>
      <c r="B37" s="63"/>
      <c r="C37" s="63"/>
      <c r="D37" s="63"/>
      <c r="E37" s="60"/>
    </row>
    <row r="38" spans="1:5" s="62" customFormat="1" ht="27.6" hidden="1" customHeight="1" x14ac:dyDescent="0.25">
      <c r="A38" s="61"/>
      <c r="B38" s="63"/>
      <c r="C38" s="63"/>
      <c r="D38" s="63"/>
      <c r="E38" s="60"/>
    </row>
    <row r="39" spans="1:5" s="62" customFormat="1" ht="27.6" hidden="1" customHeight="1" x14ac:dyDescent="0.25">
      <c r="A39" s="61"/>
      <c r="B39" s="63"/>
      <c r="C39" s="63"/>
      <c r="D39" s="63"/>
      <c r="E39" s="60"/>
    </row>
    <row r="40" spans="1:5" s="62" customFormat="1" ht="27.6" hidden="1" customHeight="1" x14ac:dyDescent="0.25">
      <c r="A40" s="61"/>
      <c r="B40" s="63"/>
      <c r="C40" s="63"/>
      <c r="D40" s="63"/>
      <c r="E40" s="60"/>
    </row>
    <row r="41" spans="1:5" s="62" customFormat="1" ht="27.6" hidden="1" customHeight="1" x14ac:dyDescent="0.25">
      <c r="A41" s="61"/>
      <c r="B41" s="63"/>
      <c r="C41" s="63"/>
      <c r="D41" s="63"/>
      <c r="E41" s="60"/>
    </row>
    <row r="42" spans="1:5" s="62" customFormat="1" ht="27.6" hidden="1" customHeight="1" x14ac:dyDescent="0.25">
      <c r="A42" s="61"/>
      <c r="B42" s="63"/>
      <c r="C42" s="63"/>
      <c r="D42" s="63"/>
      <c r="E42" s="60"/>
    </row>
    <row r="43" spans="1:5" s="62" customFormat="1" ht="27.6" hidden="1" customHeight="1" x14ac:dyDescent="0.25">
      <c r="A43" s="61"/>
      <c r="B43" s="63"/>
      <c r="C43" s="63"/>
      <c r="D43" s="63"/>
      <c r="E43" s="60"/>
    </row>
    <row r="44" spans="1:5" s="62" customFormat="1" ht="27.6" hidden="1" customHeight="1" x14ac:dyDescent="0.25">
      <c r="A44" s="61"/>
      <c r="B44" s="63"/>
      <c r="C44" s="63"/>
      <c r="D44" s="63"/>
      <c r="E44" s="60"/>
    </row>
    <row r="45" spans="1:5" s="62" customFormat="1" ht="27.6" hidden="1" customHeight="1" x14ac:dyDescent="0.25">
      <c r="A45" s="61"/>
      <c r="B45" s="63"/>
      <c r="C45" s="63"/>
      <c r="D45" s="63"/>
      <c r="E45" s="60"/>
    </row>
    <row r="46" spans="1:5" s="62" customFormat="1" ht="27.6" hidden="1" customHeight="1" x14ac:dyDescent="0.25">
      <c r="A46" s="61"/>
      <c r="B46" s="63"/>
      <c r="C46" s="63"/>
      <c r="D46" s="63"/>
      <c r="E46" s="60"/>
    </row>
    <row r="47" spans="1:5" s="62" customFormat="1" ht="27.6" hidden="1" customHeight="1" x14ac:dyDescent="0.25">
      <c r="A47" s="61"/>
      <c r="B47" s="63"/>
      <c r="C47" s="63"/>
      <c r="D47" s="63"/>
      <c r="E47" s="60"/>
    </row>
    <row r="48" spans="1:5" s="62" customFormat="1" ht="27.6" hidden="1" customHeight="1" x14ac:dyDescent="0.25">
      <c r="A48" s="61"/>
      <c r="B48" s="63"/>
      <c r="C48" s="63"/>
      <c r="D48" s="63"/>
      <c r="E48" s="60"/>
    </row>
    <row r="49" spans="1:5" s="62" customFormat="1" ht="27.6" hidden="1" customHeight="1" x14ac:dyDescent="0.25">
      <c r="A49" s="61"/>
      <c r="B49" s="63"/>
      <c r="C49" s="63"/>
      <c r="D49" s="63"/>
      <c r="E49" s="60"/>
    </row>
    <row r="50" spans="1:5" s="62" customFormat="1" ht="27.6" hidden="1" customHeight="1" x14ac:dyDescent="0.25">
      <c r="A50" s="61"/>
      <c r="B50" s="63"/>
      <c r="C50" s="63"/>
      <c r="D50" s="63"/>
      <c r="E50" s="60"/>
    </row>
    <row r="51" spans="1:5" s="62" customFormat="1" ht="27.6" hidden="1" customHeight="1" x14ac:dyDescent="0.25">
      <c r="A51" s="61"/>
      <c r="B51" s="63"/>
      <c r="C51" s="63"/>
      <c r="D51" s="63"/>
      <c r="E51" s="60"/>
    </row>
    <row r="52" spans="1:5" s="62" customFormat="1" ht="27.6" hidden="1" customHeight="1" x14ac:dyDescent="0.25">
      <c r="A52" s="61"/>
      <c r="B52" s="63"/>
      <c r="C52" s="63"/>
      <c r="D52" s="63"/>
      <c r="E52" s="60"/>
    </row>
    <row r="53" spans="1:5" s="62" customFormat="1" ht="27.6" hidden="1" customHeight="1" x14ac:dyDescent="0.25">
      <c r="A53" s="61"/>
      <c r="B53" s="63"/>
      <c r="C53" s="63"/>
      <c r="D53" s="63"/>
      <c r="E53" s="60"/>
    </row>
    <row r="54" spans="1:5" s="62" customFormat="1" ht="27.6" hidden="1" customHeight="1" x14ac:dyDescent="0.25">
      <c r="A54" s="61"/>
      <c r="B54" s="63"/>
      <c r="C54" s="63"/>
      <c r="D54" s="63"/>
      <c r="E54" s="60"/>
    </row>
    <row r="55" spans="1:5" s="62" customFormat="1" ht="27.6" hidden="1" customHeight="1" x14ac:dyDescent="0.25">
      <c r="A55" s="64"/>
      <c r="B55" s="65"/>
      <c r="C55" s="65"/>
      <c r="D55" s="65"/>
      <c r="E55" s="60"/>
    </row>
    <row r="56" spans="1:5" s="66" customFormat="1" ht="27.6" hidden="1" customHeight="1" x14ac:dyDescent="0.25">
      <c r="A56" s="64"/>
      <c r="B56" s="65"/>
      <c r="C56" s="65"/>
      <c r="D56" s="65"/>
      <c r="E56" s="60"/>
    </row>
    <row r="57" spans="1:5" s="66" customFormat="1" ht="27.6" hidden="1" customHeight="1" x14ac:dyDescent="0.25">
      <c r="A57" s="64"/>
      <c r="B57" s="65"/>
      <c r="C57" s="65"/>
      <c r="D57" s="65"/>
      <c r="E57" s="60"/>
    </row>
    <row r="58" spans="1:5" s="66" customFormat="1" ht="27.6" hidden="1" customHeight="1" x14ac:dyDescent="0.25">
      <c r="A58" s="64"/>
      <c r="B58" s="65"/>
      <c r="C58" s="65"/>
      <c r="D58" s="65"/>
      <c r="E58" s="60"/>
    </row>
    <row r="59" spans="1:5" s="66" customFormat="1" ht="27.6" hidden="1" customHeight="1" x14ac:dyDescent="0.25">
      <c r="A59" s="64"/>
      <c r="B59" s="65"/>
      <c r="C59" s="65"/>
      <c r="D59" s="65"/>
      <c r="E59" s="60"/>
    </row>
    <row r="60" spans="1:5" s="66" customFormat="1" ht="27.6" hidden="1" customHeight="1" x14ac:dyDescent="0.25">
      <c r="A60" s="64"/>
      <c r="B60" s="65"/>
      <c r="C60" s="65"/>
      <c r="D60" s="65"/>
      <c r="E60" s="60"/>
    </row>
    <row r="61" spans="1:5" s="66" customFormat="1" ht="27.6" hidden="1" customHeight="1" x14ac:dyDescent="0.25">
      <c r="A61" s="64"/>
      <c r="B61" s="65"/>
      <c r="C61" s="65"/>
      <c r="D61" s="65"/>
      <c r="E61" s="60"/>
    </row>
    <row r="62" spans="1:5" s="66" customFormat="1" ht="27.6" hidden="1" customHeight="1" x14ac:dyDescent="0.25">
      <c r="A62" s="64"/>
      <c r="B62" s="65"/>
      <c r="C62" s="65"/>
      <c r="D62" s="65"/>
      <c r="E62" s="60"/>
    </row>
    <row r="63" spans="1:5" s="66" customFormat="1" ht="27.6" hidden="1" customHeight="1" x14ac:dyDescent="0.25">
      <c r="A63" s="64"/>
      <c r="B63" s="65"/>
      <c r="C63" s="65"/>
      <c r="D63" s="65"/>
      <c r="E63" s="60"/>
    </row>
    <row r="64" spans="1:5" s="66" customFormat="1" ht="27.6" hidden="1" customHeight="1" x14ac:dyDescent="0.25">
      <c r="A64" s="64"/>
      <c r="B64" s="65"/>
      <c r="C64" s="65"/>
      <c r="D64" s="65"/>
      <c r="E64" s="60"/>
    </row>
    <row r="65" spans="1:5" s="66" customFormat="1" ht="27.6" hidden="1" customHeight="1" x14ac:dyDescent="0.25">
      <c r="A65" s="64"/>
      <c r="B65" s="65"/>
      <c r="C65" s="65"/>
      <c r="D65" s="65"/>
      <c r="E65" s="60"/>
    </row>
    <row r="66" spans="1:5" s="66" customFormat="1" ht="27.6" hidden="1" customHeight="1" x14ac:dyDescent="0.25">
      <c r="A66" s="64"/>
      <c r="B66" s="65"/>
      <c r="C66" s="65"/>
      <c r="D66" s="65"/>
      <c r="E66" s="60"/>
    </row>
    <row r="67" spans="1:5" s="66" customFormat="1" ht="27.6" hidden="1" customHeight="1" x14ac:dyDescent="0.25">
      <c r="A67" s="64"/>
      <c r="B67" s="65"/>
      <c r="C67" s="65"/>
      <c r="D67" s="65"/>
      <c r="E67" s="60"/>
    </row>
    <row r="68" spans="1:5" s="66" customFormat="1" ht="27.6" hidden="1" customHeight="1" x14ac:dyDescent="0.25">
      <c r="A68" s="64"/>
      <c r="B68" s="65"/>
      <c r="C68" s="65"/>
      <c r="D68" s="65"/>
      <c r="E68" s="60"/>
    </row>
    <row r="69" spans="1:5" s="66" customFormat="1" ht="27.6" hidden="1" customHeight="1" x14ac:dyDescent="0.25">
      <c r="A69" s="64"/>
      <c r="B69" s="65"/>
      <c r="C69" s="65"/>
      <c r="D69" s="65"/>
      <c r="E69" s="60"/>
    </row>
    <row r="70" spans="1:5" s="66" customFormat="1" ht="27.6" hidden="1" customHeight="1" x14ac:dyDescent="0.25">
      <c r="A70" s="64"/>
      <c r="B70" s="65"/>
      <c r="C70" s="65"/>
      <c r="D70" s="65"/>
      <c r="E70" s="60"/>
    </row>
    <row r="71" spans="1:5" s="66" customFormat="1" ht="27.6" hidden="1" customHeight="1" x14ac:dyDescent="0.25">
      <c r="A71" s="64"/>
      <c r="B71" s="65"/>
      <c r="C71" s="65"/>
      <c r="D71" s="65"/>
      <c r="E71" s="60"/>
    </row>
    <row r="72" spans="1:5" s="66" customFormat="1" ht="27.6" hidden="1" customHeight="1" x14ac:dyDescent="0.25">
      <c r="A72" s="64"/>
      <c r="B72" s="65"/>
      <c r="C72" s="65"/>
      <c r="D72" s="65"/>
      <c r="E72" s="60"/>
    </row>
    <row r="73" spans="1:5" s="66" customFormat="1" ht="27.6" hidden="1" customHeight="1" x14ac:dyDescent="0.25">
      <c r="A73" s="64"/>
      <c r="B73" s="65"/>
      <c r="C73" s="65"/>
      <c r="D73" s="65"/>
      <c r="E73" s="60"/>
    </row>
    <row r="74" spans="1:5" s="66" customFormat="1" ht="27.6" hidden="1" customHeight="1" x14ac:dyDescent="0.25">
      <c r="A74" s="64"/>
      <c r="B74" s="65"/>
      <c r="C74" s="65"/>
      <c r="D74" s="65"/>
      <c r="E74" s="60"/>
    </row>
    <row r="75" spans="1:5" s="66" customFormat="1" ht="27.6" hidden="1" customHeight="1" x14ac:dyDescent="0.25">
      <c r="A75" s="64"/>
      <c r="B75" s="65"/>
      <c r="C75" s="65"/>
      <c r="D75" s="65"/>
      <c r="E75" s="60"/>
    </row>
    <row r="76" spans="1:5" s="66" customFormat="1" ht="27.6" hidden="1" customHeight="1" x14ac:dyDescent="0.25">
      <c r="A76" s="64"/>
      <c r="B76" s="65"/>
      <c r="C76" s="65"/>
      <c r="D76" s="65"/>
      <c r="E76" s="60"/>
    </row>
    <row r="77" spans="1:5" s="66" customFormat="1" ht="27.6" hidden="1" customHeight="1" x14ac:dyDescent="0.25">
      <c r="A77" s="64"/>
      <c r="B77" s="65"/>
      <c r="C77" s="65"/>
      <c r="D77" s="65"/>
      <c r="E77" s="60"/>
    </row>
    <row r="78" spans="1:5" s="66" customFormat="1" ht="27.6" hidden="1" customHeight="1" x14ac:dyDescent="0.25">
      <c r="A78" s="64"/>
      <c r="B78" s="65"/>
      <c r="C78" s="65"/>
      <c r="D78" s="65"/>
      <c r="E78" s="60"/>
    </row>
    <row r="79" spans="1:5" s="66" customFormat="1" ht="27.6" hidden="1" customHeight="1" x14ac:dyDescent="0.25">
      <c r="A79" s="64"/>
      <c r="B79" s="65"/>
      <c r="C79" s="65"/>
      <c r="D79" s="65"/>
      <c r="E79" s="60"/>
    </row>
    <row r="80" spans="1:5" s="66" customFormat="1" ht="27.6" hidden="1" customHeight="1" x14ac:dyDescent="0.25">
      <c r="A80" s="64"/>
      <c r="B80" s="65"/>
      <c r="C80" s="65"/>
      <c r="D80" s="65"/>
      <c r="E80" s="60"/>
    </row>
    <row r="81" spans="1:5" s="66" customFormat="1" ht="27.6" hidden="1" customHeight="1" x14ac:dyDescent="0.25">
      <c r="A81" s="64"/>
      <c r="B81" s="65"/>
      <c r="C81" s="65"/>
      <c r="D81" s="65"/>
      <c r="E81" s="60"/>
    </row>
    <row r="82" spans="1:5" s="66" customFormat="1" ht="27.6" hidden="1" customHeight="1" x14ac:dyDescent="0.25">
      <c r="A82" s="64"/>
      <c r="B82" s="65"/>
      <c r="C82" s="65"/>
      <c r="D82" s="65"/>
      <c r="E82" s="60"/>
    </row>
    <row r="83" spans="1:5" s="66" customFormat="1" ht="27.6" hidden="1" customHeight="1" x14ac:dyDescent="0.25">
      <c r="A83" s="64"/>
      <c r="B83" s="65"/>
      <c r="C83" s="65"/>
      <c r="D83" s="65"/>
      <c r="E83" s="60"/>
    </row>
    <row r="84" spans="1:5" s="66" customFormat="1" ht="27.6" hidden="1" customHeight="1" x14ac:dyDescent="0.25">
      <c r="A84" s="64"/>
      <c r="B84" s="65"/>
      <c r="C84" s="65"/>
      <c r="D84" s="65"/>
      <c r="E84" s="60"/>
    </row>
    <row r="85" spans="1:5" s="66" customFormat="1" ht="27.6" hidden="1" customHeight="1" x14ac:dyDescent="0.25">
      <c r="A85" s="64"/>
      <c r="B85" s="65"/>
      <c r="C85" s="65"/>
      <c r="D85" s="65"/>
      <c r="E85" s="60"/>
    </row>
    <row r="86" spans="1:5" s="66" customFormat="1" ht="27.6" hidden="1" customHeight="1" x14ac:dyDescent="0.25">
      <c r="A86" s="64"/>
      <c r="B86" s="65"/>
      <c r="C86" s="65"/>
      <c r="D86" s="65"/>
      <c r="E86" s="60"/>
    </row>
    <row r="87" spans="1:5" s="66" customFormat="1" ht="27.6" hidden="1" customHeight="1" x14ac:dyDescent="0.25">
      <c r="A87" s="64"/>
      <c r="B87" s="65"/>
      <c r="C87" s="65"/>
      <c r="D87" s="65"/>
      <c r="E87" s="60"/>
    </row>
    <row r="88" spans="1:5" s="66" customFormat="1" ht="27.6" hidden="1" customHeight="1" x14ac:dyDescent="0.25">
      <c r="A88" s="64"/>
      <c r="B88" s="65"/>
      <c r="C88" s="65"/>
      <c r="D88" s="65"/>
      <c r="E88" s="60"/>
    </row>
    <row r="89" spans="1:5" s="66" customFormat="1" ht="27.6" hidden="1" customHeight="1" x14ac:dyDescent="0.25">
      <c r="A89" s="64"/>
      <c r="B89" s="65"/>
      <c r="C89" s="65"/>
      <c r="D89" s="65"/>
      <c r="E89" s="60"/>
    </row>
    <row r="90" spans="1:5" s="66" customFormat="1" ht="27.6" hidden="1" customHeight="1" x14ac:dyDescent="0.25">
      <c r="A90" s="64"/>
      <c r="B90" s="65"/>
      <c r="C90" s="65"/>
      <c r="D90" s="65"/>
      <c r="E90" s="60"/>
    </row>
    <row r="91" spans="1:5" s="66" customFormat="1" ht="27.6" hidden="1" customHeight="1" x14ac:dyDescent="0.25">
      <c r="A91" s="64"/>
      <c r="B91" s="65"/>
      <c r="C91" s="65"/>
      <c r="D91" s="65"/>
      <c r="E91" s="60"/>
    </row>
    <row r="92" spans="1:5" s="66" customFormat="1" ht="27.6" hidden="1" customHeight="1" x14ac:dyDescent="0.25">
      <c r="A92" s="64"/>
      <c r="B92" s="65"/>
      <c r="C92" s="65"/>
      <c r="D92" s="65"/>
      <c r="E92" s="60"/>
    </row>
    <row r="93" spans="1:5" s="66" customFormat="1" ht="27.6" hidden="1" customHeight="1" x14ac:dyDescent="0.25">
      <c r="A93" s="64"/>
      <c r="B93" s="65"/>
      <c r="C93" s="65"/>
      <c r="D93" s="65"/>
      <c r="E93" s="60"/>
    </row>
    <row r="94" spans="1:5" s="66" customFormat="1" ht="27.6" hidden="1" customHeight="1" x14ac:dyDescent="0.25">
      <c r="A94" s="64"/>
      <c r="B94" s="65"/>
      <c r="C94" s="65"/>
      <c r="D94" s="65"/>
      <c r="E94" s="60"/>
    </row>
    <row r="95" spans="1:5" s="66" customFormat="1" ht="27.6" hidden="1" customHeight="1" x14ac:dyDescent="0.25">
      <c r="A95" s="64"/>
      <c r="B95" s="65"/>
      <c r="C95" s="65"/>
      <c r="D95" s="65"/>
      <c r="E95" s="60"/>
    </row>
    <row r="96" spans="1:5" s="66" customFormat="1" ht="27.6" hidden="1" customHeight="1" x14ac:dyDescent="0.25">
      <c r="A96" s="64"/>
      <c r="B96" s="65"/>
      <c r="C96" s="65"/>
      <c r="D96" s="65"/>
      <c r="E96" s="60"/>
    </row>
    <row r="97" spans="1:5" s="66" customFormat="1" ht="27.6" hidden="1" customHeight="1" x14ac:dyDescent="0.25">
      <c r="A97" s="64"/>
      <c r="B97" s="65"/>
      <c r="C97" s="65"/>
      <c r="D97" s="65"/>
      <c r="E97" s="60"/>
    </row>
    <row r="98" spans="1:5" s="66" customFormat="1" ht="27.6" hidden="1" customHeight="1" x14ac:dyDescent="0.25">
      <c r="A98" s="64"/>
      <c r="B98" s="65"/>
      <c r="C98" s="65"/>
      <c r="D98" s="65"/>
      <c r="E98" s="60"/>
    </row>
    <row r="99" spans="1:5" s="66" customFormat="1" ht="27.6" hidden="1" customHeight="1" x14ac:dyDescent="0.25">
      <c r="A99" s="64"/>
      <c r="B99" s="65"/>
      <c r="C99" s="65"/>
      <c r="D99" s="65"/>
      <c r="E99" s="60"/>
    </row>
    <row r="100" spans="1:5" s="66" customFormat="1" ht="27.6" hidden="1" customHeight="1" x14ac:dyDescent="0.25">
      <c r="A100" s="64"/>
      <c r="B100" s="65"/>
      <c r="C100" s="65"/>
      <c r="D100" s="65"/>
      <c r="E100" s="60"/>
    </row>
    <row r="101" spans="1:5" s="66" customFormat="1" ht="27.6" hidden="1" customHeight="1" x14ac:dyDescent="0.25">
      <c r="A101" s="64"/>
      <c r="B101" s="65"/>
      <c r="C101" s="65"/>
      <c r="D101" s="65"/>
      <c r="E101" s="60"/>
    </row>
    <row r="102" spans="1:5" s="66" customFormat="1" ht="27.6" hidden="1" customHeight="1" x14ac:dyDescent="0.25">
      <c r="A102" s="64"/>
      <c r="B102" s="65"/>
      <c r="C102" s="65"/>
      <c r="D102" s="65"/>
      <c r="E102" s="60"/>
    </row>
    <row r="103" spans="1:5" s="66" customFormat="1" ht="27.6" hidden="1" customHeight="1" x14ac:dyDescent="0.25">
      <c r="A103" s="64"/>
      <c r="B103" s="65"/>
      <c r="C103" s="65"/>
      <c r="D103" s="65"/>
      <c r="E103" s="60"/>
    </row>
    <row r="104" spans="1:5" s="66" customFormat="1" ht="27.6" hidden="1" customHeight="1" x14ac:dyDescent="0.25">
      <c r="A104" s="64"/>
      <c r="B104" s="65"/>
      <c r="C104" s="65"/>
      <c r="D104" s="65"/>
      <c r="E104" s="60"/>
    </row>
    <row r="105" spans="1:5" s="66" customFormat="1" ht="27.6" hidden="1" customHeight="1" x14ac:dyDescent="0.25">
      <c r="A105" s="64"/>
      <c r="B105" s="65"/>
      <c r="C105" s="65"/>
      <c r="D105" s="65"/>
      <c r="E105" s="60"/>
    </row>
    <row r="106" spans="1:5" s="66" customFormat="1" ht="27.6" hidden="1" customHeight="1" x14ac:dyDescent="0.25">
      <c r="A106" s="64"/>
      <c r="B106" s="65"/>
      <c r="C106" s="65"/>
      <c r="D106" s="65"/>
      <c r="E106" s="60"/>
    </row>
    <row r="107" spans="1:5" s="66" customFormat="1" ht="27.6" hidden="1" customHeight="1" x14ac:dyDescent="0.25">
      <c r="A107" s="64"/>
      <c r="B107" s="65"/>
      <c r="C107" s="65"/>
      <c r="D107" s="65"/>
      <c r="E107" s="60"/>
    </row>
    <row r="108" spans="1:5" s="66" customFormat="1" ht="27.6" hidden="1" customHeight="1" x14ac:dyDescent="0.25">
      <c r="A108" s="64"/>
      <c r="B108" s="65"/>
      <c r="C108" s="65"/>
      <c r="D108" s="65"/>
      <c r="E108" s="60"/>
    </row>
    <row r="109" spans="1:5" s="66" customFormat="1" ht="27.6" hidden="1" customHeight="1" x14ac:dyDescent="0.25">
      <c r="A109" s="64"/>
      <c r="B109" s="65"/>
      <c r="C109" s="65"/>
      <c r="D109" s="65"/>
      <c r="E109" s="60"/>
    </row>
    <row r="110" spans="1:5" s="66" customFormat="1" ht="27.6" hidden="1" customHeight="1" x14ac:dyDescent="0.25">
      <c r="A110" s="64"/>
      <c r="B110" s="65"/>
      <c r="C110" s="65"/>
      <c r="D110" s="65"/>
      <c r="E110" s="60"/>
    </row>
    <row r="111" spans="1:5" s="66" customFormat="1" ht="27.6" hidden="1" customHeight="1" x14ac:dyDescent="0.25">
      <c r="A111" s="64"/>
      <c r="B111" s="65"/>
      <c r="C111" s="65"/>
      <c r="D111" s="65"/>
      <c r="E111" s="60"/>
    </row>
    <row r="112" spans="1:5" s="66" customFormat="1" ht="27.6" hidden="1" customHeight="1" x14ac:dyDescent="0.25">
      <c r="A112" s="64"/>
      <c r="B112" s="65"/>
      <c r="C112" s="65"/>
      <c r="D112" s="65"/>
      <c r="E112" s="60"/>
    </row>
    <row r="113" spans="1:5" s="66" customFormat="1" ht="27.6" hidden="1" customHeight="1" x14ac:dyDescent="0.25">
      <c r="A113" s="64"/>
      <c r="B113" s="65"/>
      <c r="C113" s="65"/>
      <c r="D113" s="65"/>
      <c r="E113" s="60"/>
    </row>
    <row r="114" spans="1:5" s="66" customFormat="1" ht="27.6" hidden="1" customHeight="1" x14ac:dyDescent="0.25">
      <c r="A114" s="64"/>
      <c r="B114" s="65"/>
      <c r="C114" s="65"/>
      <c r="D114" s="65"/>
      <c r="E114" s="60"/>
    </row>
    <row r="115" spans="1:5" s="66" customFormat="1" ht="27.6" hidden="1" customHeight="1" x14ac:dyDescent="0.25">
      <c r="A115" s="64"/>
      <c r="B115" s="65"/>
      <c r="C115" s="65"/>
      <c r="D115" s="65"/>
      <c r="E115" s="60"/>
    </row>
    <row r="116" spans="1:5" s="66" customFormat="1" ht="27.6" hidden="1" customHeight="1" x14ac:dyDescent="0.25">
      <c r="A116" s="64"/>
      <c r="B116" s="65"/>
      <c r="C116" s="65"/>
      <c r="D116" s="65"/>
      <c r="E116" s="60"/>
    </row>
    <row r="117" spans="1:5" s="66" customFormat="1" ht="27.6" hidden="1" customHeight="1" x14ac:dyDescent="0.25">
      <c r="A117" s="64"/>
      <c r="B117" s="65"/>
      <c r="C117" s="65"/>
      <c r="D117" s="65"/>
      <c r="E117" s="60"/>
    </row>
    <row r="118" spans="1:5" s="66" customFormat="1" ht="27.6" hidden="1" customHeight="1" x14ac:dyDescent="0.25">
      <c r="A118" s="64"/>
      <c r="B118" s="65"/>
      <c r="C118" s="65"/>
      <c r="D118" s="65"/>
      <c r="E118" s="60"/>
    </row>
    <row r="119" spans="1:5" s="66" customFormat="1" ht="27.6" hidden="1" customHeight="1" x14ac:dyDescent="0.25">
      <c r="A119" s="64"/>
      <c r="B119" s="65"/>
      <c r="C119" s="65"/>
      <c r="D119" s="65"/>
      <c r="E119" s="60"/>
    </row>
    <row r="120" spans="1:5" s="66" customFormat="1" ht="27.6" hidden="1" customHeight="1" x14ac:dyDescent="0.25">
      <c r="A120" s="64"/>
      <c r="B120" s="65"/>
      <c r="C120" s="65"/>
      <c r="D120" s="65"/>
      <c r="E120" s="60"/>
    </row>
    <row r="121" spans="1:5" s="66" customFormat="1" ht="27.6" hidden="1" customHeight="1" x14ac:dyDescent="0.25">
      <c r="A121" s="64"/>
      <c r="B121" s="65"/>
      <c r="C121" s="65"/>
      <c r="D121" s="65"/>
      <c r="E121" s="60"/>
    </row>
    <row r="122" spans="1:5" s="66" customFormat="1" ht="27.6" hidden="1" customHeight="1" x14ac:dyDescent="0.25">
      <c r="A122" s="64"/>
      <c r="B122" s="65"/>
      <c r="C122" s="65"/>
      <c r="D122" s="65"/>
      <c r="E122" s="60"/>
    </row>
    <row r="123" spans="1:5" s="66" customFormat="1" ht="27.6" hidden="1" customHeight="1" x14ac:dyDescent="0.25">
      <c r="A123" s="64"/>
      <c r="B123" s="65"/>
      <c r="C123" s="65"/>
      <c r="D123" s="65"/>
      <c r="E123" s="60"/>
    </row>
  </sheetData>
  <sheetProtection algorithmName="SHA-512" hashValue="9V9jkTB5F7M4kuZaM7tRPyg3ykpc6M0ERsos41UbmdBZDLktUfhBNWILIzqmwhaussMQeDbdWXmrUgAMSXUjnA==" saltValue="/l9aH1MMyQjbuTkmbOuTCw==" spinCount="100000" sheet="1" objects="1" scenarios="1" sort="0" autoFilter="0"/>
  <mergeCells count="2">
    <mergeCell ref="B1:C1"/>
    <mergeCell ref="D1:E1"/>
  </mergeCells>
  <conditionalFormatting sqref="A10:A123">
    <cfRule type="duplicateValues" dxfId="11" priority="2"/>
  </conditionalFormatting>
  <conditionalFormatting sqref="A3:D3">
    <cfRule type="cellIs" dxfId="10" priority="1" operator="equal">
      <formula>0</formula>
    </cfRule>
  </conditionalFormatting>
  <conditionalFormatting sqref="E10:E123">
    <cfRule type="cellIs" dxfId="9" priority="3" operator="equal">
      <formula>"F"</formula>
    </cfRule>
    <cfRule type="cellIs" dxfId="8" priority="4" operator="equal">
      <formula>"FAIL"</formula>
    </cfRule>
    <cfRule type="cellIs" dxfId="7" priority="5" operator="equal">
      <formula>"P"</formula>
    </cfRule>
    <cfRule type="cellIs" dxfId="6" priority="6" operator="equal">
      <formula>"PASS"</formula>
    </cfRule>
  </conditionalFormatting>
  <hyperlinks>
    <hyperlink ref="B1" location="INDEX!A1" display="RETURN TO INDEX" xr:uid="{1C36D29A-62C3-49A4-A977-E2E3E175CB61}"/>
    <hyperlink ref="D1:E1" location="'QCI Sample Selection'!A1" display="QCI SAMPLE SELECTION" xr:uid="{1820DD2A-204C-45FC-80A5-C1B09C0394A1}"/>
  </hyperlinks>
  <printOptions horizontalCentered="1" verticalCentered="1"/>
  <pageMargins left="0.25" right="0.25" top="0.75" bottom="0.75" header="0.3" footer="0.3"/>
  <pageSetup scale="27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A96CA-0B73-4258-8F30-9A78F449441A}">
  <sheetPr>
    <tabColor theme="4" tint="-0.249977111117893"/>
  </sheetPr>
  <dimension ref="A1:K31"/>
  <sheetViews>
    <sheetView workbookViewId="0">
      <pane ySplit="9" topLeftCell="A10" activePane="bottomLeft" state="frozen"/>
      <selection activeCell="D250" sqref="D250"/>
      <selection pane="bottomLeft" activeCell="B4" sqref="B4"/>
    </sheetView>
  </sheetViews>
  <sheetFormatPr defaultColWidth="0" defaultRowHeight="15" zeroHeight="1" x14ac:dyDescent="0.25"/>
  <cols>
    <col min="1" max="1" width="27.5703125" customWidth="1"/>
    <col min="2" max="2" width="21.5703125" customWidth="1"/>
    <col min="3" max="3" width="17.7109375" customWidth="1"/>
    <col min="4" max="4" width="14.7109375" bestFit="1" customWidth="1"/>
    <col min="5" max="5" width="15" customWidth="1"/>
    <col min="6" max="6" width="9.140625" hidden="1" customWidth="1"/>
    <col min="7" max="11" width="0" hidden="1" customWidth="1"/>
    <col min="12" max="16384" width="9.140625" hidden="1"/>
  </cols>
  <sheetData>
    <row r="1" spans="1:5" s="68" customFormat="1" ht="27.75" customHeight="1" x14ac:dyDescent="0.25">
      <c r="A1" s="67" t="s">
        <v>87</v>
      </c>
      <c r="B1" s="74" t="s">
        <v>1</v>
      </c>
      <c r="C1" s="74"/>
      <c r="D1" s="74" t="s">
        <v>2</v>
      </c>
      <c r="E1" s="74"/>
    </row>
    <row r="2" spans="1:5" ht="15.75" x14ac:dyDescent="0.25">
      <c r="A2" s="38" t="s">
        <v>100</v>
      </c>
      <c r="B2" s="39" t="s">
        <v>101</v>
      </c>
      <c r="C2" s="39" t="s">
        <v>102</v>
      </c>
      <c r="D2" s="39" t="s">
        <v>103</v>
      </c>
      <c r="E2" s="6"/>
    </row>
    <row r="3" spans="1:5" ht="18.75" x14ac:dyDescent="0.25">
      <c r="A3" s="41" t="s">
        <v>104</v>
      </c>
      <c r="B3" s="42" t="s">
        <v>104</v>
      </c>
      <c r="C3" s="42"/>
      <c r="D3" s="42">
        <v>2342</v>
      </c>
      <c r="E3" s="42"/>
    </row>
    <row r="4" spans="1:5" ht="27.6" customHeight="1" x14ac:dyDescent="0.35">
      <c r="A4" s="43" t="str">
        <f>"N= " &amp; COUNT($A$10:$A$31)</f>
        <v>N= 22</v>
      </c>
      <c r="B4" s="44" t="s">
        <v>88</v>
      </c>
      <c r="C4" s="45" t="s">
        <v>75</v>
      </c>
      <c r="D4" s="69"/>
      <c r="E4" s="70"/>
    </row>
    <row r="5" spans="1:5" ht="27.6" customHeight="1" x14ac:dyDescent="0.4">
      <c r="A5" s="47" t="str">
        <f>IF(COUNT($A$11:$A$31)=COUNTIF($E$11:$E$31,"PASS"),"PASS","FAIL")</f>
        <v>PASS</v>
      </c>
      <c r="B5" s="44" t="s">
        <v>89</v>
      </c>
      <c r="C5" s="48">
        <v>45302.353472222225</v>
      </c>
      <c r="D5" s="69"/>
      <c r="E5" s="69"/>
    </row>
    <row r="6" spans="1:5" ht="27.6" customHeight="1" x14ac:dyDescent="0.25">
      <c r="A6" s="54"/>
      <c r="B6" s="54" t="s">
        <v>90</v>
      </c>
      <c r="C6" s="54" t="s">
        <v>91</v>
      </c>
      <c r="D6" s="54" t="s">
        <v>92</v>
      </c>
      <c r="E6" s="54" t="s">
        <v>93</v>
      </c>
    </row>
    <row r="7" spans="1:5" ht="27.6" customHeight="1" x14ac:dyDescent="0.25">
      <c r="A7" s="54"/>
      <c r="B7" s="54" t="s">
        <v>94</v>
      </c>
      <c r="C7" s="54" t="s">
        <v>95</v>
      </c>
      <c r="D7" s="54" t="s">
        <v>96</v>
      </c>
      <c r="E7" s="54" t="s">
        <v>86</v>
      </c>
    </row>
    <row r="8" spans="1:5" ht="27.6" customHeight="1" x14ac:dyDescent="0.25">
      <c r="A8" s="54" t="s">
        <v>97</v>
      </c>
      <c r="B8" s="54" t="s">
        <v>98</v>
      </c>
      <c r="C8" s="54" t="s">
        <v>98</v>
      </c>
      <c r="D8" s="54" t="s">
        <v>98</v>
      </c>
      <c r="E8" s="54"/>
    </row>
    <row r="9" spans="1:5" ht="27.6" customHeight="1" x14ac:dyDescent="0.25">
      <c r="A9" s="54" t="s">
        <v>99</v>
      </c>
      <c r="B9" s="71">
        <v>5</v>
      </c>
      <c r="C9" s="71">
        <v>6</v>
      </c>
      <c r="D9" s="71">
        <v>11</v>
      </c>
      <c r="E9" s="54"/>
    </row>
    <row r="10" spans="1:5" ht="27.6" customHeight="1" x14ac:dyDescent="0.25">
      <c r="A10" s="58">
        <v>1</v>
      </c>
      <c r="B10" s="72">
        <v>2.86</v>
      </c>
      <c r="C10" s="72">
        <v>3.76</v>
      </c>
      <c r="D10" s="72">
        <v>10.603999999999999</v>
      </c>
      <c r="E10" s="59" t="str">
        <f>IF(AND(B10&lt;&gt;"",B10&lt;=B$9,C10&lt;&gt;"",C10&lt;=C$9,D10&lt;&gt;"",D10&lt;=D$9),"PASS","FAIL")</f>
        <v>PASS</v>
      </c>
    </row>
    <row r="11" spans="1:5" ht="27.6" customHeight="1" x14ac:dyDescent="0.25">
      <c r="A11" s="58">
        <v>2</v>
      </c>
      <c r="B11" s="72">
        <v>3.0760000000000001</v>
      </c>
      <c r="C11" s="72">
        <v>2.93</v>
      </c>
      <c r="D11" s="72">
        <v>10.446</v>
      </c>
      <c r="E11" s="59" t="str">
        <f t="shared" ref="E11:E31" si="0">IF(AND(B11&lt;&gt;"",B11&lt;=B$9,C11&lt;&gt;"",C11&lt;=C$9,D11&lt;&gt;"",D11&lt;=D$9),"PASS","FAIL")</f>
        <v>PASS</v>
      </c>
    </row>
    <row r="12" spans="1:5" ht="27.6" customHeight="1" x14ac:dyDescent="0.25">
      <c r="A12" s="58">
        <v>3</v>
      </c>
      <c r="B12" s="72">
        <v>2.9239999999999999</v>
      </c>
      <c r="C12" s="72">
        <v>3.1539999999999999</v>
      </c>
      <c r="D12" s="72">
        <v>10.964</v>
      </c>
      <c r="E12" s="59" t="str">
        <f t="shared" si="0"/>
        <v>PASS</v>
      </c>
    </row>
    <row r="13" spans="1:5" ht="27.6" customHeight="1" x14ac:dyDescent="0.25">
      <c r="A13" s="58">
        <v>4</v>
      </c>
      <c r="B13" s="72">
        <v>2.88</v>
      </c>
      <c r="C13" s="72">
        <v>2.8660000000000001</v>
      </c>
      <c r="D13" s="72">
        <v>10.692</v>
      </c>
      <c r="E13" s="59" t="str">
        <f t="shared" si="0"/>
        <v>PASS</v>
      </c>
    </row>
    <row r="14" spans="1:5" ht="27.6" customHeight="1" x14ac:dyDescent="0.25">
      <c r="A14" s="58">
        <v>5</v>
      </c>
      <c r="B14" s="72">
        <v>2.9020000000000001</v>
      </c>
      <c r="C14" s="72">
        <v>3.4820000000000002</v>
      </c>
      <c r="D14" s="72">
        <v>10.715999999999999</v>
      </c>
      <c r="E14" s="59" t="str">
        <f t="shared" si="0"/>
        <v>PASS</v>
      </c>
    </row>
    <row r="15" spans="1:5" ht="27.6" customHeight="1" x14ac:dyDescent="0.25">
      <c r="A15" s="58">
        <v>6</v>
      </c>
      <c r="B15" s="72">
        <v>2.9359999999999999</v>
      </c>
      <c r="C15" s="72">
        <v>4.2679999999999998</v>
      </c>
      <c r="D15" s="72">
        <v>10.996</v>
      </c>
      <c r="E15" s="59" t="str">
        <f t="shared" si="0"/>
        <v>PASS</v>
      </c>
    </row>
    <row r="16" spans="1:5" ht="27.6" customHeight="1" x14ac:dyDescent="0.25">
      <c r="A16" s="58">
        <v>7</v>
      </c>
      <c r="B16" s="72">
        <v>2.82</v>
      </c>
      <c r="C16" s="72">
        <v>3.83</v>
      </c>
      <c r="D16" s="72">
        <v>10.996</v>
      </c>
      <c r="E16" s="59" t="str">
        <f t="shared" si="0"/>
        <v>PASS</v>
      </c>
    </row>
    <row r="17" spans="1:5" ht="27.6" customHeight="1" x14ac:dyDescent="0.25">
      <c r="A17" s="58">
        <v>10</v>
      </c>
      <c r="B17" s="72">
        <v>3.22</v>
      </c>
      <c r="C17" s="72">
        <v>2.7120000000000002</v>
      </c>
      <c r="D17" s="72">
        <v>10.821999999999999</v>
      </c>
      <c r="E17" s="59" t="str">
        <f t="shared" si="0"/>
        <v>PASS</v>
      </c>
    </row>
    <row r="18" spans="1:5" ht="27.6" customHeight="1" x14ac:dyDescent="0.25">
      <c r="A18" s="58">
        <v>11</v>
      </c>
      <c r="B18" s="72">
        <v>2.9940000000000002</v>
      </c>
      <c r="C18" s="72">
        <v>3.1059999999999999</v>
      </c>
      <c r="D18" s="72">
        <v>10.795999999999999</v>
      </c>
      <c r="E18" s="59" t="str">
        <f t="shared" si="0"/>
        <v>PASS</v>
      </c>
    </row>
    <row r="19" spans="1:5" ht="27.6" customHeight="1" x14ac:dyDescent="0.25">
      <c r="A19" s="58">
        <v>12</v>
      </c>
      <c r="B19" s="72">
        <v>2.802</v>
      </c>
      <c r="C19" s="72">
        <v>3.8820000000000001</v>
      </c>
      <c r="D19" s="72">
        <v>10.984</v>
      </c>
      <c r="E19" s="59" t="str">
        <f t="shared" si="0"/>
        <v>PASS</v>
      </c>
    </row>
    <row r="20" spans="1:5" ht="27.6" customHeight="1" x14ac:dyDescent="0.25">
      <c r="A20" s="58">
        <v>13</v>
      </c>
      <c r="B20" s="72">
        <v>2.44</v>
      </c>
      <c r="C20" s="72">
        <v>3.7879999999999998</v>
      </c>
      <c r="D20" s="72">
        <v>10.432</v>
      </c>
      <c r="E20" s="59" t="str">
        <f t="shared" si="0"/>
        <v>PASS</v>
      </c>
    </row>
    <row r="21" spans="1:5" ht="27.6" customHeight="1" x14ac:dyDescent="0.25">
      <c r="A21" s="58">
        <v>14</v>
      </c>
      <c r="B21" s="72">
        <v>2.8119999999999998</v>
      </c>
      <c r="C21" s="72">
        <v>3.9660000000000002</v>
      </c>
      <c r="D21" s="72">
        <v>10.98</v>
      </c>
      <c r="E21" s="59" t="str">
        <f t="shared" si="0"/>
        <v>PASS</v>
      </c>
    </row>
    <row r="22" spans="1:5" ht="27.6" customHeight="1" x14ac:dyDescent="0.25">
      <c r="A22" s="58">
        <v>15</v>
      </c>
      <c r="B22" s="72">
        <v>2.7839999999999998</v>
      </c>
      <c r="C22" s="72">
        <v>3.54</v>
      </c>
      <c r="D22" s="72">
        <v>10.558</v>
      </c>
      <c r="E22" s="59" t="str">
        <f t="shared" si="0"/>
        <v>PASS</v>
      </c>
    </row>
    <row r="23" spans="1:5" ht="27.6" customHeight="1" x14ac:dyDescent="0.25">
      <c r="A23" s="58">
        <v>19</v>
      </c>
      <c r="B23" s="72">
        <v>2.7719999999999998</v>
      </c>
      <c r="C23" s="72">
        <v>3.8439999999999999</v>
      </c>
      <c r="D23" s="72">
        <v>10.86</v>
      </c>
      <c r="E23" s="59" t="str">
        <f t="shared" si="0"/>
        <v>PASS</v>
      </c>
    </row>
    <row r="24" spans="1:5" ht="27.6" customHeight="1" x14ac:dyDescent="0.25">
      <c r="A24" s="58">
        <v>21</v>
      </c>
      <c r="B24" s="72">
        <v>3.028</v>
      </c>
      <c r="C24" s="72">
        <v>3.6</v>
      </c>
      <c r="D24" s="72">
        <v>10.936</v>
      </c>
      <c r="E24" s="59" t="str">
        <f t="shared" si="0"/>
        <v>PASS</v>
      </c>
    </row>
    <row r="25" spans="1:5" ht="27.6" customHeight="1" x14ac:dyDescent="0.25">
      <c r="A25" s="58">
        <v>22</v>
      </c>
      <c r="B25" s="72">
        <v>2.7440000000000002</v>
      </c>
      <c r="C25" s="72">
        <v>4</v>
      </c>
      <c r="D25" s="72">
        <v>10.944000000000001</v>
      </c>
      <c r="E25" s="59" t="str">
        <f t="shared" si="0"/>
        <v>PASS</v>
      </c>
    </row>
    <row r="26" spans="1:5" ht="27.6" customHeight="1" x14ac:dyDescent="0.25">
      <c r="A26" s="58">
        <v>23</v>
      </c>
      <c r="B26" s="72">
        <v>3.1659999999999999</v>
      </c>
      <c r="C26" s="72">
        <v>2.7240000000000002</v>
      </c>
      <c r="D26" s="72">
        <v>10.862</v>
      </c>
      <c r="E26" s="59" t="str">
        <f t="shared" si="0"/>
        <v>PASS</v>
      </c>
    </row>
    <row r="27" spans="1:5" ht="27.6" customHeight="1" x14ac:dyDescent="0.25">
      <c r="A27" s="58">
        <v>24</v>
      </c>
      <c r="B27" s="72">
        <v>2.42</v>
      </c>
      <c r="C27" s="72">
        <v>3.5859999999999999</v>
      </c>
      <c r="D27" s="72">
        <v>10.545999999999999</v>
      </c>
      <c r="E27" s="59" t="str">
        <f t="shared" si="0"/>
        <v>PASS</v>
      </c>
    </row>
    <row r="28" spans="1:5" ht="27.6" customHeight="1" x14ac:dyDescent="0.25">
      <c r="A28" s="58">
        <v>25</v>
      </c>
      <c r="B28" s="72">
        <v>2.8879999999999999</v>
      </c>
      <c r="C28" s="72">
        <v>3.008</v>
      </c>
      <c r="D28" s="72">
        <v>10.933999999999999</v>
      </c>
      <c r="E28" s="59" t="str">
        <f t="shared" si="0"/>
        <v>PASS</v>
      </c>
    </row>
    <row r="29" spans="1:5" ht="27.6" customHeight="1" x14ac:dyDescent="0.25">
      <c r="A29" s="58">
        <v>26</v>
      </c>
      <c r="B29" s="72">
        <v>2.726</v>
      </c>
      <c r="C29" s="72">
        <v>3.0459999999999998</v>
      </c>
      <c r="D29" s="72">
        <v>10.39</v>
      </c>
      <c r="E29" s="59" t="str">
        <f t="shared" si="0"/>
        <v>PASS</v>
      </c>
    </row>
    <row r="30" spans="1:5" ht="27.6" customHeight="1" x14ac:dyDescent="0.25">
      <c r="A30" s="58">
        <v>28</v>
      </c>
      <c r="B30" s="72">
        <v>2.988</v>
      </c>
      <c r="C30" s="72">
        <v>2.714</v>
      </c>
      <c r="D30" s="72">
        <v>10.734</v>
      </c>
      <c r="E30" s="59" t="str">
        <f t="shared" si="0"/>
        <v>PASS</v>
      </c>
    </row>
    <row r="31" spans="1:5" ht="27.6" customHeight="1" x14ac:dyDescent="0.25">
      <c r="A31" s="58">
        <v>29</v>
      </c>
      <c r="B31" s="72">
        <v>2.9380000000000002</v>
      </c>
      <c r="C31" s="72">
        <v>3.1819999999999999</v>
      </c>
      <c r="D31" s="72">
        <v>10.996</v>
      </c>
      <c r="E31" s="59" t="str">
        <f t="shared" si="0"/>
        <v>PASS</v>
      </c>
    </row>
  </sheetData>
  <sheetProtection algorithmName="SHA-512" hashValue="uHUtaN8/OE7zDfXVC5b3U0BDG9zhyPE+WA1OjEqfsounTVvm70xXofYjeb1R5wdLhSIYJe4fIuHnHjuaEsbeww==" saltValue="VjlzDo+suuUQRf8gXSPVhg==" spinCount="100000" sheet="1" objects="1" scenarios="1" sort="0" autoFilter="0"/>
  <mergeCells count="2">
    <mergeCell ref="B1:C1"/>
    <mergeCell ref="D1:E1"/>
  </mergeCells>
  <conditionalFormatting sqref="A10:A31">
    <cfRule type="duplicateValues" dxfId="5" priority="6"/>
  </conditionalFormatting>
  <conditionalFormatting sqref="A3:D3">
    <cfRule type="cellIs" dxfId="4" priority="1" operator="equal">
      <formula>0</formula>
    </cfRule>
  </conditionalFormatting>
  <conditionalFormatting sqref="E10:E31">
    <cfRule type="cellIs" dxfId="3" priority="2" operator="equal">
      <formula>"F"</formula>
    </cfRule>
    <cfRule type="cellIs" dxfId="2" priority="3" operator="equal">
      <formula>"FAIL"</formula>
    </cfRule>
    <cfRule type="cellIs" dxfId="1" priority="4" operator="equal">
      <formula>"P"</formula>
    </cfRule>
    <cfRule type="cellIs" dxfId="0" priority="5" operator="equal">
      <formula>"PASS"</formula>
    </cfRule>
  </conditionalFormatting>
  <hyperlinks>
    <hyperlink ref="B1" location="INDEX!A1" display="RETURN TO INDEX" xr:uid="{8DB53BFA-E2A3-4239-83CB-D405950E3316}"/>
    <hyperlink ref="D1:E1" location="'QCI Sample Selection'!A1" display="QCI SAMPLE SELECTION" xr:uid="{2EED9A50-182A-4570-92AF-1497A5E30E20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Group A Traveler</vt:lpstr>
      <vt:lpstr>GROUP A1</vt:lpstr>
      <vt:lpstr>GROUP A2 25C</vt:lpstr>
      <vt:lpstr>GROUP A3 125C</vt:lpstr>
      <vt:lpstr>GROUP A3 -55C</vt:lpstr>
      <vt:lpstr>GROUP A7 CAPACITANCE</vt:lpstr>
      <vt:lpstr>GROUP A7 GATE CHARGE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Shmoil Pourdavoud</dc:creator>
  <cp:lastModifiedBy>Shmoil Pourdavoud</cp:lastModifiedBy>
  <dcterms:created xsi:type="dcterms:W3CDTF">2024-09-19T18:24:36Z</dcterms:created>
  <dcterms:modified xsi:type="dcterms:W3CDTF">2024-10-09T18:20:49Z</dcterms:modified>
</cp:coreProperties>
</file>