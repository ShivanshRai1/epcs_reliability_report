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A\"/>
    </mc:Choice>
  </mc:AlternateContent>
  <xr:revisionPtr revIDLastSave="0" documentId="13_ncr:1_{CBD045A7-2DE9-4338-84E4-7AE0790591F2}" xr6:coauthVersionLast="47" xr6:coauthVersionMax="47" xr10:uidLastSave="{00000000-0000-0000-0000-000000000000}"/>
  <workbookProtection workbookAlgorithmName="SHA-512" workbookHashValue="iVu3Zxwso2jiVP/5TfAkuaBtD18KvqJYOyxDA7lIRCzwicmOXUSnDWo2iJoFDtY6sidRJe8x5pj1P6GV0XeKlg==" workbookSaltValue="djmYCq1BpNYyhbBZIQPvrg==" workbookSpinCount="100000" lockStructure="1"/>
  <bookViews>
    <workbookView xWindow="-25725" yWindow="2460" windowWidth="21600" windowHeight="11835" xr2:uid="{844AC840-5F27-45CB-B1DD-7CDE46A55B87}"/>
  </bookViews>
  <sheets>
    <sheet name="Group A Traveler" sheetId="1" r:id="rId1"/>
    <sheet name="GROUP A1" sheetId="2" r:id="rId2"/>
    <sheet name="GROUP A2 25C" sheetId="3" r:id="rId3"/>
    <sheet name="GROUP A3 125C" sheetId="4" r:id="rId4"/>
    <sheet name="GROUP A3 -55C" sheetId="5" r:id="rId5"/>
    <sheet name="GROUP A7 CAPACITANCE" sheetId="6" r:id="rId6"/>
    <sheet name="GROUP A7 GATE CHARGE" sheetId="7" r:id="rId7"/>
  </sheets>
  <definedNames>
    <definedName name="_xlnm._FilterDatabase" localSheetId="2" hidden="1">'GROUP A2 25C'!$A$10:$R$126</definedName>
    <definedName name="_xlnm._FilterDatabase" localSheetId="3" hidden="1">'GROUP A3 125C'!$A$10:$N$126</definedName>
    <definedName name="_xlnm._FilterDatabase" localSheetId="4" hidden="1">'GROUP A3 -55C'!$A$13:$H$129</definedName>
    <definedName name="_xlnm._FilterDatabase" localSheetId="5" hidden="1">'GROUP A7 CAPACITANCE'!$A$10:$E$10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7" l="1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A5" i="7" s="1"/>
  <c r="E11" i="7"/>
  <c r="E10" i="7"/>
  <c r="A4" i="7"/>
  <c r="E31" i="6"/>
  <c r="E30" i="6"/>
  <c r="E29" i="6"/>
  <c r="E28" i="6"/>
  <c r="E27" i="6"/>
  <c r="E26" i="6"/>
  <c r="E25" i="6"/>
  <c r="E24" i="6"/>
  <c r="A5" i="6" s="1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A4" i="6"/>
  <c r="B10" i="5"/>
  <c r="B9" i="5"/>
  <c r="B11" i="5" s="1"/>
  <c r="B8" i="5"/>
  <c r="A7" i="5" s="1"/>
  <c r="B7" i="4"/>
  <c r="B6" i="4"/>
  <c r="B8" i="4" s="1"/>
  <c r="B5" i="4"/>
  <c r="A4" i="4" s="1"/>
  <c r="B7" i="3"/>
  <c r="B6" i="3"/>
  <c r="B5" i="3"/>
  <c r="A4" i="3" s="1"/>
  <c r="B8" i="3" l="1"/>
</calcChain>
</file>

<file path=xl/sharedStrings.xml><?xml version="1.0" encoding="utf-8"?>
<sst xmlns="http://schemas.openxmlformats.org/spreadsheetml/2006/main" count="534" uniqueCount="102">
  <si>
    <t>GROUP A TRAVELER</t>
  </si>
  <si>
    <t>INDEX</t>
  </si>
  <si>
    <t>QCI SAMPLE SELECTION</t>
  </si>
  <si>
    <t>.</t>
  </si>
  <si>
    <t>GROUP A1 PHYSICAL</t>
  </si>
  <si>
    <t>GROUP A2 25C ELECTRICALS</t>
  </si>
  <si>
    <t>SUMMARY</t>
  </si>
  <si>
    <t>SCREENING STATUS</t>
  </si>
  <si>
    <t>N=116 C=0</t>
  </si>
  <si>
    <t>TOTAL SUBMITTED</t>
  </si>
  <si>
    <t>TOTAL PASS</t>
  </si>
  <si>
    <t xml:space="preserve">  1) IDON      [&gt; 10.01MA]</t>
  </si>
  <si>
    <t xml:space="preserve">  2) IGSSF     [&lt; 3.001MA]</t>
  </si>
  <si>
    <t xml:space="preserve">  3) IDSS      [&lt; 149.9UA]</t>
  </si>
  <si>
    <t xml:space="preserve">  4) IGSSF     [&lt; 3.001MA]</t>
  </si>
  <si>
    <t xml:space="preserve">  5) IGSSR     [&lt; 149.9UA]</t>
  </si>
  <si>
    <t xml:space="preserve">  6) VGSTH     [&gt;   800MV]</t>
  </si>
  <si>
    <t xml:space="preserve">  7) VGSTH     [&lt; 2.500]</t>
  </si>
  <si>
    <t xml:space="preserve">  8) RDSON     [&lt; 27.95M]</t>
  </si>
  <si>
    <t xml:space="preserve">  9) VSD       [&lt; 4.000 V]</t>
  </si>
  <si>
    <t>TOTAL EMPTY</t>
  </si>
  <si>
    <t xml:space="preserve">   IDON &gt; 10.01MA</t>
  </si>
  <si>
    <t xml:space="preserve">  IGSSF &lt; 3.001MA</t>
  </si>
  <si>
    <t xml:space="preserve">   IDSS &lt; 149.9UA</t>
  </si>
  <si>
    <t xml:space="preserve">  IGSSR &lt; 149.9UA</t>
  </si>
  <si>
    <t xml:space="preserve">  VGSTH &gt; 801.0MV</t>
  </si>
  <si>
    <t xml:space="preserve">VGSTH &lt; 2.500 </t>
  </si>
  <si>
    <t xml:space="preserve">  RDSON &lt; 27.95M </t>
  </si>
  <si>
    <t xml:space="preserve">    VSD &lt; 4.000 V</t>
  </si>
  <si>
    <t>TOTAL REJECTS</t>
  </si>
  <si>
    <t xml:space="preserve">    VDS = 19.54MV</t>
  </si>
  <si>
    <t xml:space="preserve">   VGSF = 4.501 V</t>
  </si>
  <si>
    <t xml:space="preserve">    VDS = 10.01 V</t>
  </si>
  <si>
    <t xml:space="preserve">   VGSF = 6.000 V</t>
  </si>
  <si>
    <t xml:space="preserve">   VGSR = 4.000 V</t>
  </si>
  <si>
    <t xml:space="preserve">     ID = 3.001MA</t>
  </si>
  <si>
    <t>VGSTH = S6</t>
  </si>
  <si>
    <t xml:space="preserve">    VGS = 5.001 V</t>
  </si>
  <si>
    <t xml:space="preserve">     IS = 500.1MA</t>
  </si>
  <si>
    <t>Card-Position</t>
  </si>
  <si>
    <t>Serial No</t>
  </si>
  <si>
    <t>Label</t>
  </si>
  <si>
    <t>Sort</t>
  </si>
  <si>
    <t>Bin</t>
  </si>
  <si>
    <t xml:space="preserve">    VGS = 3.001 V</t>
  </si>
  <si>
    <t xml:space="preserve">     ID = 18.00 A</t>
  </si>
  <si>
    <t>All Pass</t>
  </si>
  <si>
    <t>GROUP A3 125C ELECTRICALS</t>
  </si>
  <si>
    <t xml:space="preserve">  2) IGSSF     [&lt; 6.000MA]</t>
  </si>
  <si>
    <t xml:space="preserve">  3) IGSSR     [&lt; 300.1UA]</t>
  </si>
  <si>
    <t xml:space="preserve">  4) VGSTH     [&gt;   700MV]</t>
  </si>
  <si>
    <t xml:space="preserve">  5) RDSON     [&lt; 50.06M]</t>
  </si>
  <si>
    <t xml:space="preserve">  6) VSD       [&lt; 4.000 V]</t>
  </si>
  <si>
    <t xml:space="preserve">  7) IDSS      [&lt; 300.1UA]</t>
  </si>
  <si>
    <t xml:space="preserve">  8) IGSSF     [&lt; 6.000MA]</t>
  </si>
  <si>
    <t xml:space="preserve">  9) IGSSF     [&lt; 6.000MA]</t>
  </si>
  <si>
    <t xml:space="preserve">  IGSSF &lt; 6.000MA</t>
  </si>
  <si>
    <t xml:space="preserve">  IGSSR &lt; 300.1UA</t>
  </si>
  <si>
    <t xml:space="preserve">  VGSTH &gt; 700.9MV</t>
  </si>
  <si>
    <t xml:space="preserve">  RDSON &lt; 50.07M </t>
  </si>
  <si>
    <t xml:space="preserve">   IDSS &lt; 300.1UA</t>
  </si>
  <si>
    <t xml:space="preserve">    VDS = 160.0 V</t>
  </si>
  <si>
    <t xml:space="preserve">   VGSF = 5.499 V</t>
  </si>
  <si>
    <t>GROUP A SUBGROUP 3</t>
  </si>
  <si>
    <t>DC ELECTRICALS 125C</t>
  </si>
  <si>
    <t xml:space="preserve">  2) VGSTH     [&lt; 2.800 V]</t>
  </si>
  <si>
    <t xml:space="preserve">  3) VGSTH     [&gt; 700.0M]</t>
  </si>
  <si>
    <t xml:space="preserve">  VGSTH &lt; 2.801 V</t>
  </si>
  <si>
    <t>VGSTH &gt; 700.0M</t>
  </si>
  <si>
    <t xml:space="preserve">     ID = 5.001MA</t>
  </si>
  <si>
    <t>VGSTH = S2</t>
  </si>
  <si>
    <t>A7 CAPACITANCE</t>
  </si>
  <si>
    <t>OPERATOR</t>
  </si>
  <si>
    <t>LMR</t>
  </si>
  <si>
    <t>DATE</t>
  </si>
  <si>
    <t>Conditions:</t>
  </si>
  <si>
    <t>Frequency</t>
  </si>
  <si>
    <t>VDS</t>
  </si>
  <si>
    <t>1 MHz</t>
  </si>
  <si>
    <t>Volts</t>
  </si>
  <si>
    <t>Max Limit</t>
  </si>
  <si>
    <t>Serial #</t>
  </si>
  <si>
    <t>Ciss</t>
  </si>
  <si>
    <t>Coss</t>
  </si>
  <si>
    <t>Crss</t>
  </si>
  <si>
    <t>P/F</t>
  </si>
  <si>
    <t>A7 GATE CHARGE</t>
  </si>
  <si>
    <t>GateCharge-3.0</t>
  </si>
  <si>
    <t>GateCharge-3.1</t>
  </si>
  <si>
    <t>GateCharge-3.2</t>
  </si>
  <si>
    <t>Description</t>
  </si>
  <si>
    <t>Qgs</t>
  </si>
  <si>
    <t>Qgd</t>
  </si>
  <si>
    <t>Qg_ 5.00V</t>
  </si>
  <si>
    <t>UNIT</t>
  </si>
  <si>
    <t>nC</t>
  </si>
  <si>
    <t>MAX LIMIT</t>
  </si>
  <si>
    <t>FBG20N18BSH</t>
  </si>
  <si>
    <t>SCD PART NUMBER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</si>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</sst>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.0E+00"/>
    <numFmt numFmtId="165" formatCode="###.00E+00"/>
    <numFmt numFmtId="166" formatCode="0.000"/>
    <numFmt numFmtId="167" formatCode="###.000E+00"/>
  </numFmts>
  <fonts count="16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4" borderId="2" xfId="1" applyFont="1" applyFill="1" applyBorder="1" applyAlignment="1">
      <alignment horizontal="center" vertical="top"/>
    </xf>
    <xf numFmtId="0" fontId="7" fillId="6" borderId="6" xfId="0" applyFont="1" applyFill="1" applyBorder="1"/>
    <xf numFmtId="0" fontId="7" fillId="6" borderId="6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right"/>
    </xf>
    <xf numFmtId="0" fontId="0" fillId="9" borderId="9" xfId="0" applyFill="1" applyBorder="1" applyAlignment="1">
      <alignment horizontal="center"/>
    </xf>
    <xf numFmtId="0" fontId="8" fillId="0" borderId="0" xfId="0" applyFont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1" fontId="0" fillId="0" borderId="2" xfId="0" applyNumberFormat="1" applyBorder="1"/>
    <xf numFmtId="11" fontId="8" fillId="0" borderId="2" xfId="0" applyNumberFormat="1" applyFont="1" applyBorder="1"/>
    <xf numFmtId="0" fontId="0" fillId="10" borderId="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64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/>
    <xf numFmtId="164" fontId="0" fillId="10" borderId="9" xfId="0" applyNumberFormat="1" applyFill="1" applyBorder="1"/>
    <xf numFmtId="166" fontId="0" fillId="10" borderId="9" xfId="0" applyNumberFormat="1" applyFill="1" applyBorder="1"/>
    <xf numFmtId="167" fontId="0" fillId="10" borderId="9" xfId="0" applyNumberFormat="1" applyFill="1" applyBorder="1"/>
    <xf numFmtId="0" fontId="8" fillId="10" borderId="9" xfId="0" applyFont="1" applyFill="1" applyBorder="1"/>
    <xf numFmtId="0" fontId="4" fillId="4" borderId="2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vertical="top"/>
    </xf>
    <xf numFmtId="0" fontId="4" fillId="4" borderId="6" xfId="1" applyFont="1" applyFill="1" applyBorder="1" applyAlignment="1">
      <alignment horizontal="center" vertical="top"/>
    </xf>
    <xf numFmtId="0" fontId="2" fillId="11" borderId="0" xfId="1" quotePrefix="1" applyFill="1" applyBorder="1" applyAlignment="1">
      <alignment horizontal="left" vertical="top"/>
    </xf>
    <xf numFmtId="0" fontId="9" fillId="6" borderId="7" xfId="0" applyFont="1" applyFill="1" applyBorder="1" applyAlignment="1">
      <alignment horizontal="center" vertical="top"/>
    </xf>
    <xf numFmtId="0" fontId="9" fillId="6" borderId="11" xfId="0" applyFont="1" applyFill="1" applyBorder="1" applyAlignment="1">
      <alignment horizontal="center" vertical="top"/>
    </xf>
    <xf numFmtId="0" fontId="10" fillId="12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left"/>
    </xf>
    <xf numFmtId="0" fontId="11" fillId="13" borderId="2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14" fontId="11" fillId="13" borderId="2" xfId="0" applyNumberFormat="1" applyFont="1" applyFill="1" applyBorder="1"/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5" xfId="0" applyBorder="1"/>
    <xf numFmtId="0" fontId="0" fillId="16" borderId="0" xfId="0" applyFill="1"/>
    <xf numFmtId="0" fontId="0" fillId="16" borderId="12" xfId="0" applyFill="1" applyBorder="1"/>
    <xf numFmtId="2" fontId="13" fillId="14" borderId="2" xfId="0" applyNumberFormat="1" applyFont="1" applyFill="1" applyBorder="1" applyAlignment="1">
      <alignment horizontal="center" vertical="center"/>
    </xf>
    <xf numFmtId="2" fontId="15" fillId="15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4" borderId="2" xfId="1" applyFont="1" applyFill="1" applyBorder="1" applyAlignment="1">
      <alignment horizontal="center" vertical="top"/>
    </xf>
    <xf numFmtId="0" fontId="5" fillId="5" borderId="3" xfId="1" applyFont="1" applyFill="1" applyBorder="1" applyAlignment="1">
      <alignment horizontal="center" vertical="top"/>
    </xf>
    <xf numFmtId="0" fontId="5" fillId="5" borderId="0" xfId="1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5" borderId="4" xfId="1" applyFont="1" applyFill="1" applyBorder="1" applyAlignment="1">
      <alignment horizontal="center" vertical="top"/>
    </xf>
    <xf numFmtId="0" fontId="5" fillId="5" borderId="5" xfId="1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117729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C5821-2ABF-40C2-982A-8446A9BA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2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117729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6F5B1C-31ED-4652-BE3C-92C520E61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3742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117729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FE714A-3A7D-44E3-B7D6-0C6ACFE6A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43420"/>
          <a:ext cx="6705600" cy="9837039"/>
        </a:xfrm>
        <a:prstGeom prst="rect">
          <a:avLst/>
        </a:prstGeom>
      </xdr:spPr>
    </xdr:pic>
    <xdr:clientData/>
  </xdr:twoCellAnchor>
  <xdr:twoCellAnchor>
    <xdr:from>
      <xdr:col>6</xdr:col>
      <xdr:colOff>504825</xdr:colOff>
      <xdr:row>6</xdr:row>
      <xdr:rowOff>47625</xdr:rowOff>
    </xdr:from>
    <xdr:to>
      <xdr:col>7</xdr:col>
      <xdr:colOff>428625</xdr:colOff>
      <xdr:row>7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2E7529C-817A-6216-3311-DCFF23F26A99}"/>
            </a:ext>
          </a:extLst>
        </xdr:cNvPr>
        <xdr:cNvSpPr/>
      </xdr:nvSpPr>
      <xdr:spPr>
        <a:xfrm>
          <a:off x="4162425" y="1314450"/>
          <a:ext cx="5334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7</xdr:row>
      <xdr:rowOff>85725</xdr:rowOff>
    </xdr:from>
    <xdr:to>
      <xdr:col>2</xdr:col>
      <xdr:colOff>419100</xdr:colOff>
      <xdr:row>8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775C51D-12A5-4C9F-E8CA-F4C0D8AFB38C}"/>
            </a:ext>
          </a:extLst>
        </xdr:cNvPr>
        <xdr:cNvSpPr/>
      </xdr:nvSpPr>
      <xdr:spPr>
        <a:xfrm>
          <a:off x="1000125" y="1543050"/>
          <a:ext cx="6381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257175</xdr:colOff>
      <xdr:row>7</xdr:row>
      <xdr:rowOff>47625</xdr:rowOff>
    </xdr:from>
    <xdr:to>
      <xdr:col>8</xdr:col>
      <xdr:colOff>323850</xdr:colOff>
      <xdr:row>11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41A7EB-E53E-F7A6-FDA0-97A4A053154F}"/>
            </a:ext>
          </a:extLst>
        </xdr:cNvPr>
        <xdr:cNvSpPr txBox="1"/>
      </xdr:nvSpPr>
      <xdr:spPr>
        <a:xfrm>
          <a:off x="3914775" y="1504950"/>
          <a:ext cx="12858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0070C0"/>
              </a:solidFill>
            </a:rPr>
            <a:t>FBG20N18BSH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FBG20N18BSH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FBG20N18B</a:t>
          </a:r>
          <a:endParaRPr lang="en-US" sz="1200">
            <a:solidFill>
              <a:srgbClr val="0070C0"/>
            </a:solidFill>
            <a:effectLst/>
          </a:endParaRPr>
        </a:p>
        <a:p>
          <a:endParaRPr lang="en-US" sz="1200">
            <a:solidFill>
              <a:srgbClr val="0070C0"/>
            </a:solidFill>
          </a:endParaRPr>
        </a:p>
      </xdr:txBody>
    </xdr:sp>
    <xdr:clientData/>
  </xdr:twoCellAnchor>
  <xdr:twoCellAnchor>
    <xdr:from>
      <xdr:col>6</xdr:col>
      <xdr:colOff>247650</xdr:colOff>
      <xdr:row>57</xdr:row>
      <xdr:rowOff>36195</xdr:rowOff>
    </xdr:from>
    <xdr:to>
      <xdr:col>8</xdr:col>
      <xdr:colOff>314325</xdr:colOff>
      <xdr:row>61</xdr:row>
      <xdr:rowOff>36195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3FFF236-E3EF-4D84-B8C6-567792DB233C}"/>
            </a:ext>
          </a:extLst>
        </xdr:cNvPr>
        <xdr:cNvSpPr txBox="1"/>
      </xdr:nvSpPr>
      <xdr:spPr>
        <a:xfrm>
          <a:off x="3905250" y="11018520"/>
          <a:ext cx="12858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0070C0"/>
              </a:solidFill>
            </a:rPr>
            <a:t>FBG20N18BSH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FBG20N18BSH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FBG20N18B</a:t>
          </a:r>
          <a:endParaRPr lang="en-US" sz="1200">
            <a:solidFill>
              <a:srgbClr val="0070C0"/>
            </a:solidFill>
            <a:effectLst/>
          </a:endParaRPr>
        </a:p>
        <a:p>
          <a:endParaRPr lang="en-US" sz="1200">
            <a:solidFill>
              <a:srgbClr val="0070C0"/>
            </a:solidFill>
          </a:endParaRPr>
        </a:p>
      </xdr:txBody>
    </xdr:sp>
    <xdr:clientData/>
  </xdr:twoCellAnchor>
  <xdr:twoCellAnchor>
    <xdr:from>
      <xdr:col>6</xdr:col>
      <xdr:colOff>247650</xdr:colOff>
      <xdr:row>109</xdr:row>
      <xdr:rowOff>26670</xdr:rowOff>
    </xdr:from>
    <xdr:to>
      <xdr:col>8</xdr:col>
      <xdr:colOff>314325</xdr:colOff>
      <xdr:row>113</xdr:row>
      <xdr:rowOff>26670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048515-FDE8-4D7F-B653-67824A5426E6}"/>
            </a:ext>
          </a:extLst>
        </xdr:cNvPr>
        <xdr:cNvSpPr txBox="1"/>
      </xdr:nvSpPr>
      <xdr:spPr>
        <a:xfrm>
          <a:off x="3905250" y="20914995"/>
          <a:ext cx="12858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0070C0"/>
              </a:solidFill>
            </a:rPr>
            <a:t>FBG20N18BSH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FBG20N18BSH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FBG20N18B</a:t>
          </a:r>
          <a:endParaRPr lang="en-US" sz="1200">
            <a:solidFill>
              <a:srgbClr val="0070C0"/>
            </a:solidFill>
            <a:effectLst/>
          </a:endParaRPr>
        </a:p>
        <a:p>
          <a:endParaRPr lang="en-US" sz="1200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419100</xdr:colOff>
      <xdr:row>57</xdr:row>
      <xdr:rowOff>93345</xdr:rowOff>
    </xdr:from>
    <xdr:to>
      <xdr:col>2</xdr:col>
      <xdr:colOff>447675</xdr:colOff>
      <xdr:row>58</xdr:row>
      <xdr:rowOff>83820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9FDFEDF-EC63-4502-AAFF-3AD96E8E8639}"/>
            </a:ext>
          </a:extLst>
        </xdr:cNvPr>
        <xdr:cNvSpPr/>
      </xdr:nvSpPr>
      <xdr:spPr>
        <a:xfrm>
          <a:off x="1028700" y="11075670"/>
          <a:ext cx="6381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74</xdr:row>
      <xdr:rowOff>83820</xdr:rowOff>
    </xdr:from>
    <xdr:to>
      <xdr:col>5</xdr:col>
      <xdr:colOff>19050</xdr:colOff>
      <xdr:row>75</xdr:row>
      <xdr:rowOff>95250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AC5D271-999C-45CB-B992-0CBDBFE125AF}"/>
            </a:ext>
          </a:extLst>
        </xdr:cNvPr>
        <xdr:cNvSpPr/>
      </xdr:nvSpPr>
      <xdr:spPr>
        <a:xfrm>
          <a:off x="2286000" y="14304645"/>
          <a:ext cx="781050" cy="20193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495300</xdr:colOff>
      <xdr:row>84</xdr:row>
      <xdr:rowOff>26670</xdr:rowOff>
    </xdr:from>
    <xdr:to>
      <xdr:col>5</xdr:col>
      <xdr:colOff>57150</xdr:colOff>
      <xdr:row>85</xdr:row>
      <xdr:rowOff>38100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8FFA212-F6EF-4666-85B4-10C4B1038C08}"/>
            </a:ext>
          </a:extLst>
        </xdr:cNvPr>
        <xdr:cNvSpPr/>
      </xdr:nvSpPr>
      <xdr:spPr>
        <a:xfrm>
          <a:off x="2324100" y="16152495"/>
          <a:ext cx="781050" cy="20193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514350</xdr:colOff>
      <xdr:row>94</xdr:row>
      <xdr:rowOff>150495</xdr:rowOff>
    </xdr:from>
    <xdr:to>
      <xdr:col>5</xdr:col>
      <xdr:colOff>76200</xdr:colOff>
      <xdr:row>95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50344C4-C237-4CE4-94AD-2E3A2DDB2739}"/>
            </a:ext>
          </a:extLst>
        </xdr:cNvPr>
        <xdr:cNvSpPr/>
      </xdr:nvSpPr>
      <xdr:spPr>
        <a:xfrm>
          <a:off x="2343150" y="18181320"/>
          <a:ext cx="781050" cy="20193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523875</xdr:colOff>
      <xdr:row>120</xdr:row>
      <xdr:rowOff>45720</xdr:rowOff>
    </xdr:from>
    <xdr:to>
      <xdr:col>5</xdr:col>
      <xdr:colOff>85725</xdr:colOff>
      <xdr:row>121</xdr:row>
      <xdr:rowOff>57150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9168FDD-5CBF-4CF5-9E5A-539C5D4D41F3}"/>
            </a:ext>
          </a:extLst>
        </xdr:cNvPr>
        <xdr:cNvSpPr/>
      </xdr:nvSpPr>
      <xdr:spPr>
        <a:xfrm>
          <a:off x="2352675" y="23029545"/>
          <a:ext cx="781050" cy="20193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466725</xdr:colOff>
      <xdr:row>128</xdr:row>
      <xdr:rowOff>55245</xdr:rowOff>
    </xdr:from>
    <xdr:to>
      <xdr:col>5</xdr:col>
      <xdr:colOff>28575</xdr:colOff>
      <xdr:row>129</xdr:row>
      <xdr:rowOff>66675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126E73B-CF7C-4284-A3D0-6254102D1622}"/>
            </a:ext>
          </a:extLst>
        </xdr:cNvPr>
        <xdr:cNvSpPr/>
      </xdr:nvSpPr>
      <xdr:spPr>
        <a:xfrm>
          <a:off x="2295525" y="24563070"/>
          <a:ext cx="781050" cy="20193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409575</xdr:colOff>
      <xdr:row>3</xdr:row>
      <xdr:rowOff>121919</xdr:rowOff>
    </xdr:from>
    <xdr:to>
      <xdr:col>7</xdr:col>
      <xdr:colOff>171450</xdr:colOff>
      <xdr:row>5</xdr:row>
      <xdr:rowOff>142874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05D727-C04D-4426-9902-467648591A0D}"/>
            </a:ext>
          </a:extLst>
        </xdr:cNvPr>
        <xdr:cNvSpPr txBox="1"/>
      </xdr:nvSpPr>
      <xdr:spPr>
        <a:xfrm>
          <a:off x="2238375" y="817244"/>
          <a:ext cx="2200275" cy="401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70C0"/>
              </a:solidFill>
            </a:rPr>
            <a:t>FBG20N18BSH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41263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493E3-8E3A-4427-95D6-C24486698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80"/>
          <a:ext cx="6705600" cy="3664573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7</xdr:row>
      <xdr:rowOff>173355</xdr:rowOff>
    </xdr:from>
    <xdr:to>
      <xdr:col>8</xdr:col>
      <xdr:colOff>428625</xdr:colOff>
      <xdr:row>11</xdr:row>
      <xdr:rowOff>173355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E55EED-EAEE-430E-B5A3-DF5554F34125}"/>
            </a:ext>
          </a:extLst>
        </xdr:cNvPr>
        <xdr:cNvSpPr txBox="1"/>
      </xdr:nvSpPr>
      <xdr:spPr>
        <a:xfrm>
          <a:off x="4019550" y="1430655"/>
          <a:ext cx="12858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0070C0"/>
              </a:solidFill>
            </a:rPr>
            <a:t>FBG20N18BSH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FBG20N18BSH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FBG20N18B</a:t>
          </a:r>
          <a:endParaRPr lang="en-US" sz="1200">
            <a:solidFill>
              <a:srgbClr val="0070C0"/>
            </a:solidFill>
            <a:effectLst/>
          </a:endParaRPr>
        </a:p>
        <a:p>
          <a:endParaRPr lang="en-US" sz="1200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85725</xdr:colOff>
      <xdr:row>7</xdr:row>
      <xdr:rowOff>11430</xdr:rowOff>
    </xdr:from>
    <xdr:to>
      <xdr:col>8</xdr:col>
      <xdr:colOff>9525</xdr:colOff>
      <xdr:row>7</xdr:row>
      <xdr:rowOff>182880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FCAED01-E05E-4F3A-AF8B-DFACE4EF313C}"/>
            </a:ext>
          </a:extLst>
        </xdr:cNvPr>
        <xdr:cNvSpPr/>
      </xdr:nvSpPr>
      <xdr:spPr>
        <a:xfrm>
          <a:off x="4352925" y="1268730"/>
          <a:ext cx="5334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381000</xdr:colOff>
      <xdr:row>8</xdr:row>
      <xdr:rowOff>78105</xdr:rowOff>
    </xdr:from>
    <xdr:to>
      <xdr:col>2</xdr:col>
      <xdr:colOff>304800</xdr:colOff>
      <xdr:row>9</xdr:row>
      <xdr:rowOff>59055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A545F3D-9D8F-4D71-B291-459FCAFDB9B0}"/>
            </a:ext>
          </a:extLst>
        </xdr:cNvPr>
        <xdr:cNvSpPr/>
      </xdr:nvSpPr>
      <xdr:spPr>
        <a:xfrm>
          <a:off x="990600" y="1525905"/>
          <a:ext cx="5334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495300</xdr:colOff>
      <xdr:row>4</xdr:row>
      <xdr:rowOff>78105</xdr:rowOff>
    </xdr:from>
    <xdr:to>
      <xdr:col>7</xdr:col>
      <xdr:colOff>257175</xdr:colOff>
      <xdr:row>6</xdr:row>
      <xdr:rowOff>99060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841988-5496-4A14-9E60-296A9D86E4C1}"/>
            </a:ext>
          </a:extLst>
        </xdr:cNvPr>
        <xdr:cNvSpPr txBox="1"/>
      </xdr:nvSpPr>
      <xdr:spPr>
        <a:xfrm>
          <a:off x="2324100" y="763905"/>
          <a:ext cx="2200275" cy="401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70C0"/>
              </a:solidFill>
            </a:rPr>
            <a:t>FBG20N18BSH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7ED1-2B89-497A-94CE-1DB34CE9F19D}">
  <sheetPr>
    <tabColor theme="4" tint="-0.249977111117893"/>
  </sheetPr>
  <dimension ref="A1:K155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.75" customHeight="1" x14ac:dyDescent="0.25">
      <c r="A1" s="72" t="s">
        <v>0</v>
      </c>
      <c r="B1" s="72"/>
      <c r="C1" s="72"/>
      <c r="D1" s="72"/>
      <c r="E1" s="2" t="s">
        <v>1</v>
      </c>
      <c r="F1" s="2"/>
      <c r="G1" s="2"/>
      <c r="H1" s="2"/>
      <c r="I1" s="73" t="s">
        <v>2</v>
      </c>
      <c r="J1" s="73"/>
      <c r="K1" s="7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</sheetData>
  <sheetProtection algorithmName="SHA-512" hashValue="r23oGLY9QZbLb83HxXxWV0yP6u9Nf8Ci9OS4bRzWvdM1R+1JE2PK0x8NEG1suSYL9vLfWm9s/fwkzTKqdlzWMg==" saltValue="1e6Co68zRipqMrM6B2elgQ==" spinCount="100000" sheet="1" objects="1" scenarios="1" sort="0" autoFilter="0"/>
  <mergeCells count="2">
    <mergeCell ref="A1:D1"/>
    <mergeCell ref="I1:K1"/>
  </mergeCells>
  <hyperlinks>
    <hyperlink ref="E1" location="INDEX!A1" display="RETURN TO INDEX" xr:uid="{869CFD1E-5F40-4EDF-A3E0-B03F03566586}"/>
    <hyperlink ref="E1:F1" location="INDEX!A1" display="RETURN TO INDEX" xr:uid="{BADE7953-F75D-41D3-967B-6AD70B5B77C2}"/>
    <hyperlink ref="I1:K1" location="'QCI Sample Selection'!A1" display="QCI SAMPLE SELECTION" xr:uid="{6E1CFF95-8DE0-49EB-B6FE-176E34653FB4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4E1C-733B-49D3-9833-98CA3B5BA6C4}">
  <sheetPr>
    <tabColor theme="4" tint="-0.249977111117893"/>
  </sheetPr>
  <dimension ref="A1:K21"/>
  <sheetViews>
    <sheetView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72" t="s">
        <v>4</v>
      </c>
      <c r="B1" s="72"/>
      <c r="C1" s="72"/>
      <c r="D1" s="72"/>
      <c r="E1" s="2" t="s">
        <v>1</v>
      </c>
      <c r="F1" s="2"/>
      <c r="G1" s="2"/>
      <c r="H1" s="3"/>
      <c r="I1" s="73" t="s">
        <v>2</v>
      </c>
      <c r="J1" s="73"/>
      <c r="K1" s="73"/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</sheetData>
  <sheetProtection algorithmName="SHA-512" hashValue="7Ns/jo1rQxwrABc/hoEgLPMjca3S4OkJ43YVdquHhQgL+Kj+Nkh1lSHsXDB9GoDO/RB2p5bqoa3YkDLyjAskIQ==" saltValue="sEVh8RNHm8mqP9nIEHIm1w==" spinCount="100000" sheet="1" objects="1" scenarios="1" sort="0" autoFilter="0"/>
  <mergeCells count="2">
    <mergeCell ref="A1:D1"/>
    <mergeCell ref="I1:K1"/>
  </mergeCells>
  <hyperlinks>
    <hyperlink ref="E1" location="INDEX!A1" display="RETURN TO INDEX" xr:uid="{F9F56063-EFD4-4C04-A23A-1787376308C1}"/>
    <hyperlink ref="I1:K1" location="'QCI Sample Selection'!A1" display="QCI SAMPLE SELECTION" xr:uid="{FC62E148-655E-46FD-AC17-F8A3AB02DA1C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AFFA-763A-47FC-B122-E6C255194687}">
  <sheetPr>
    <tabColor theme="4" tint="-0.249977111117893"/>
  </sheetPr>
  <dimension ref="A1:R126"/>
  <sheetViews>
    <sheetView zoomScale="95" zoomScaleNormal="95" workbookViewId="0">
      <pane xSplit="3" ySplit="10" topLeftCell="D11" activePane="bottomRight" state="frozen"/>
      <selection activeCell="D250" sqref="D250"/>
      <selection pane="topRight" activeCell="D250" sqref="D250"/>
      <selection pane="bottomLeft" activeCell="D250" sqref="D250"/>
      <selection pane="bottomRight" activeCell="D11" sqref="D11"/>
    </sheetView>
  </sheetViews>
  <sheetFormatPr defaultColWidth="0" defaultRowHeight="15" customHeight="1" zeroHeight="1" x14ac:dyDescent="0.25"/>
  <cols>
    <col min="1" max="1" width="18.85546875" style="6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14" width="18.7109375" customWidth="1"/>
    <col min="18" max="18" width="9.140625" hidden="1"/>
  </cols>
  <sheetData>
    <row r="1" spans="1:17" ht="24" x14ac:dyDescent="0.25">
      <c r="A1" s="74" t="s">
        <v>5</v>
      </c>
      <c r="B1" s="74"/>
      <c r="C1" s="74"/>
      <c r="D1" s="74"/>
      <c r="E1" s="74"/>
      <c r="F1" s="74"/>
      <c r="G1" s="4"/>
      <c r="H1" s="2" t="s">
        <v>1</v>
      </c>
      <c r="I1" s="2"/>
      <c r="J1" s="5" t="s">
        <v>6</v>
      </c>
      <c r="K1" s="73" t="s">
        <v>7</v>
      </c>
      <c r="L1" s="73"/>
      <c r="M1" s="73" t="s">
        <v>2</v>
      </c>
      <c r="N1" s="73"/>
      <c r="O1" s="75"/>
      <c r="P1" s="75"/>
    </row>
    <row r="2" spans="1:17" ht="24" x14ac:dyDescent="0.25">
      <c r="A2" s="76" t="s">
        <v>98</v>
      </c>
      <c r="B2" s="76"/>
      <c r="C2" s="76" t="s">
        <v>99</v>
      </c>
      <c r="D2" s="76"/>
      <c r="E2" s="76" t="s">
        <v>100</v>
      </c>
      <c r="F2" s="76"/>
      <c r="G2" s="7" t="s">
        <v>101</v>
      </c>
      <c r="H2" s="77" t="s">
        <v>8</v>
      </c>
      <c r="I2" s="78"/>
      <c r="J2" s="78"/>
      <c r="K2" s="78"/>
      <c r="L2" s="78"/>
      <c r="M2" s="78"/>
      <c r="N2" s="78"/>
      <c r="O2" s="78"/>
      <c r="P2" s="78"/>
      <c r="Q2" s="78"/>
    </row>
    <row r="3" spans="1:17" ht="24" x14ac:dyDescent="0.25">
      <c r="A3" s="76" t="s">
        <v>97</v>
      </c>
      <c r="B3" s="76"/>
      <c r="C3" s="76" t="s">
        <v>97</v>
      </c>
      <c r="D3" s="76"/>
      <c r="E3" s="76"/>
      <c r="F3" s="76"/>
      <c r="G3" s="7">
        <v>2351</v>
      </c>
      <c r="H3" s="77"/>
      <c r="I3" s="78"/>
      <c r="J3" s="78"/>
      <c r="K3" s="78"/>
      <c r="L3" s="78"/>
      <c r="M3" s="78"/>
      <c r="N3" s="78"/>
      <c r="O3" s="78"/>
      <c r="P3" s="78"/>
      <c r="Q3" s="78"/>
    </row>
    <row r="4" spans="1:17" ht="24" x14ac:dyDescent="0.4">
      <c r="A4" s="79" t="str">
        <f>IF($B$5=$B$6,"PASS","FAIL")</f>
        <v>PASS</v>
      </c>
      <c r="B4" s="80"/>
      <c r="C4" s="80"/>
      <c r="D4" s="80"/>
      <c r="E4" s="80"/>
      <c r="F4" s="80"/>
      <c r="G4" s="80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17" x14ac:dyDescent="0.25">
      <c r="A5" s="8" t="s">
        <v>9</v>
      </c>
      <c r="B5" s="9">
        <f>COUNTA(C$11:C$2000)-COUNTIF(C11:C$2000,"ND")</f>
        <v>116</v>
      </c>
      <c r="C5" s="10"/>
      <c r="D5" s="11"/>
      <c r="E5" s="11"/>
      <c r="F5" s="12"/>
      <c r="G5" s="12"/>
      <c r="H5" s="13"/>
      <c r="I5" s="12"/>
      <c r="J5" s="12"/>
      <c r="K5" s="12"/>
      <c r="L5" s="12"/>
      <c r="M5" s="12"/>
      <c r="N5" s="12"/>
    </row>
    <row r="6" spans="1:17" x14ac:dyDescent="0.25">
      <c r="A6" s="14" t="s">
        <v>10</v>
      </c>
      <c r="B6" s="15">
        <f>COUNTIF(C11:C$2000,"All Pass")</f>
        <v>116</v>
      </c>
      <c r="C6" s="16"/>
      <c r="D6" s="16"/>
      <c r="E6" s="16"/>
      <c r="F6" s="16" t="s">
        <v>11</v>
      </c>
      <c r="G6" s="17" t="s">
        <v>12</v>
      </c>
      <c r="H6" s="18" t="s">
        <v>13</v>
      </c>
      <c r="I6" s="17" t="s">
        <v>14</v>
      </c>
      <c r="J6" s="17" t="s">
        <v>15</v>
      </c>
      <c r="K6" s="17" t="s">
        <v>16</v>
      </c>
      <c r="L6" s="17" t="s">
        <v>17</v>
      </c>
      <c r="M6" s="17" t="s">
        <v>18</v>
      </c>
      <c r="N6" s="17" t="s">
        <v>19</v>
      </c>
    </row>
    <row r="7" spans="1:17" x14ac:dyDescent="0.25">
      <c r="A7" s="14" t="s">
        <v>20</v>
      </c>
      <c r="B7" s="15">
        <f>COUNTIF(C11:C$2000,"ND")</f>
        <v>0</v>
      </c>
      <c r="C7" s="16"/>
      <c r="D7" s="16"/>
      <c r="E7" s="16"/>
      <c r="F7" s="16" t="s">
        <v>21</v>
      </c>
      <c r="G7" s="17" t="s">
        <v>22</v>
      </c>
      <c r="H7" s="18" t="s">
        <v>23</v>
      </c>
      <c r="I7" s="17" t="s">
        <v>22</v>
      </c>
      <c r="J7" s="17" t="s">
        <v>24</v>
      </c>
      <c r="K7" s="17" t="s">
        <v>25</v>
      </c>
      <c r="L7" s="17" t="s">
        <v>26</v>
      </c>
      <c r="M7" s="17" t="s">
        <v>27</v>
      </c>
      <c r="N7" s="17" t="s">
        <v>28</v>
      </c>
    </row>
    <row r="8" spans="1:17" x14ac:dyDescent="0.25">
      <c r="A8" s="14" t="s">
        <v>29</v>
      </c>
      <c r="B8" s="15">
        <f>B5-B6</f>
        <v>0</v>
      </c>
      <c r="C8" s="16"/>
      <c r="D8" s="16"/>
      <c r="E8" s="16"/>
      <c r="F8" s="16" t="s">
        <v>30</v>
      </c>
      <c r="G8" s="17" t="s">
        <v>31</v>
      </c>
      <c r="H8" s="18" t="s">
        <v>32</v>
      </c>
      <c r="I8" s="17" t="s">
        <v>33</v>
      </c>
      <c r="J8" s="17" t="s">
        <v>34</v>
      </c>
      <c r="K8" s="17" t="s">
        <v>35</v>
      </c>
      <c r="L8" s="17" t="s">
        <v>36</v>
      </c>
      <c r="M8" s="17" t="s">
        <v>37</v>
      </c>
      <c r="N8" s="17" t="s">
        <v>38</v>
      </c>
    </row>
    <row r="9" spans="1:17" x14ac:dyDescent="0.25">
      <c r="A9" s="16" t="s">
        <v>39</v>
      </c>
      <c r="B9" s="16" t="s">
        <v>40</v>
      </c>
      <c r="C9" s="16" t="s">
        <v>41</v>
      </c>
      <c r="D9" s="16" t="s">
        <v>42</v>
      </c>
      <c r="E9" s="16" t="s">
        <v>43</v>
      </c>
      <c r="F9" s="16" t="s">
        <v>44</v>
      </c>
      <c r="G9" s="17"/>
      <c r="H9" s="19"/>
      <c r="I9" s="17"/>
      <c r="J9" s="17"/>
      <c r="K9" s="17"/>
      <c r="L9" s="17"/>
      <c r="M9" s="17" t="s">
        <v>45</v>
      </c>
      <c r="N9" s="17"/>
    </row>
    <row r="10" spans="1:17" s="21" customForma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7" s="21" customFormat="1" x14ac:dyDescent="0.25">
      <c r="A11" s="6"/>
      <c r="B11" s="22">
        <v>8</v>
      </c>
      <c r="C11" s="23" t="s">
        <v>46</v>
      </c>
      <c r="D11" s="24"/>
      <c r="E11" s="22">
        <v>1</v>
      </c>
      <c r="F11" s="22">
        <v>0.60329999999999995</v>
      </c>
      <c r="G11" s="25">
        <v>2.2759999999999999E-6</v>
      </c>
      <c r="H11" s="25">
        <v>2.6469999999999998E-6</v>
      </c>
      <c r="I11" s="25">
        <v>1.2679999999999999E-5</v>
      </c>
      <c r="J11" s="25">
        <v>1.1000000000000001E-6</v>
      </c>
      <c r="K11" s="25">
        <v>1.38</v>
      </c>
      <c r="L11" s="25">
        <v>1.38</v>
      </c>
      <c r="M11" s="25">
        <v>2.1649999999999999E-2</v>
      </c>
      <c r="N11" s="26">
        <v>1.9319999999999999</v>
      </c>
      <c r="O11" s="21">
        <v>1.3339999999999998E-5</v>
      </c>
      <c r="P11" s="21">
        <v>6.2670000000000003E-6</v>
      </c>
    </row>
    <row r="12" spans="1:17" s="21" customFormat="1" x14ac:dyDescent="0.25">
      <c r="A12" s="6"/>
      <c r="B12" s="22">
        <v>9</v>
      </c>
      <c r="C12" s="23" t="s">
        <v>46</v>
      </c>
      <c r="D12" s="23"/>
      <c r="E12" s="22">
        <v>1</v>
      </c>
      <c r="F12" s="22">
        <v>0.58610000000000007</v>
      </c>
      <c r="G12" s="25">
        <v>3.1189999999999998E-7</v>
      </c>
      <c r="H12" s="25">
        <v>1.0720000000000001E-6</v>
      </c>
      <c r="I12" s="25">
        <v>1.9369999999999998E-6</v>
      </c>
      <c r="J12" s="25">
        <v>5.9520000000000004E-7</v>
      </c>
      <c r="K12" s="25">
        <v>1.4450000000000001</v>
      </c>
      <c r="L12" s="25">
        <v>1.4450000000000001</v>
      </c>
      <c r="M12" s="25">
        <v>2.3559999999999998E-2</v>
      </c>
      <c r="N12" s="26">
        <v>1.8180000000000001</v>
      </c>
      <c r="O12" s="21">
        <v>1.3909999999999999E-5</v>
      </c>
      <c r="P12" s="21">
        <v>7.9640000000000001E-7</v>
      </c>
    </row>
    <row r="13" spans="1:17" s="21" customFormat="1" x14ac:dyDescent="0.25">
      <c r="A13" s="6"/>
      <c r="B13" s="22">
        <v>15</v>
      </c>
      <c r="C13" s="23" t="s">
        <v>46</v>
      </c>
      <c r="D13" s="23"/>
      <c r="E13" s="22">
        <v>1</v>
      </c>
      <c r="F13" s="22">
        <v>0.59360000000000002</v>
      </c>
      <c r="G13" s="25">
        <v>5.2190000000000003E-7</v>
      </c>
      <c r="H13" s="25">
        <v>2.3209999999999999E-6</v>
      </c>
      <c r="I13" s="25">
        <v>2.5830000000000001E-6</v>
      </c>
      <c r="J13" s="25">
        <v>4.904E-7</v>
      </c>
      <c r="K13" s="25">
        <v>1.579</v>
      </c>
      <c r="L13" s="25">
        <v>1.579</v>
      </c>
      <c r="M13" s="25">
        <v>2.1430000000000001E-2</v>
      </c>
      <c r="N13" s="26">
        <v>1.93</v>
      </c>
      <c r="O13" s="21">
        <v>1.4090000000000002E-5</v>
      </c>
      <c r="P13" s="21">
        <v>1.068E-6</v>
      </c>
    </row>
    <row r="14" spans="1:17" s="21" customFormat="1" x14ac:dyDescent="0.25">
      <c r="A14" s="6"/>
      <c r="B14" s="22">
        <v>16</v>
      </c>
      <c r="C14" s="23" t="s">
        <v>46</v>
      </c>
      <c r="D14" s="23"/>
      <c r="E14" s="22">
        <v>1</v>
      </c>
      <c r="F14" s="22">
        <v>0.62960000000000005</v>
      </c>
      <c r="G14" s="25">
        <v>2.4350000000000003E-7</v>
      </c>
      <c r="H14" s="25">
        <v>1.885E-6</v>
      </c>
      <c r="I14" s="25">
        <v>3.0299999999999998E-6</v>
      </c>
      <c r="J14" s="25">
        <v>3.1600000000000002E-7</v>
      </c>
      <c r="K14" s="25">
        <v>1.3360000000000001</v>
      </c>
      <c r="L14" s="25">
        <v>1.3360000000000001</v>
      </c>
      <c r="M14" s="25">
        <v>2.2720000000000001E-2</v>
      </c>
      <c r="N14" s="26">
        <v>1.7789999999999999</v>
      </c>
      <c r="O14" s="21">
        <v>1.2980000000000001E-5</v>
      </c>
      <c r="P14" s="21">
        <v>9.5860000000000002E-7</v>
      </c>
    </row>
    <row r="15" spans="1:17" s="21" customFormat="1" x14ac:dyDescent="0.25">
      <c r="A15" s="6"/>
      <c r="B15" s="22">
        <v>34</v>
      </c>
      <c r="C15" s="23" t="s">
        <v>46</v>
      </c>
      <c r="D15" s="24"/>
      <c r="E15" s="22">
        <v>1</v>
      </c>
      <c r="F15" s="22">
        <v>0.63950000000000007</v>
      </c>
      <c r="G15" s="25">
        <v>1.1339999999999999E-6</v>
      </c>
      <c r="H15" s="25">
        <v>7.2610000000000002E-7</v>
      </c>
      <c r="I15" s="25">
        <v>8.8859999999999993E-6</v>
      </c>
      <c r="J15" s="25">
        <v>3.0060000000000003E-7</v>
      </c>
      <c r="K15" s="25">
        <v>1.3169999999999999</v>
      </c>
      <c r="L15" s="25">
        <v>1.3169999999999999</v>
      </c>
      <c r="M15" s="25">
        <v>2.3199999999999998E-2</v>
      </c>
      <c r="N15" s="26">
        <v>1.74</v>
      </c>
      <c r="O15" s="21">
        <v>1.1600000000000001E-5</v>
      </c>
      <c r="P15" s="21">
        <v>4.9629999999999997E-6</v>
      </c>
    </row>
    <row r="16" spans="1:17" s="21" customFormat="1" x14ac:dyDescent="0.25">
      <c r="A16" s="6"/>
      <c r="B16" s="22">
        <v>40</v>
      </c>
      <c r="C16" s="23" t="s">
        <v>46</v>
      </c>
      <c r="D16" s="24"/>
      <c r="E16" s="22">
        <v>1</v>
      </c>
      <c r="F16" s="22">
        <v>0.64090000000000003</v>
      </c>
      <c r="G16" s="25">
        <v>6.1950000000000006E-7</v>
      </c>
      <c r="H16" s="25">
        <v>2.5790000000000002E-6</v>
      </c>
      <c r="I16" s="25">
        <v>3.2869999999999996E-6</v>
      </c>
      <c r="J16" s="25">
        <v>5.1920000000000004E-7</v>
      </c>
      <c r="K16" s="25">
        <v>1.29</v>
      </c>
      <c r="L16" s="25">
        <v>1.29</v>
      </c>
      <c r="M16" s="25">
        <v>2.2679999999999999E-2</v>
      </c>
      <c r="N16" s="26">
        <v>1.762</v>
      </c>
      <c r="O16" s="21">
        <v>1.2859999999999995E-5</v>
      </c>
      <c r="P16" s="21">
        <v>1.514E-6</v>
      </c>
    </row>
    <row r="17" spans="1:16" s="21" customFormat="1" x14ac:dyDescent="0.25">
      <c r="A17" s="6"/>
      <c r="B17" s="22">
        <v>44</v>
      </c>
      <c r="C17" s="23" t="s">
        <v>46</v>
      </c>
      <c r="D17" s="23"/>
      <c r="E17" s="22">
        <v>1</v>
      </c>
      <c r="F17" s="22">
        <v>0.57699999999999996</v>
      </c>
      <c r="G17" s="25">
        <v>2.9630000000000003E-7</v>
      </c>
      <c r="H17" s="25">
        <v>5.8120000000000004E-7</v>
      </c>
      <c r="I17" s="25">
        <v>5.0699999999999997E-6</v>
      </c>
      <c r="J17" s="25">
        <v>6.2330000000000003E-7</v>
      </c>
      <c r="K17" s="25">
        <v>1.5229999999999999</v>
      </c>
      <c r="L17" s="25">
        <v>1.5229999999999999</v>
      </c>
      <c r="M17" s="25">
        <v>2.3179999999999999E-2</v>
      </c>
      <c r="N17" s="26">
        <v>1.87</v>
      </c>
      <c r="O17" s="21">
        <v>1.2499999999999999E-5</v>
      </c>
      <c r="P17" s="21">
        <v>2.1349999999999999E-6</v>
      </c>
    </row>
    <row r="18" spans="1:16" s="21" customFormat="1" x14ac:dyDescent="0.25">
      <c r="A18" s="6"/>
      <c r="B18" s="22">
        <v>49</v>
      </c>
      <c r="C18" s="23" t="s">
        <v>46</v>
      </c>
      <c r="D18" s="23"/>
      <c r="E18" s="22">
        <v>1</v>
      </c>
      <c r="F18" s="22">
        <v>0.62150000000000005</v>
      </c>
      <c r="G18" s="25">
        <v>2.8910000000000001E-7</v>
      </c>
      <c r="H18" s="25">
        <v>1.8560000000000001E-6</v>
      </c>
      <c r="I18" s="25">
        <v>4.4209999999999997E-6</v>
      </c>
      <c r="J18" s="25">
        <v>2.5460000000000002E-7</v>
      </c>
      <c r="K18" s="25">
        <v>1.472</v>
      </c>
      <c r="L18" s="25">
        <v>1.472</v>
      </c>
      <c r="M18" s="25">
        <v>2.2260000000000002E-2</v>
      </c>
      <c r="N18" s="26">
        <v>1.8180000000000001</v>
      </c>
      <c r="O18" s="21">
        <v>1.1020000000000006E-5</v>
      </c>
      <c r="P18" s="21">
        <v>1.6899999999999999E-6</v>
      </c>
    </row>
    <row r="19" spans="1:16" s="21" customFormat="1" x14ac:dyDescent="0.25">
      <c r="A19" s="6"/>
      <c r="B19" s="22">
        <v>51</v>
      </c>
      <c r="C19" s="23" t="s">
        <v>46</v>
      </c>
      <c r="D19" s="23"/>
      <c r="E19" s="22">
        <v>1</v>
      </c>
      <c r="F19" s="22">
        <v>0.5413</v>
      </c>
      <c r="G19" s="25">
        <v>5.0350000000000003E-7</v>
      </c>
      <c r="H19" s="25">
        <v>7.800000000000001E-8</v>
      </c>
      <c r="I19" s="25">
        <v>7.855999999999999E-6</v>
      </c>
      <c r="J19" s="25">
        <v>3.2000000000000001E-7</v>
      </c>
      <c r="K19" s="25">
        <v>1.51</v>
      </c>
      <c r="L19" s="25">
        <v>1.51</v>
      </c>
      <c r="M19" s="25">
        <v>2.3879999999999998E-2</v>
      </c>
      <c r="N19" s="26">
        <v>1.9670000000000001</v>
      </c>
      <c r="O19" s="21">
        <v>2.9780000000000001E-6</v>
      </c>
      <c r="P19" s="21">
        <v>3.41E-6</v>
      </c>
    </row>
    <row r="20" spans="1:16" x14ac:dyDescent="0.25">
      <c r="B20" s="22">
        <v>58</v>
      </c>
      <c r="C20" s="23" t="s">
        <v>46</v>
      </c>
      <c r="D20" s="23"/>
      <c r="E20" s="22">
        <v>1</v>
      </c>
      <c r="F20" s="22">
        <v>0.59250000000000003</v>
      </c>
      <c r="G20" s="25">
        <v>2.1389999999999998E-6</v>
      </c>
      <c r="H20" s="25">
        <v>2.3010000000000001E-6</v>
      </c>
      <c r="I20" s="25">
        <v>4.5220000000000001E-6</v>
      </c>
      <c r="J20" s="25">
        <v>1.1119999999999999E-6</v>
      </c>
      <c r="K20" s="25">
        <v>1.381</v>
      </c>
      <c r="L20" s="25">
        <v>1.381</v>
      </c>
      <c r="M20" s="25">
        <v>2.5079999999999998E-2</v>
      </c>
      <c r="N20" s="25">
        <v>1.738</v>
      </c>
      <c r="O20">
        <v>1.1009999999999998E-5</v>
      </c>
      <c r="P20">
        <v>3.5049999999999999E-6</v>
      </c>
    </row>
    <row r="21" spans="1:16" x14ac:dyDescent="0.25">
      <c r="B21" s="22">
        <v>61</v>
      </c>
      <c r="C21" s="23" t="s">
        <v>46</v>
      </c>
      <c r="D21" s="24"/>
      <c r="E21" s="22">
        <v>1</v>
      </c>
      <c r="F21" s="22">
        <v>0.59889999999999999</v>
      </c>
      <c r="G21" s="25">
        <v>8.6350000000000008E-7</v>
      </c>
      <c r="H21" s="25">
        <v>1.246E-6</v>
      </c>
      <c r="I21" s="25">
        <v>1.0599999999999998E-5</v>
      </c>
      <c r="J21" s="25">
        <v>3.7150000000000001E-7</v>
      </c>
      <c r="K21" s="25">
        <v>1.3280000000000001</v>
      </c>
      <c r="L21" s="25">
        <v>1.3280000000000001</v>
      </c>
      <c r="M21" s="25">
        <v>2.2270000000000002E-2</v>
      </c>
      <c r="N21" s="25">
        <v>1.8240000000000001</v>
      </c>
      <c r="O21">
        <v>1.1379999999999993E-5</v>
      </c>
      <c r="P21">
        <v>5.412E-6</v>
      </c>
    </row>
    <row r="22" spans="1:16" x14ac:dyDescent="0.25">
      <c r="B22" s="22">
        <v>62</v>
      </c>
      <c r="C22" s="23" t="s">
        <v>46</v>
      </c>
      <c r="D22" s="23"/>
      <c r="E22" s="22">
        <v>1</v>
      </c>
      <c r="F22" s="22">
        <v>0.55559999999999998</v>
      </c>
      <c r="G22" s="25">
        <v>8.2560000000000009E-7</v>
      </c>
      <c r="H22" s="25">
        <v>4.9600000000000007E-8</v>
      </c>
      <c r="I22" s="25">
        <v>1.6370000000000001E-5</v>
      </c>
      <c r="J22" s="25">
        <v>1.6820000000000001E-7</v>
      </c>
      <c r="K22" s="25">
        <v>1.5880000000000001</v>
      </c>
      <c r="L22" s="25">
        <v>1.5880000000000001</v>
      </c>
      <c r="M22" s="25">
        <v>2.2710000000000001E-2</v>
      </c>
      <c r="N22" s="25">
        <v>2.0310000000000001</v>
      </c>
      <c r="O22">
        <v>2.6619999999999997E-6</v>
      </c>
      <c r="P22">
        <v>7.2599999999999991E-6</v>
      </c>
    </row>
    <row r="23" spans="1:16" x14ac:dyDescent="0.25">
      <c r="B23" s="22">
        <v>63</v>
      </c>
      <c r="C23" s="23" t="s">
        <v>46</v>
      </c>
      <c r="D23" s="23"/>
      <c r="E23" s="22">
        <v>1</v>
      </c>
      <c r="F23" s="22">
        <v>0.60470000000000002</v>
      </c>
      <c r="G23" s="25">
        <v>9.1840000000000007E-7</v>
      </c>
      <c r="H23" s="25">
        <v>2.1919999999999999E-6</v>
      </c>
      <c r="I23" s="25">
        <v>3.14E-6</v>
      </c>
      <c r="J23" s="25">
        <v>1.1709999999999999E-6</v>
      </c>
      <c r="K23" s="25">
        <v>1.506</v>
      </c>
      <c r="L23" s="25">
        <v>1.506</v>
      </c>
      <c r="M23" s="25">
        <v>2.265E-2</v>
      </c>
      <c r="N23" s="25">
        <v>1.833</v>
      </c>
      <c r="O23">
        <v>1.3429999999999992E-5</v>
      </c>
      <c r="P23">
        <v>2.0190000000000001E-6</v>
      </c>
    </row>
    <row r="24" spans="1:16" x14ac:dyDescent="0.25">
      <c r="B24" s="22">
        <v>65</v>
      </c>
      <c r="C24" s="23" t="s">
        <v>46</v>
      </c>
      <c r="D24" s="23"/>
      <c r="E24" s="22">
        <v>1</v>
      </c>
      <c r="F24" s="22">
        <v>9.920000000000001E-2</v>
      </c>
      <c r="G24" s="25">
        <v>2.091E-6</v>
      </c>
      <c r="H24" s="25">
        <v>3.9280000000000002E-7</v>
      </c>
      <c r="I24" s="25">
        <v>1.221E-5</v>
      </c>
      <c r="J24" s="25">
        <v>5.3460000000000004E-7</v>
      </c>
      <c r="K24" s="25">
        <v>1.4730000000000001</v>
      </c>
      <c r="L24" s="25">
        <v>1.4730000000000001</v>
      </c>
      <c r="M24" s="25">
        <v>2.3640000000000001E-2</v>
      </c>
      <c r="N24" s="25">
        <v>1.978</v>
      </c>
      <c r="O24">
        <v>9.4269999999999997E-6</v>
      </c>
      <c r="P24">
        <v>6.328999999999999E-6</v>
      </c>
    </row>
    <row r="25" spans="1:16" x14ac:dyDescent="0.25">
      <c r="B25" s="22">
        <v>66</v>
      </c>
      <c r="C25" s="23" t="s">
        <v>46</v>
      </c>
      <c r="D25" s="23"/>
      <c r="E25" s="22">
        <v>1</v>
      </c>
      <c r="F25" s="22">
        <v>0.63039999999999996</v>
      </c>
      <c r="G25" s="25">
        <v>6.4270000000000011E-7</v>
      </c>
      <c r="H25" s="25">
        <v>7.9410000000000005E-7</v>
      </c>
      <c r="I25" s="25">
        <v>3.8580000000000002E-6</v>
      </c>
      <c r="J25" s="25">
        <v>5.7870000000000007E-7</v>
      </c>
      <c r="K25" s="25">
        <v>1.367</v>
      </c>
      <c r="L25" s="25">
        <v>1.367</v>
      </c>
      <c r="M25" s="25">
        <v>2.2610000000000002E-2</v>
      </c>
      <c r="N25" s="25">
        <v>1.7549999999999999</v>
      </c>
      <c r="O25">
        <v>1.289E-5</v>
      </c>
      <c r="P25">
        <v>2.0670000000000003E-6</v>
      </c>
    </row>
    <row r="26" spans="1:16" x14ac:dyDescent="0.25">
      <c r="B26" s="22">
        <v>67</v>
      </c>
      <c r="C26" s="23" t="s">
        <v>46</v>
      </c>
      <c r="D26" s="24"/>
      <c r="E26" s="22">
        <v>1</v>
      </c>
      <c r="F26" s="22">
        <v>9.894E-2</v>
      </c>
      <c r="G26" s="25">
        <v>1.0759999999999999E-6</v>
      </c>
      <c r="H26" s="25">
        <v>8.9700000000000005E-7</v>
      </c>
      <c r="I26" s="25">
        <v>1.819E-5</v>
      </c>
      <c r="J26" s="25">
        <v>2.6900000000000004E-7</v>
      </c>
      <c r="K26" s="25">
        <v>1.5269999999999999</v>
      </c>
      <c r="L26" s="25">
        <v>1.5269999999999999</v>
      </c>
      <c r="M26" s="25">
        <v>2.239E-2</v>
      </c>
      <c r="N26" s="25">
        <v>1.992</v>
      </c>
      <c r="O26">
        <v>1.1219999999999996E-5</v>
      </c>
      <c r="P26">
        <v>7.7500000000000003E-6</v>
      </c>
    </row>
    <row r="27" spans="1:16" x14ac:dyDescent="0.25">
      <c r="B27" s="22">
        <v>68</v>
      </c>
      <c r="C27" s="23" t="s">
        <v>46</v>
      </c>
      <c r="D27" s="23"/>
      <c r="E27" s="22">
        <v>1</v>
      </c>
      <c r="F27" s="22">
        <v>0.6008</v>
      </c>
      <c r="G27" s="25">
        <v>1.1659999999999999E-6</v>
      </c>
      <c r="H27" s="25">
        <v>1.8929999999999999E-6</v>
      </c>
      <c r="I27" s="25">
        <v>2.497E-6</v>
      </c>
      <c r="J27" s="25">
        <v>1.147E-6</v>
      </c>
      <c r="K27" s="25">
        <v>1.4950000000000001</v>
      </c>
      <c r="L27" s="25">
        <v>1.4950000000000001</v>
      </c>
      <c r="M27" s="25">
        <v>2.2440000000000002E-2</v>
      </c>
      <c r="N27" s="25">
        <v>1.8740000000000001</v>
      </c>
      <c r="O27">
        <v>1.3709999999999999E-5</v>
      </c>
      <c r="P27">
        <v>1.809E-6</v>
      </c>
    </row>
    <row r="28" spans="1:16" x14ac:dyDescent="0.25">
      <c r="B28" s="22">
        <v>70</v>
      </c>
      <c r="C28" s="23" t="s">
        <v>46</v>
      </c>
      <c r="D28" s="24"/>
      <c r="E28" s="22">
        <v>1</v>
      </c>
      <c r="F28" s="22">
        <v>0.65320000000000011</v>
      </c>
      <c r="G28" s="25">
        <v>2.4610000000000001E-7</v>
      </c>
      <c r="H28" s="25">
        <v>1.08E-6</v>
      </c>
      <c r="I28" s="25">
        <v>2.9380000000000001E-6</v>
      </c>
      <c r="J28" s="25">
        <v>3.4800000000000005E-7</v>
      </c>
      <c r="K28" s="25">
        <v>1.4059999999999999</v>
      </c>
      <c r="L28" s="25">
        <v>1.4059999999999999</v>
      </c>
      <c r="M28" s="25">
        <v>2.2630000000000001E-2</v>
      </c>
      <c r="N28" s="25">
        <v>1.722</v>
      </c>
      <c r="O28">
        <v>1.3159999999999998E-5</v>
      </c>
      <c r="P28">
        <v>1.0529999999999999E-6</v>
      </c>
    </row>
    <row r="29" spans="1:16" x14ac:dyDescent="0.25">
      <c r="B29" s="22">
        <v>74</v>
      </c>
      <c r="C29" s="23" t="s">
        <v>46</v>
      </c>
      <c r="D29" s="23"/>
      <c r="E29" s="22">
        <v>1</v>
      </c>
      <c r="F29" s="22">
        <v>0.59710000000000008</v>
      </c>
      <c r="G29" s="25">
        <v>4.1689999999999998E-7</v>
      </c>
      <c r="H29" s="25">
        <v>2.3690000000000001E-7</v>
      </c>
      <c r="I29" s="25">
        <v>1.011E-5</v>
      </c>
      <c r="J29" s="25">
        <v>2.3550000000000001E-7</v>
      </c>
      <c r="K29" s="25">
        <v>1.27</v>
      </c>
      <c r="L29" s="25">
        <v>1.27</v>
      </c>
      <c r="M29" s="25">
        <v>2.2519999999999998E-2</v>
      </c>
      <c r="N29" s="25">
        <v>1.8560000000000001</v>
      </c>
      <c r="O29">
        <v>6.4609999999999996E-6</v>
      </c>
      <c r="P29">
        <v>4.425E-6</v>
      </c>
    </row>
    <row r="30" spans="1:16" x14ac:dyDescent="0.25">
      <c r="B30" s="22">
        <v>77</v>
      </c>
      <c r="C30" s="23" t="s">
        <v>46</v>
      </c>
      <c r="D30" s="23"/>
      <c r="E30" s="22">
        <v>1</v>
      </c>
      <c r="F30" s="22">
        <v>0.56889999999999996</v>
      </c>
      <c r="G30" s="25">
        <v>7.3100000000000007E-7</v>
      </c>
      <c r="H30" s="25">
        <v>6.7150000000000005E-7</v>
      </c>
      <c r="I30" s="25">
        <v>1.0550000000000001E-5</v>
      </c>
      <c r="J30" s="25">
        <v>5.1870000000000011E-7</v>
      </c>
      <c r="K30" s="25">
        <v>1.488</v>
      </c>
      <c r="L30" s="25">
        <v>1.488</v>
      </c>
      <c r="M30" s="25">
        <v>2.2859999999999998E-2</v>
      </c>
      <c r="N30" s="25">
        <v>1.958</v>
      </c>
      <c r="O30">
        <v>1.575E-5</v>
      </c>
      <c r="P30">
        <v>5.2689999999999999E-6</v>
      </c>
    </row>
    <row r="31" spans="1:16" x14ac:dyDescent="0.25">
      <c r="B31" s="22">
        <v>79</v>
      </c>
      <c r="C31" s="23" t="s">
        <v>46</v>
      </c>
      <c r="D31" s="23"/>
      <c r="E31" s="22">
        <v>1</v>
      </c>
      <c r="F31" s="22">
        <v>0.61239999999999994</v>
      </c>
      <c r="G31" s="25">
        <v>1.0549999999999999E-6</v>
      </c>
      <c r="H31" s="25">
        <v>1.7379999999999999E-6</v>
      </c>
      <c r="I31" s="25">
        <v>4.8509999999999998E-6</v>
      </c>
      <c r="J31" s="25">
        <v>1.1680000000000001E-6</v>
      </c>
      <c r="K31" s="25">
        <v>1.5389999999999999</v>
      </c>
      <c r="L31" s="25">
        <v>1.5389999999999999</v>
      </c>
      <c r="M31" s="25">
        <v>2.2839999999999999E-2</v>
      </c>
      <c r="N31" s="25">
        <v>1.84</v>
      </c>
      <c r="O31">
        <v>1.4209999999999998E-5</v>
      </c>
      <c r="P31">
        <v>2.8769999999999997E-6</v>
      </c>
    </row>
    <row r="32" spans="1:16" x14ac:dyDescent="0.25">
      <c r="B32" s="22">
        <v>82</v>
      </c>
      <c r="C32" s="23" t="s">
        <v>46</v>
      </c>
      <c r="D32" s="23"/>
      <c r="E32" s="22">
        <v>1</v>
      </c>
      <c r="F32" s="22">
        <v>0.59150000000000003</v>
      </c>
      <c r="G32" s="25">
        <v>3.4970000000000001E-7</v>
      </c>
      <c r="H32" s="25">
        <v>2.7349999999999996E-6</v>
      </c>
      <c r="I32" s="25">
        <v>3.4489999999999995E-6</v>
      </c>
      <c r="J32" s="25">
        <v>5.2770000000000005E-7</v>
      </c>
      <c r="K32" s="25">
        <v>1.3839999999999999</v>
      </c>
      <c r="L32" s="25">
        <v>1.3839999999999999</v>
      </c>
      <c r="M32" s="25">
        <v>2.3620000000000002E-2</v>
      </c>
      <c r="N32" s="25">
        <v>1.7929999999999999</v>
      </c>
      <c r="O32">
        <v>1.1340000000000003E-5</v>
      </c>
      <c r="P32">
        <v>1.4259999999999998E-6</v>
      </c>
    </row>
    <row r="33" spans="2:16" x14ac:dyDescent="0.25">
      <c r="B33" s="22">
        <v>85</v>
      </c>
      <c r="C33" s="23" t="s">
        <v>46</v>
      </c>
      <c r="D33" s="23"/>
      <c r="E33" s="22">
        <v>1</v>
      </c>
      <c r="F33" s="22">
        <v>9.844E-2</v>
      </c>
      <c r="G33" s="25">
        <v>3.6769999999999999E-7</v>
      </c>
      <c r="H33" s="25">
        <v>5.2720000000000012E-7</v>
      </c>
      <c r="I33" s="25">
        <v>1.031E-6</v>
      </c>
      <c r="J33" s="25">
        <v>3.7020000000000002E-7</v>
      </c>
      <c r="K33" s="25">
        <v>1.5780000000000001</v>
      </c>
      <c r="L33" s="25">
        <v>1.5780000000000001</v>
      </c>
      <c r="M33" s="25">
        <v>2.3519999999999999E-2</v>
      </c>
      <c r="N33" s="25">
        <v>1.909</v>
      </c>
      <c r="O33">
        <v>1.2649999999999999E-5</v>
      </c>
      <c r="P33">
        <v>5.7199999999999999E-7</v>
      </c>
    </row>
    <row r="34" spans="2:16" x14ac:dyDescent="0.25">
      <c r="B34" s="22">
        <v>87</v>
      </c>
      <c r="C34" s="23" t="s">
        <v>46</v>
      </c>
      <c r="D34" s="23"/>
      <c r="E34" s="22">
        <v>1</v>
      </c>
      <c r="F34" s="22">
        <v>0.61739999999999995</v>
      </c>
      <c r="G34" s="25">
        <v>2.0069999999999999E-7</v>
      </c>
      <c r="H34" s="25">
        <v>8.5290000000000002E-7</v>
      </c>
      <c r="I34" s="25">
        <v>2.0249999999999997E-6</v>
      </c>
      <c r="J34" s="25">
        <v>7.7580000000000005E-7</v>
      </c>
      <c r="K34" s="25">
        <v>1.45</v>
      </c>
      <c r="L34" s="25">
        <v>1.45</v>
      </c>
      <c r="M34" s="25">
        <v>2.2940000000000002E-2</v>
      </c>
      <c r="N34" s="25">
        <v>1.752</v>
      </c>
      <c r="O34">
        <v>1.484E-5</v>
      </c>
      <c r="P34">
        <v>8.2500000000000004E-7</v>
      </c>
    </row>
    <row r="35" spans="2:16" x14ac:dyDescent="0.25">
      <c r="B35" s="22">
        <v>89</v>
      </c>
      <c r="C35" s="23" t="s">
        <v>46</v>
      </c>
      <c r="D35" s="24"/>
      <c r="E35" s="22">
        <v>1</v>
      </c>
      <c r="F35" s="22">
        <v>0.59620000000000006</v>
      </c>
      <c r="G35" s="25">
        <v>7.976000000000001E-7</v>
      </c>
      <c r="H35" s="25">
        <v>1.3759999999999998E-6</v>
      </c>
      <c r="I35" s="25">
        <v>2.1770000000000001E-6</v>
      </c>
      <c r="J35" s="25">
        <v>8.7250000000000001E-7</v>
      </c>
      <c r="K35" s="25">
        <v>1.4910000000000001</v>
      </c>
      <c r="L35" s="25">
        <v>1.4910000000000001</v>
      </c>
      <c r="M35" s="25">
        <v>2.3300000000000001E-2</v>
      </c>
      <c r="N35" s="25">
        <v>1.8109999999999999</v>
      </c>
      <c r="O35">
        <v>1.2519999999999997E-5</v>
      </c>
      <c r="P35">
        <v>1.3029999999999998E-6</v>
      </c>
    </row>
    <row r="36" spans="2:16" x14ac:dyDescent="0.25">
      <c r="B36" s="22">
        <v>90</v>
      </c>
      <c r="C36" s="23" t="s">
        <v>46</v>
      </c>
      <c r="D36" s="23"/>
      <c r="E36" s="22">
        <v>1</v>
      </c>
      <c r="F36" s="22">
        <v>0.57710000000000006</v>
      </c>
      <c r="G36" s="25">
        <v>2.5810000000000001E-7</v>
      </c>
      <c r="H36" s="25">
        <v>2.2139999999999999E-6</v>
      </c>
      <c r="I36" s="25">
        <v>1.508E-6</v>
      </c>
      <c r="J36" s="25">
        <v>2.3090000000000001E-7</v>
      </c>
      <c r="K36" s="25">
        <v>1.534</v>
      </c>
      <c r="L36" s="25">
        <v>1.534</v>
      </c>
      <c r="M36" s="25">
        <v>2.2550000000000001E-2</v>
      </c>
      <c r="N36" s="25">
        <v>1.9239999999999999</v>
      </c>
      <c r="O36">
        <v>1.1859999999999998E-5</v>
      </c>
      <c r="P36">
        <v>5.5189999999999996E-7</v>
      </c>
    </row>
    <row r="37" spans="2:16" x14ac:dyDescent="0.25">
      <c r="B37" s="22">
        <v>91</v>
      </c>
      <c r="C37" s="23" t="s">
        <v>46</v>
      </c>
      <c r="D37" s="23"/>
      <c r="E37" s="22">
        <v>1</v>
      </c>
      <c r="F37" s="22">
        <v>0.58670000000000011</v>
      </c>
      <c r="G37" s="25">
        <v>7.8440000000000006E-7</v>
      </c>
      <c r="H37" s="25">
        <v>6.4220000000000007E-7</v>
      </c>
      <c r="I37" s="25">
        <v>1.463E-6</v>
      </c>
      <c r="J37" s="25">
        <v>7.2490000000000004E-7</v>
      </c>
      <c r="K37" s="25">
        <v>1.5660000000000001</v>
      </c>
      <c r="L37" s="25">
        <v>1.5660000000000001</v>
      </c>
      <c r="M37" s="25">
        <v>2.2190000000000001E-2</v>
      </c>
      <c r="N37" s="25">
        <v>1.89</v>
      </c>
      <c r="O37">
        <v>1.1239999999999997E-5</v>
      </c>
      <c r="P37">
        <v>1.102E-6</v>
      </c>
    </row>
    <row r="38" spans="2:16" x14ac:dyDescent="0.25">
      <c r="B38" s="22">
        <v>92</v>
      </c>
      <c r="C38" s="23" t="s">
        <v>46</v>
      </c>
      <c r="D38" s="23"/>
      <c r="E38" s="22">
        <v>1</v>
      </c>
      <c r="F38" s="22">
        <v>9.987E-2</v>
      </c>
      <c r="G38" s="25">
        <v>2.5130000000000003E-7</v>
      </c>
      <c r="H38" s="25">
        <v>2.4260000000000002E-6</v>
      </c>
      <c r="I38" s="25">
        <v>1.3009999999999999E-6</v>
      </c>
      <c r="J38" s="25">
        <v>5.9380000000000004E-7</v>
      </c>
      <c r="K38" s="25">
        <v>1.466</v>
      </c>
      <c r="L38" s="25">
        <v>1.466</v>
      </c>
      <c r="M38" s="25">
        <v>2.3890000000000002E-2</v>
      </c>
      <c r="N38" s="25">
        <v>1.7869999999999999</v>
      </c>
      <c r="O38">
        <v>1.2269999999999996E-5</v>
      </c>
      <c r="P38">
        <v>6.37E-7</v>
      </c>
    </row>
    <row r="39" spans="2:16" x14ac:dyDescent="0.25">
      <c r="B39" s="22">
        <v>93</v>
      </c>
      <c r="C39" s="23" t="s">
        <v>46</v>
      </c>
      <c r="D39" s="24"/>
      <c r="E39" s="22">
        <v>1</v>
      </c>
      <c r="F39" s="22">
        <v>0.6372000000000001</v>
      </c>
      <c r="G39" s="25">
        <v>1.1009999999999999E-6</v>
      </c>
      <c r="H39" s="25">
        <v>2.0830000000000002E-6</v>
      </c>
      <c r="I39" s="25">
        <v>5.0220000000000004E-6</v>
      </c>
      <c r="J39" s="25">
        <v>1.026E-6</v>
      </c>
      <c r="K39" s="25">
        <v>1.4670000000000001</v>
      </c>
      <c r="L39" s="25">
        <v>1.4670000000000001</v>
      </c>
      <c r="M39" s="25">
        <v>2.2880000000000001E-2</v>
      </c>
      <c r="N39" s="25">
        <v>1.772</v>
      </c>
      <c r="O39">
        <v>1.4970000000000001E-5</v>
      </c>
      <c r="P39">
        <v>2.8239999999999996E-6</v>
      </c>
    </row>
    <row r="40" spans="2:16" x14ac:dyDescent="0.25">
      <c r="B40" s="22">
        <v>97</v>
      </c>
      <c r="C40" s="23" t="s">
        <v>46</v>
      </c>
      <c r="D40" s="24"/>
      <c r="E40" s="22">
        <v>1</v>
      </c>
      <c r="F40" s="22">
        <v>0.60470000000000002</v>
      </c>
      <c r="G40" s="25">
        <v>4.0160000000000005E-7</v>
      </c>
      <c r="H40" s="25">
        <v>4.6830000000000003E-7</v>
      </c>
      <c r="I40" s="25">
        <v>7.5749999999999995E-6</v>
      </c>
      <c r="J40" s="25">
        <v>3.5289999999999999E-7</v>
      </c>
      <c r="K40" s="25">
        <v>1.302</v>
      </c>
      <c r="L40" s="25">
        <v>1.302</v>
      </c>
      <c r="M40" s="25">
        <v>2.273E-2</v>
      </c>
      <c r="N40" s="25">
        <v>1.8009999999999999</v>
      </c>
      <c r="O40">
        <v>1.0730000000000001E-5</v>
      </c>
      <c r="P40">
        <v>2.5969999999999999E-6</v>
      </c>
    </row>
    <row r="41" spans="2:16" x14ac:dyDescent="0.25">
      <c r="B41" s="22">
        <v>98</v>
      </c>
      <c r="C41" s="23" t="s">
        <v>46</v>
      </c>
      <c r="D41" s="23"/>
      <c r="E41" s="22">
        <v>1</v>
      </c>
      <c r="F41" s="22">
        <v>9.9530000000000007E-2</v>
      </c>
      <c r="G41" s="25">
        <v>1.0600000000000001E-7</v>
      </c>
      <c r="H41" s="25">
        <v>6.5710000000000003E-7</v>
      </c>
      <c r="I41" s="25">
        <v>2.1459999999999999E-6</v>
      </c>
      <c r="J41" s="25">
        <v>1.29E-7</v>
      </c>
      <c r="K41" s="25">
        <v>1.4139999999999999</v>
      </c>
      <c r="L41" s="25">
        <v>1.4139999999999999</v>
      </c>
      <c r="M41" s="25">
        <v>2.4899999999999999E-2</v>
      </c>
      <c r="N41" s="25">
        <v>1.849</v>
      </c>
      <c r="O41">
        <v>1.5149999999999999E-5</v>
      </c>
      <c r="P41">
        <v>6.8540000000000004E-7</v>
      </c>
    </row>
    <row r="42" spans="2:16" x14ac:dyDescent="0.25">
      <c r="B42" s="22">
        <v>102</v>
      </c>
      <c r="C42" s="23" t="s">
        <v>46</v>
      </c>
      <c r="D42" s="23"/>
      <c r="E42" s="22">
        <v>1</v>
      </c>
      <c r="F42" s="22">
        <v>0.57220000000000004</v>
      </c>
      <c r="G42" s="25">
        <v>3.0970000000000003E-7</v>
      </c>
      <c r="H42" s="25">
        <v>4.6010000000000005E-7</v>
      </c>
      <c r="I42" s="25">
        <v>5.5609999999999998E-6</v>
      </c>
      <c r="J42" s="25">
        <v>4.1820000000000003E-7</v>
      </c>
      <c r="K42" s="25">
        <v>1.401</v>
      </c>
      <c r="L42" s="25">
        <v>1.401</v>
      </c>
      <c r="M42" s="25">
        <v>2.3449999999999999E-2</v>
      </c>
      <c r="N42" s="25">
        <v>1.8440000000000001</v>
      </c>
      <c r="O42">
        <v>1.1789999999999999E-5</v>
      </c>
      <c r="P42">
        <v>1.8509999999999999E-6</v>
      </c>
    </row>
    <row r="43" spans="2:16" x14ac:dyDescent="0.25">
      <c r="B43" s="22">
        <v>103</v>
      </c>
      <c r="C43" s="23" t="s">
        <v>46</v>
      </c>
      <c r="D43" s="23"/>
      <c r="E43" s="22">
        <v>1</v>
      </c>
      <c r="F43" s="22">
        <v>0.5958</v>
      </c>
      <c r="G43" s="25">
        <v>2.7049999999999999E-7</v>
      </c>
      <c r="H43" s="25">
        <v>2.5259999999999996E-6</v>
      </c>
      <c r="I43" s="25">
        <v>6.0809999999999999E-6</v>
      </c>
      <c r="J43" s="25">
        <v>2.9030000000000005E-7</v>
      </c>
      <c r="K43" s="25">
        <v>1.2789999999999999</v>
      </c>
      <c r="L43" s="25">
        <v>1.2789999999999999</v>
      </c>
      <c r="M43" s="25">
        <v>2.2769999999999999E-2</v>
      </c>
      <c r="N43" s="25">
        <v>1.798</v>
      </c>
      <c r="O43">
        <v>1.4729999999999989E-5</v>
      </c>
      <c r="P43">
        <v>2.0049999999999999E-6</v>
      </c>
    </row>
    <row r="44" spans="2:16" x14ac:dyDescent="0.25">
      <c r="B44" s="22">
        <v>105</v>
      </c>
      <c r="C44" s="23" t="s">
        <v>46</v>
      </c>
      <c r="D44" s="24"/>
      <c r="E44" s="22">
        <v>1</v>
      </c>
      <c r="F44" s="22">
        <v>0.61990000000000001</v>
      </c>
      <c r="G44" s="25">
        <v>9.4470000000000014E-7</v>
      </c>
      <c r="H44" s="25">
        <v>2.1600000000000001E-6</v>
      </c>
      <c r="I44" s="25">
        <v>5.2229999999999998E-6</v>
      </c>
      <c r="J44" s="25">
        <v>1.1909999999999999E-6</v>
      </c>
      <c r="K44" s="25">
        <v>1.298</v>
      </c>
      <c r="L44" s="25">
        <v>1.298</v>
      </c>
      <c r="M44" s="25">
        <v>2.3089999999999999E-2</v>
      </c>
      <c r="N44" s="25">
        <v>1.7549999999999999</v>
      </c>
      <c r="O44">
        <v>1.2360000000000004E-5</v>
      </c>
      <c r="P44">
        <v>3.3730000000000001E-6</v>
      </c>
    </row>
    <row r="45" spans="2:16" x14ac:dyDescent="0.25">
      <c r="B45" s="22">
        <v>106</v>
      </c>
      <c r="C45" s="23" t="s">
        <v>46</v>
      </c>
      <c r="D45" s="23"/>
      <c r="E45" s="22">
        <v>1</v>
      </c>
      <c r="F45" s="22">
        <v>0.58250000000000002</v>
      </c>
      <c r="G45" s="25">
        <v>7.6300000000000002E-8</v>
      </c>
      <c r="H45" s="25">
        <v>1.7700000000000001E-7</v>
      </c>
      <c r="I45" s="25">
        <v>2.0489999999999998E-6</v>
      </c>
      <c r="J45" s="25">
        <v>1.3650000000000001E-7</v>
      </c>
      <c r="K45" s="25">
        <v>1.45</v>
      </c>
      <c r="L45" s="25">
        <v>1.45</v>
      </c>
      <c r="M45" s="25">
        <v>2.3420000000000003E-2</v>
      </c>
      <c r="N45" s="25">
        <v>1.8280000000000001</v>
      </c>
      <c r="O45">
        <v>3.3799999999999998E-6</v>
      </c>
      <c r="P45">
        <v>6.2010000000000011E-7</v>
      </c>
    </row>
    <row r="46" spans="2:16" x14ac:dyDescent="0.25">
      <c r="B46" s="22">
        <v>108</v>
      </c>
      <c r="C46" s="23" t="s">
        <v>46</v>
      </c>
      <c r="D46" s="23"/>
      <c r="E46" s="22">
        <v>1</v>
      </c>
      <c r="F46" s="22">
        <v>0.59350000000000003</v>
      </c>
      <c r="G46" s="25">
        <v>7.0390000000000005E-7</v>
      </c>
      <c r="H46" s="25">
        <v>5.7629999999999999E-7</v>
      </c>
      <c r="I46" s="25">
        <v>5.8300000000000001E-6</v>
      </c>
      <c r="J46" s="25">
        <v>2.0910000000000001E-7</v>
      </c>
      <c r="K46" s="25">
        <v>1.5569999999999999</v>
      </c>
      <c r="L46" s="25">
        <v>1.5569999999999999</v>
      </c>
      <c r="M46" s="25">
        <v>2.264E-2</v>
      </c>
      <c r="N46" s="25">
        <v>1.915</v>
      </c>
      <c r="O46">
        <v>1.5029999999999998E-5</v>
      </c>
      <c r="P46">
        <v>2.0459999999999996E-6</v>
      </c>
    </row>
    <row r="47" spans="2:16" x14ac:dyDescent="0.25">
      <c r="B47" s="22">
        <v>110</v>
      </c>
      <c r="C47" s="23" t="s">
        <v>46</v>
      </c>
      <c r="D47" s="23"/>
      <c r="E47" s="22">
        <v>1</v>
      </c>
      <c r="F47" s="22">
        <v>0.60629999999999995</v>
      </c>
      <c r="G47" s="25">
        <v>8.9590000000000007E-7</v>
      </c>
      <c r="H47" s="25">
        <v>4.4210000000000007E-7</v>
      </c>
      <c r="I47" s="25">
        <v>8.0239999999999981E-6</v>
      </c>
      <c r="J47" s="25">
        <v>5.3200000000000005E-7</v>
      </c>
      <c r="K47" s="25">
        <v>1.5049999999999999</v>
      </c>
      <c r="L47" s="25">
        <v>1.5049999999999999</v>
      </c>
      <c r="M47" s="25">
        <v>2.2079999999999999E-2</v>
      </c>
      <c r="N47" s="25">
        <v>1.901</v>
      </c>
      <c r="O47">
        <v>1.1599999999999999E-5</v>
      </c>
      <c r="P47">
        <v>3.3900000000000002E-6</v>
      </c>
    </row>
    <row r="48" spans="2:16" x14ac:dyDescent="0.25">
      <c r="B48" s="22">
        <v>113</v>
      </c>
      <c r="C48" s="23" t="s">
        <v>46</v>
      </c>
      <c r="D48" s="23"/>
      <c r="E48" s="22">
        <v>1</v>
      </c>
      <c r="F48" s="22">
        <v>0.60310000000000008</v>
      </c>
      <c r="G48" s="25">
        <v>2.0170000000000001E-7</v>
      </c>
      <c r="H48" s="25">
        <v>2.9079999999999999E-6</v>
      </c>
      <c r="I48" s="25">
        <v>1.2709999999999998E-6</v>
      </c>
      <c r="J48" s="25">
        <v>6.5970000000000012E-7</v>
      </c>
      <c r="K48" s="25">
        <v>1.458</v>
      </c>
      <c r="L48" s="25">
        <v>1.458</v>
      </c>
      <c r="M48" s="25">
        <v>2.3289999999999998E-2</v>
      </c>
      <c r="N48" s="25">
        <v>1.7689999999999999</v>
      </c>
      <c r="O48">
        <v>1.331E-5</v>
      </c>
      <c r="P48">
        <v>5.3670000000000009E-7</v>
      </c>
    </row>
    <row r="49" spans="2:16" x14ac:dyDescent="0.25">
      <c r="B49" s="22">
        <v>115</v>
      </c>
      <c r="C49" s="23" t="s">
        <v>46</v>
      </c>
      <c r="D49" s="23"/>
      <c r="E49" s="22">
        <v>1</v>
      </c>
      <c r="F49" s="22">
        <v>0.61639999999999995</v>
      </c>
      <c r="G49" s="25">
        <v>8.0589999999999998E-7</v>
      </c>
      <c r="H49" s="25">
        <v>1.9870000000000002E-6</v>
      </c>
      <c r="I49" s="25">
        <v>3.1539999999999998E-6</v>
      </c>
      <c r="J49" s="25">
        <v>1.1540000000000001E-6</v>
      </c>
      <c r="K49" s="25">
        <v>1.456</v>
      </c>
      <c r="L49" s="25">
        <v>1.456</v>
      </c>
      <c r="M49" s="25">
        <v>2.3129999999999998E-2</v>
      </c>
      <c r="N49" s="25">
        <v>1.754</v>
      </c>
      <c r="O49">
        <v>1.2969999999999996E-5</v>
      </c>
      <c r="P49">
        <v>1.73E-6</v>
      </c>
    </row>
    <row r="50" spans="2:16" x14ac:dyDescent="0.25">
      <c r="B50" s="22">
        <v>119</v>
      </c>
      <c r="C50" s="23" t="s">
        <v>46</v>
      </c>
      <c r="D50" s="24"/>
      <c r="E50" s="22">
        <v>1</v>
      </c>
      <c r="F50" s="22">
        <v>0.57720000000000005</v>
      </c>
      <c r="G50" s="25">
        <v>1.3869999999999999E-7</v>
      </c>
      <c r="H50" s="25">
        <v>4.9830000000000006E-7</v>
      </c>
      <c r="I50" s="25">
        <v>5.1109999999999999E-6</v>
      </c>
      <c r="J50" s="25">
        <v>1.8840000000000002E-7</v>
      </c>
      <c r="K50" s="25">
        <v>1.27</v>
      </c>
      <c r="L50" s="25">
        <v>1.27</v>
      </c>
      <c r="M50" s="25">
        <v>2.3460000000000002E-2</v>
      </c>
      <c r="N50" s="25">
        <v>1.8180000000000001</v>
      </c>
      <c r="O50">
        <v>1.164E-5</v>
      </c>
      <c r="P50">
        <v>2.2620000000000001E-6</v>
      </c>
    </row>
    <row r="51" spans="2:16" x14ac:dyDescent="0.25">
      <c r="B51" s="22">
        <v>127</v>
      </c>
      <c r="C51" s="23" t="s">
        <v>46</v>
      </c>
      <c r="D51" s="23"/>
      <c r="E51" s="22">
        <v>1</v>
      </c>
      <c r="F51" s="22">
        <v>0.58270000000000011</v>
      </c>
      <c r="G51" s="25">
        <v>2.7750000000000004E-7</v>
      </c>
      <c r="H51" s="25">
        <v>5.0120000000000007E-7</v>
      </c>
      <c r="I51" s="25">
        <v>5.7529999999999998E-6</v>
      </c>
      <c r="J51" s="25">
        <v>5.1110000000000007E-7</v>
      </c>
      <c r="K51" s="25">
        <v>1.498</v>
      </c>
      <c r="L51" s="25">
        <v>1.498</v>
      </c>
      <c r="M51" s="25">
        <v>2.325E-2</v>
      </c>
      <c r="N51" s="25">
        <v>1.857</v>
      </c>
      <c r="O51">
        <v>1.199E-5</v>
      </c>
      <c r="P51">
        <v>2.1989999999999996E-6</v>
      </c>
    </row>
    <row r="52" spans="2:16" x14ac:dyDescent="0.25">
      <c r="B52" s="22">
        <v>130</v>
      </c>
      <c r="C52" s="23" t="s">
        <v>46</v>
      </c>
      <c r="D52" s="24"/>
      <c r="E52" s="22">
        <v>1</v>
      </c>
      <c r="F52" s="22">
        <v>0.59529999999999994</v>
      </c>
      <c r="G52" s="25">
        <v>5.8370000000000012E-7</v>
      </c>
      <c r="H52" s="25">
        <v>4.0760000000000002E-7</v>
      </c>
      <c r="I52" s="25">
        <v>5.5229999999999995E-6</v>
      </c>
      <c r="J52" s="25">
        <v>8.4520000000000008E-7</v>
      </c>
      <c r="K52" s="25">
        <v>1.383</v>
      </c>
      <c r="L52" s="25">
        <v>1.383</v>
      </c>
      <c r="M52" s="25">
        <v>2.4469999999999999E-2</v>
      </c>
      <c r="N52" s="25">
        <v>1.7629999999999999</v>
      </c>
      <c r="O52">
        <v>7.1449999999999994E-6</v>
      </c>
      <c r="P52">
        <v>2.9329999999999997E-6</v>
      </c>
    </row>
    <row r="53" spans="2:16" x14ac:dyDescent="0.25">
      <c r="B53" s="22">
        <v>131</v>
      </c>
      <c r="C53" s="23" t="s">
        <v>46</v>
      </c>
      <c r="D53" s="24"/>
      <c r="E53" s="22">
        <v>1</v>
      </c>
      <c r="F53" s="22">
        <v>0.63700000000000001</v>
      </c>
      <c r="G53" s="25">
        <v>9.9999999999999995E-7</v>
      </c>
      <c r="H53" s="25">
        <v>1.6140000000000001E-6</v>
      </c>
      <c r="I53" s="25">
        <v>1.01E-5</v>
      </c>
      <c r="J53" s="25">
        <v>3.5600000000000001E-7</v>
      </c>
      <c r="K53" s="25">
        <v>1.2649999999999999</v>
      </c>
      <c r="L53" s="25">
        <v>1.2649999999999999</v>
      </c>
      <c r="M53" s="25">
        <v>2.2890000000000001E-2</v>
      </c>
      <c r="N53" s="25">
        <v>1.75</v>
      </c>
      <c r="O53">
        <v>1.4229999999999994E-5</v>
      </c>
      <c r="P53">
        <v>5.0799999999999996E-6</v>
      </c>
    </row>
    <row r="54" spans="2:16" x14ac:dyDescent="0.25">
      <c r="B54" s="22">
        <v>134</v>
      </c>
      <c r="C54" s="23" t="s">
        <v>46</v>
      </c>
      <c r="D54" s="23"/>
      <c r="E54" s="22">
        <v>1</v>
      </c>
      <c r="F54" s="22">
        <v>0.59760000000000002</v>
      </c>
      <c r="G54" s="25">
        <v>1.4630000000000003E-7</v>
      </c>
      <c r="H54" s="25">
        <v>2.5100000000000001E-7</v>
      </c>
      <c r="I54" s="25">
        <v>4.3369999999999993E-6</v>
      </c>
      <c r="J54" s="25">
        <v>5.5840000000000002E-7</v>
      </c>
      <c r="K54" s="25">
        <v>1.37</v>
      </c>
      <c r="L54" s="25">
        <v>1.37</v>
      </c>
      <c r="M54" s="25">
        <v>2.3379999999999998E-2</v>
      </c>
      <c r="N54" s="25">
        <v>1.7709999999999999</v>
      </c>
      <c r="O54">
        <v>4.3979999999999992E-6</v>
      </c>
      <c r="P54">
        <v>1.1599999999999999E-6</v>
      </c>
    </row>
    <row r="55" spans="2:16" x14ac:dyDescent="0.25">
      <c r="B55" s="22">
        <v>136</v>
      </c>
      <c r="C55" s="23" t="s">
        <v>46</v>
      </c>
      <c r="D55" s="23"/>
      <c r="E55" s="22">
        <v>1</v>
      </c>
      <c r="F55" s="22">
        <v>0.55200000000000005</v>
      </c>
      <c r="G55" s="25">
        <v>2.7580000000000002E-7</v>
      </c>
      <c r="H55" s="25">
        <v>2.2420000000000001E-7</v>
      </c>
      <c r="I55" s="25">
        <v>5.8339999999999995E-6</v>
      </c>
      <c r="J55" s="25">
        <v>5.9710000000000007E-7</v>
      </c>
      <c r="K55" s="25">
        <v>1.4830000000000001</v>
      </c>
      <c r="L55" s="25">
        <v>1.4830000000000001</v>
      </c>
      <c r="M55" s="25">
        <v>2.47E-2</v>
      </c>
      <c r="N55" s="25">
        <v>1.9159999999999999</v>
      </c>
      <c r="O55">
        <v>4.6829999999999999E-6</v>
      </c>
      <c r="P55">
        <v>2.379E-6</v>
      </c>
    </row>
    <row r="56" spans="2:16" x14ac:dyDescent="0.25">
      <c r="B56" s="22">
        <v>140</v>
      </c>
      <c r="C56" s="23" t="s">
        <v>46</v>
      </c>
      <c r="D56" s="24"/>
      <c r="E56" s="22">
        <v>1</v>
      </c>
      <c r="F56" s="22">
        <v>0.58960000000000001</v>
      </c>
      <c r="G56" s="25">
        <v>2.96E-7</v>
      </c>
      <c r="H56" s="25">
        <v>1.4490000000000001E-7</v>
      </c>
      <c r="I56" s="25">
        <v>5.2999999999999992E-6</v>
      </c>
      <c r="J56" s="25">
        <v>5.3170000000000003E-7</v>
      </c>
      <c r="K56" s="25">
        <v>1.488</v>
      </c>
      <c r="L56" s="25">
        <v>1.488</v>
      </c>
      <c r="M56" s="25">
        <v>2.368E-2</v>
      </c>
      <c r="N56" s="25">
        <v>1.851</v>
      </c>
      <c r="O56">
        <v>3.3570000000000002E-6</v>
      </c>
      <c r="P56">
        <v>2.305E-6</v>
      </c>
    </row>
    <row r="57" spans="2:16" x14ac:dyDescent="0.25">
      <c r="B57" s="22">
        <v>141</v>
      </c>
      <c r="C57" s="23" t="s">
        <v>46</v>
      </c>
      <c r="D57" s="24"/>
      <c r="E57" s="22">
        <v>1</v>
      </c>
      <c r="F57" s="22">
        <v>0.62070000000000003</v>
      </c>
      <c r="G57" s="25">
        <v>2.7739999999999998E-7</v>
      </c>
      <c r="H57" s="25">
        <v>1.4090000000000002E-7</v>
      </c>
      <c r="I57" s="25">
        <v>8.6839999999999985E-6</v>
      </c>
      <c r="J57" s="25">
        <v>1.2880000000000002E-7</v>
      </c>
      <c r="K57" s="25">
        <v>1.2130000000000001</v>
      </c>
      <c r="L57" s="25">
        <v>1.2130000000000001</v>
      </c>
      <c r="M57" s="25">
        <v>2.2079999999999999E-2</v>
      </c>
      <c r="N57" s="25">
        <v>1.8129999999999999</v>
      </c>
      <c r="O57">
        <v>3.1429999999999998E-6</v>
      </c>
      <c r="P57">
        <v>3.2919999999999996E-6</v>
      </c>
    </row>
    <row r="58" spans="2:16" x14ac:dyDescent="0.25">
      <c r="B58" s="22">
        <v>145</v>
      </c>
      <c r="C58" s="23" t="s">
        <v>46</v>
      </c>
      <c r="D58" s="23"/>
      <c r="E58" s="22">
        <v>1</v>
      </c>
      <c r="F58" s="22">
        <v>0.61820000000000008</v>
      </c>
      <c r="G58" s="25">
        <v>1.7989999999999998E-6</v>
      </c>
      <c r="H58" s="25">
        <v>1.0720000000000001E-6</v>
      </c>
      <c r="I58" s="25">
        <v>7.9629999999999998E-6</v>
      </c>
      <c r="J58" s="25">
        <v>2.6320000000000003E-7</v>
      </c>
      <c r="K58" s="25">
        <v>1.486</v>
      </c>
      <c r="L58" s="25">
        <v>1.486</v>
      </c>
      <c r="M58" s="25">
        <v>2.1050000000000003E-2</v>
      </c>
      <c r="N58" s="25">
        <v>1.903</v>
      </c>
      <c r="O58">
        <v>1.207E-5</v>
      </c>
      <c r="P58">
        <v>4.6609999999999991E-6</v>
      </c>
    </row>
    <row r="59" spans="2:16" x14ac:dyDescent="0.25">
      <c r="B59" s="22">
        <v>149</v>
      </c>
      <c r="C59" s="22" t="s">
        <v>46</v>
      </c>
      <c r="D59" s="22"/>
      <c r="E59" s="22">
        <v>1</v>
      </c>
      <c r="F59" s="22">
        <v>0.60260000000000002</v>
      </c>
      <c r="G59" s="25">
        <v>1.2730000000000001E-7</v>
      </c>
      <c r="H59" s="25">
        <v>2.4150000000000004E-7</v>
      </c>
      <c r="I59" s="25">
        <v>8.582000000000001E-7</v>
      </c>
      <c r="J59" s="25">
        <v>3.0520000000000001E-7</v>
      </c>
      <c r="K59" s="25">
        <v>1.516</v>
      </c>
      <c r="L59" s="25">
        <v>1.516</v>
      </c>
      <c r="M59" s="25">
        <v>2.2859999999999998E-2</v>
      </c>
      <c r="N59" s="25">
        <v>1.831</v>
      </c>
      <c r="O59">
        <v>6.3109999999999994E-6</v>
      </c>
      <c r="P59">
        <v>3.2870000000000003E-7</v>
      </c>
    </row>
    <row r="60" spans="2:16" x14ac:dyDescent="0.25">
      <c r="B60" s="22">
        <v>153</v>
      </c>
      <c r="C60" s="22" t="s">
        <v>46</v>
      </c>
      <c r="D60" s="22"/>
      <c r="E60" s="22">
        <v>1</v>
      </c>
      <c r="F60" s="22">
        <v>0.61080000000000001</v>
      </c>
      <c r="G60" s="25">
        <v>1.4490000000000001E-7</v>
      </c>
      <c r="H60" s="25">
        <v>6.7039999999999997E-7</v>
      </c>
      <c r="I60" s="25">
        <v>5.1499999999999998E-6</v>
      </c>
      <c r="J60" s="25">
        <v>3.8310000000000004E-7</v>
      </c>
      <c r="K60" s="25">
        <v>1.488</v>
      </c>
      <c r="L60" s="25">
        <v>1.488</v>
      </c>
      <c r="M60" s="25">
        <v>2.2870000000000001E-2</v>
      </c>
      <c r="N60" s="25">
        <v>1.831</v>
      </c>
      <c r="O60">
        <v>1.5489999999999999E-5</v>
      </c>
      <c r="P60">
        <v>1.1559999999999998E-6</v>
      </c>
    </row>
    <row r="61" spans="2:16" x14ac:dyDescent="0.25">
      <c r="B61" s="22">
        <v>158</v>
      </c>
      <c r="C61" s="22" t="s">
        <v>46</v>
      </c>
      <c r="D61" s="22"/>
      <c r="E61" s="22">
        <v>1</v>
      </c>
      <c r="F61" s="22">
        <v>0.60010000000000008</v>
      </c>
      <c r="G61" s="25">
        <v>6.6290000000000004E-7</v>
      </c>
      <c r="H61" s="25">
        <v>1.9040000000000001E-7</v>
      </c>
      <c r="I61" s="25">
        <v>8.930999999999998E-6</v>
      </c>
      <c r="J61" s="25">
        <v>3.8080000000000002E-7</v>
      </c>
      <c r="K61" s="25">
        <v>1.3120000000000001</v>
      </c>
      <c r="L61" s="25">
        <v>1.3120000000000001</v>
      </c>
      <c r="M61" s="25">
        <v>2.3220000000000001E-2</v>
      </c>
      <c r="N61" s="25">
        <v>1.8120000000000001</v>
      </c>
      <c r="O61">
        <v>4.1509999999999997E-6</v>
      </c>
      <c r="P61">
        <v>4.4770000000000005E-6</v>
      </c>
    </row>
    <row r="62" spans="2:16" x14ac:dyDescent="0.25">
      <c r="B62" s="22">
        <v>159</v>
      </c>
      <c r="C62" s="22" t="s">
        <v>46</v>
      </c>
      <c r="D62" s="22"/>
      <c r="E62" s="22">
        <v>1</v>
      </c>
      <c r="F62" s="22">
        <v>0.59660000000000002</v>
      </c>
      <c r="G62" s="25">
        <v>1.0830000000000001E-7</v>
      </c>
      <c r="H62" s="25">
        <v>3.8520000000000003E-7</v>
      </c>
      <c r="I62" s="25">
        <v>3.478E-6</v>
      </c>
      <c r="J62" s="25">
        <v>4.7580000000000007E-7</v>
      </c>
      <c r="K62" s="25">
        <v>1.3839999999999999</v>
      </c>
      <c r="L62" s="25">
        <v>1.3839999999999999</v>
      </c>
      <c r="M62" s="25">
        <v>2.3030000000000002E-2</v>
      </c>
      <c r="N62" s="25">
        <v>1.829</v>
      </c>
      <c r="O62">
        <v>8.4540000000000007E-6</v>
      </c>
      <c r="P62">
        <v>1.7339999999999998E-6</v>
      </c>
    </row>
    <row r="63" spans="2:16" x14ac:dyDescent="0.25">
      <c r="B63" s="22">
        <v>160</v>
      </c>
      <c r="C63" s="22" t="s">
        <v>46</v>
      </c>
      <c r="D63" s="22"/>
      <c r="E63" s="22">
        <v>1</v>
      </c>
      <c r="F63" s="22">
        <v>0.59240000000000004</v>
      </c>
      <c r="G63" s="25">
        <v>2.6239999999999997E-7</v>
      </c>
      <c r="H63" s="25">
        <v>1.695E-7</v>
      </c>
      <c r="I63" s="25">
        <v>2.813E-6</v>
      </c>
      <c r="J63" s="25">
        <v>6.2929999999999995E-7</v>
      </c>
      <c r="K63" s="25">
        <v>1.4510000000000001</v>
      </c>
      <c r="L63" s="25">
        <v>1.4510000000000001</v>
      </c>
      <c r="M63" s="25">
        <v>2.3510000000000003E-2</v>
      </c>
      <c r="N63" s="25">
        <v>1.8080000000000001</v>
      </c>
      <c r="O63">
        <v>3.2799999999999995E-6</v>
      </c>
      <c r="P63">
        <v>1.1379999999999999E-6</v>
      </c>
    </row>
    <row r="64" spans="2:16" x14ac:dyDescent="0.25">
      <c r="B64" s="22">
        <v>161</v>
      </c>
      <c r="C64" s="22" t="s">
        <v>46</v>
      </c>
      <c r="D64" s="22"/>
      <c r="E64" s="22">
        <v>1</v>
      </c>
      <c r="F64" s="22">
        <v>9.6920000000000006E-2</v>
      </c>
      <c r="G64" s="25">
        <v>2.494E-7</v>
      </c>
      <c r="H64" s="25">
        <v>3.9190000000000001E-7</v>
      </c>
      <c r="I64" s="25">
        <v>1.101E-5</v>
      </c>
      <c r="J64" s="25">
        <v>1.8890000000000003E-7</v>
      </c>
      <c r="K64" s="25">
        <v>1.526</v>
      </c>
      <c r="L64" s="25">
        <v>1.526</v>
      </c>
      <c r="M64" s="25">
        <v>2.3890000000000002E-2</v>
      </c>
      <c r="N64" s="25">
        <v>2.0579999999999998</v>
      </c>
      <c r="O64">
        <v>9.4040000000000001E-6</v>
      </c>
      <c r="P64">
        <v>3.4309999999999998E-6</v>
      </c>
    </row>
    <row r="65" spans="2:16" x14ac:dyDescent="0.25">
      <c r="B65" s="22">
        <v>162</v>
      </c>
      <c r="C65" s="22" t="s">
        <v>46</v>
      </c>
      <c r="D65" s="22"/>
      <c r="E65" s="22">
        <v>1</v>
      </c>
      <c r="F65" s="22">
        <v>0.59389999999999998</v>
      </c>
      <c r="G65" s="25">
        <v>5.6200000000000008E-7</v>
      </c>
      <c r="H65" s="25">
        <v>2.6260000000000004E-7</v>
      </c>
      <c r="I65" s="25">
        <v>4.6639999999999997E-6</v>
      </c>
      <c r="J65" s="25">
        <v>7.3229999999999996E-7</v>
      </c>
      <c r="K65" s="25">
        <v>1.4950000000000001</v>
      </c>
      <c r="L65" s="25">
        <v>1.4950000000000001</v>
      </c>
      <c r="M65" s="25">
        <v>2.3460000000000002E-2</v>
      </c>
      <c r="N65" s="25">
        <v>1.8160000000000001</v>
      </c>
      <c r="O65">
        <v>4.9840000000000001E-6</v>
      </c>
      <c r="P65">
        <v>2.4649999999999997E-6</v>
      </c>
    </row>
    <row r="66" spans="2:16" x14ac:dyDescent="0.25">
      <c r="B66" s="22">
        <v>163</v>
      </c>
      <c r="C66" s="22" t="s">
        <v>46</v>
      </c>
      <c r="D66" s="22"/>
      <c r="E66" s="22">
        <v>1</v>
      </c>
      <c r="F66" s="22">
        <v>0.62170000000000003</v>
      </c>
      <c r="G66" s="25">
        <v>4.3819999999999999E-7</v>
      </c>
      <c r="H66" s="25">
        <v>6.314E-7</v>
      </c>
      <c r="I66" s="25">
        <v>1.3579999999999999E-5</v>
      </c>
      <c r="J66" s="25">
        <v>1.9990000000000001E-7</v>
      </c>
      <c r="K66" s="25">
        <v>1.256</v>
      </c>
      <c r="L66" s="25">
        <v>1.256</v>
      </c>
      <c r="M66" s="25">
        <v>2.215E-2</v>
      </c>
      <c r="N66" s="25">
        <v>1.8280000000000001</v>
      </c>
      <c r="O66">
        <v>1.1579999999999998E-5</v>
      </c>
      <c r="P66">
        <v>5.4929999999999998E-6</v>
      </c>
    </row>
    <row r="67" spans="2:16" x14ac:dyDescent="0.25">
      <c r="B67" s="22">
        <v>166</v>
      </c>
      <c r="C67" s="22" t="s">
        <v>46</v>
      </c>
      <c r="D67" s="22"/>
      <c r="E67" s="22">
        <v>1</v>
      </c>
      <c r="F67" s="22">
        <v>0.60350000000000004</v>
      </c>
      <c r="G67" s="25">
        <v>2.2650000000000002E-7</v>
      </c>
      <c r="H67" s="25">
        <v>2.1880000000000003E-7</v>
      </c>
      <c r="I67" s="25">
        <v>3.7389999999999997E-6</v>
      </c>
      <c r="J67" s="25">
        <v>5.1030000000000001E-7</v>
      </c>
      <c r="K67" s="25">
        <v>1.425</v>
      </c>
      <c r="L67" s="25">
        <v>1.425</v>
      </c>
      <c r="M67" s="25">
        <v>2.3269999999999999E-2</v>
      </c>
      <c r="N67" s="25">
        <v>1.796</v>
      </c>
      <c r="O67">
        <v>4.053E-6</v>
      </c>
      <c r="P67">
        <v>1.6220000000000001E-6</v>
      </c>
    </row>
    <row r="68" spans="2:16" x14ac:dyDescent="0.25">
      <c r="B68" s="22">
        <v>167</v>
      </c>
      <c r="C68" s="22" t="s">
        <v>46</v>
      </c>
      <c r="D68" s="22"/>
      <c r="E68" s="22">
        <v>1</v>
      </c>
      <c r="F68" s="22">
        <v>0.61380000000000001</v>
      </c>
      <c r="G68" s="25">
        <v>1.0050000000000001E-7</v>
      </c>
      <c r="H68" s="25">
        <v>3.3720000000000003E-7</v>
      </c>
      <c r="I68" s="25">
        <v>1.826E-6</v>
      </c>
      <c r="J68" s="25">
        <v>4.192E-7</v>
      </c>
      <c r="K68" s="25">
        <v>1.429</v>
      </c>
      <c r="L68" s="25">
        <v>1.429</v>
      </c>
      <c r="M68" s="25">
        <v>2.308E-2</v>
      </c>
      <c r="N68" s="25">
        <v>1.782</v>
      </c>
      <c r="O68">
        <v>7.2539999999999995E-6</v>
      </c>
      <c r="P68">
        <v>1.017E-6</v>
      </c>
    </row>
    <row r="69" spans="2:16" x14ac:dyDescent="0.25">
      <c r="B69" s="22">
        <v>169</v>
      </c>
      <c r="C69" s="22" t="s">
        <v>46</v>
      </c>
      <c r="D69" s="22"/>
      <c r="E69" s="22">
        <v>1</v>
      </c>
      <c r="F69" s="22">
        <v>9.4900000000000012E-2</v>
      </c>
      <c r="G69" s="25">
        <v>4.2750000000000004E-7</v>
      </c>
      <c r="H69" s="25">
        <v>3.3850000000000002E-7</v>
      </c>
      <c r="I69" s="25">
        <v>1.1210000000000001E-5</v>
      </c>
      <c r="J69" s="25">
        <v>1.6080000000000001E-7</v>
      </c>
      <c r="K69" s="25">
        <v>1.3839999999999999</v>
      </c>
      <c r="L69" s="25">
        <v>1.3839999999999999</v>
      </c>
      <c r="M69" s="25">
        <v>2.2420000000000002E-2</v>
      </c>
      <c r="N69" s="25">
        <v>1.9390000000000001</v>
      </c>
      <c r="O69">
        <v>8.0479999999999999E-6</v>
      </c>
      <c r="P69">
        <v>4.4129999999999999E-6</v>
      </c>
    </row>
    <row r="70" spans="2:16" x14ac:dyDescent="0.25">
      <c r="B70" s="22">
        <v>170</v>
      </c>
      <c r="C70" s="22" t="s">
        <v>46</v>
      </c>
      <c r="D70" s="22"/>
      <c r="E70" s="22">
        <v>1</v>
      </c>
      <c r="F70" s="22">
        <v>0.58799999999999997</v>
      </c>
      <c r="G70" s="25">
        <v>8.4100000000000005E-8</v>
      </c>
      <c r="H70" s="25">
        <v>6.3700000000000008E-8</v>
      </c>
      <c r="I70" s="25">
        <v>6.1689999999999997E-7</v>
      </c>
      <c r="J70" s="25">
        <v>1.2850000000000002E-7</v>
      </c>
      <c r="K70" s="25">
        <v>1.5580000000000001</v>
      </c>
      <c r="L70" s="25">
        <v>1.5580000000000001</v>
      </c>
      <c r="M70" s="25">
        <v>2.2790000000000001E-2</v>
      </c>
      <c r="N70" s="25">
        <v>1.8879999999999999</v>
      </c>
      <c r="O70">
        <v>2.6450000000000001E-6</v>
      </c>
      <c r="P70">
        <v>1.0000000000000002E-10</v>
      </c>
    </row>
    <row r="71" spans="2:16" x14ac:dyDescent="0.25">
      <c r="B71" s="22">
        <v>179</v>
      </c>
      <c r="C71" s="22" t="s">
        <v>46</v>
      </c>
      <c r="D71" s="22"/>
      <c r="E71" s="22">
        <v>1</v>
      </c>
      <c r="F71" s="22">
        <v>0.53960000000000008</v>
      </c>
      <c r="G71" s="25">
        <v>2.7080000000000002E-7</v>
      </c>
      <c r="H71" s="25">
        <v>3.8840000000000001E-7</v>
      </c>
      <c r="I71" s="25">
        <v>8.5169999999999982E-6</v>
      </c>
      <c r="J71" s="25">
        <v>4.3770000000000001E-7</v>
      </c>
      <c r="K71" s="25">
        <v>1.6519999999999999</v>
      </c>
      <c r="L71" s="25">
        <v>1.6519999999999999</v>
      </c>
      <c r="M71" s="25">
        <v>2.3469999999999998E-2</v>
      </c>
      <c r="N71" s="25">
        <v>2.02</v>
      </c>
      <c r="O71">
        <v>9.3569999999999987E-6</v>
      </c>
      <c r="P71">
        <v>2.8660000000000002E-6</v>
      </c>
    </row>
    <row r="72" spans="2:16" x14ac:dyDescent="0.25">
      <c r="B72" s="22">
        <v>183</v>
      </c>
      <c r="C72" s="22" t="s">
        <v>46</v>
      </c>
      <c r="D72" s="22"/>
      <c r="E72" s="22">
        <v>1</v>
      </c>
      <c r="F72" s="22">
        <v>0.60099999999999998</v>
      </c>
      <c r="G72" s="25">
        <v>1.406E-7</v>
      </c>
      <c r="H72" s="25">
        <v>2.2740000000000001E-7</v>
      </c>
      <c r="I72" s="25">
        <v>4.5769999999999995E-6</v>
      </c>
      <c r="J72" s="25">
        <v>1.1920000000000001E-7</v>
      </c>
      <c r="K72" s="25">
        <v>1.345</v>
      </c>
      <c r="L72" s="25">
        <v>1.345</v>
      </c>
      <c r="M72" s="25">
        <v>2.2610000000000002E-2</v>
      </c>
      <c r="N72" s="25">
        <v>1.8049999999999999</v>
      </c>
      <c r="O72">
        <v>5.1699999999999996E-6</v>
      </c>
      <c r="P72">
        <v>1.3309999999999998E-6</v>
      </c>
    </row>
    <row r="73" spans="2:16" x14ac:dyDescent="0.25">
      <c r="B73" s="22">
        <v>184</v>
      </c>
      <c r="C73" s="22" t="s">
        <v>46</v>
      </c>
      <c r="D73" s="22"/>
      <c r="E73" s="22">
        <v>1</v>
      </c>
      <c r="F73" s="22">
        <v>0.63639999999999997</v>
      </c>
      <c r="G73" s="25">
        <v>7.864E-7</v>
      </c>
      <c r="H73" s="25">
        <v>1.0020000000000001E-7</v>
      </c>
      <c r="I73" s="25">
        <v>8.9659999999999985E-6</v>
      </c>
      <c r="J73" s="25">
        <v>2.361E-7</v>
      </c>
      <c r="K73" s="25">
        <v>1.151</v>
      </c>
      <c r="L73" s="25">
        <v>1.151</v>
      </c>
      <c r="M73" s="25">
        <v>2.215E-2</v>
      </c>
      <c r="N73" s="25">
        <v>1.7569999999999999</v>
      </c>
      <c r="O73">
        <v>2.3379999999999999E-6</v>
      </c>
      <c r="P73">
        <v>4.7569999999999995E-6</v>
      </c>
    </row>
    <row r="74" spans="2:16" x14ac:dyDescent="0.25">
      <c r="B74" s="22">
        <v>188</v>
      </c>
      <c r="C74" s="22" t="s">
        <v>46</v>
      </c>
      <c r="D74" s="22"/>
      <c r="E74" s="22">
        <v>1</v>
      </c>
      <c r="F74" s="22">
        <v>0.5757000000000001</v>
      </c>
      <c r="G74" s="25">
        <v>5.3880000000000003E-7</v>
      </c>
      <c r="H74" s="25">
        <v>8.0640000000000002E-7</v>
      </c>
      <c r="I74" s="25">
        <v>6.2990000000000002E-6</v>
      </c>
      <c r="J74" s="25">
        <v>4.7739999999999997E-7</v>
      </c>
      <c r="K74" s="25">
        <v>1.39</v>
      </c>
      <c r="L74" s="25">
        <v>1.39</v>
      </c>
      <c r="M74" s="25">
        <v>2.3420000000000003E-2</v>
      </c>
      <c r="N74" s="25">
        <v>1.869</v>
      </c>
      <c r="O74">
        <v>1.0179999999999999E-5</v>
      </c>
      <c r="P74">
        <v>2.2469999999999998E-6</v>
      </c>
    </row>
    <row r="75" spans="2:16" x14ac:dyDescent="0.25">
      <c r="B75" s="22">
        <v>189</v>
      </c>
      <c r="C75" s="22" t="s">
        <v>46</v>
      </c>
      <c r="D75" s="22"/>
      <c r="E75" s="22">
        <v>1</v>
      </c>
      <c r="F75" s="22">
        <v>9.962E-2</v>
      </c>
      <c r="G75" s="25">
        <v>1.173E-7</v>
      </c>
      <c r="H75" s="25">
        <v>2.301E-7</v>
      </c>
      <c r="I75" s="25">
        <v>2.0369999999999997E-6</v>
      </c>
      <c r="J75" s="25">
        <v>6.1320000000000012E-7</v>
      </c>
      <c r="K75" s="25">
        <v>1.53</v>
      </c>
      <c r="L75" s="25">
        <v>1.53</v>
      </c>
      <c r="M75" s="25">
        <v>2.368E-2</v>
      </c>
      <c r="N75" s="25">
        <v>1.849</v>
      </c>
      <c r="O75">
        <v>4.0999999999999997E-6</v>
      </c>
      <c r="P75">
        <v>5.8820000000000004E-7</v>
      </c>
    </row>
    <row r="76" spans="2:16" x14ac:dyDescent="0.25">
      <c r="B76" s="22">
        <v>190</v>
      </c>
      <c r="C76" s="22" t="s">
        <v>46</v>
      </c>
      <c r="D76" s="22"/>
      <c r="E76" s="22">
        <v>1</v>
      </c>
      <c r="F76" s="22">
        <v>0.64360000000000006</v>
      </c>
      <c r="G76" s="25">
        <v>1.166E-7</v>
      </c>
      <c r="H76" s="25">
        <v>8.0799999999999996E-8</v>
      </c>
      <c r="I76" s="25">
        <v>1.0079999999999999E-6</v>
      </c>
      <c r="J76" s="25">
        <v>2.1160000000000002E-7</v>
      </c>
      <c r="K76" s="25">
        <v>1.456</v>
      </c>
      <c r="L76" s="25">
        <v>1.456</v>
      </c>
      <c r="M76" s="25">
        <v>2.206E-2</v>
      </c>
      <c r="N76" s="25">
        <v>1.764</v>
      </c>
      <c r="O76">
        <v>2.9409999999999999E-6</v>
      </c>
      <c r="P76">
        <v>3.9270000000000002E-7</v>
      </c>
    </row>
    <row r="77" spans="2:16" x14ac:dyDescent="0.25">
      <c r="B77" s="22">
        <v>194</v>
      </c>
      <c r="C77" s="22" t="s">
        <v>46</v>
      </c>
      <c r="D77" s="22"/>
      <c r="E77" s="22">
        <v>1</v>
      </c>
      <c r="F77" s="22">
        <v>0.58829999999999993</v>
      </c>
      <c r="G77" s="25">
        <v>8.6400000000000006E-8</v>
      </c>
      <c r="H77" s="25">
        <v>4.2500000000000003E-8</v>
      </c>
      <c r="I77" s="25">
        <v>1.8069999999999998E-6</v>
      </c>
      <c r="J77" s="25">
        <v>1.7400000000000002E-7</v>
      </c>
      <c r="K77" s="25">
        <v>1.4950000000000001</v>
      </c>
      <c r="L77" s="25">
        <v>1.4950000000000001</v>
      </c>
      <c r="M77" s="25">
        <v>2.299E-2</v>
      </c>
      <c r="N77" s="25">
        <v>1.853</v>
      </c>
      <c r="O77">
        <v>2.261E-6</v>
      </c>
      <c r="P77">
        <v>6.8750000000000009E-7</v>
      </c>
    </row>
    <row r="78" spans="2:16" x14ac:dyDescent="0.25">
      <c r="B78" s="22">
        <v>196</v>
      </c>
      <c r="C78" s="22" t="s">
        <v>46</v>
      </c>
      <c r="D78" s="22"/>
      <c r="E78" s="22">
        <v>1</v>
      </c>
      <c r="F78" s="22">
        <v>0.58920000000000006</v>
      </c>
      <c r="G78" s="25">
        <v>3.6069999999999999E-7</v>
      </c>
      <c r="H78" s="25">
        <v>7.736000000000001E-7</v>
      </c>
      <c r="I78" s="25">
        <v>8.6170000000000005E-7</v>
      </c>
      <c r="J78" s="25">
        <v>3.7170000000000003E-7</v>
      </c>
      <c r="K78" s="25">
        <v>1.5640000000000001</v>
      </c>
      <c r="L78" s="25">
        <v>1.5640000000000001</v>
      </c>
      <c r="M78" s="25">
        <v>2.298E-2</v>
      </c>
      <c r="N78" s="25">
        <v>1.883</v>
      </c>
      <c r="O78">
        <v>1.2649999999999999E-5</v>
      </c>
      <c r="P78">
        <v>5.9700000000000007E-7</v>
      </c>
    </row>
    <row r="79" spans="2:16" x14ac:dyDescent="0.25">
      <c r="B79" s="22">
        <v>197</v>
      </c>
      <c r="C79" s="22" t="s">
        <v>46</v>
      </c>
      <c r="D79" s="22"/>
      <c r="E79" s="22">
        <v>1</v>
      </c>
      <c r="F79" s="22">
        <v>0.55770000000000008</v>
      </c>
      <c r="G79" s="25">
        <v>4.5300000000000005E-7</v>
      </c>
      <c r="H79" s="25">
        <v>1.2320000000000002E-7</v>
      </c>
      <c r="I79" s="25">
        <v>9.4359999999999991E-6</v>
      </c>
      <c r="J79" s="25">
        <v>4.157E-7</v>
      </c>
      <c r="K79" s="25">
        <v>1.4159999999999999</v>
      </c>
      <c r="L79" s="25">
        <v>1.4159999999999999</v>
      </c>
      <c r="M79" s="25">
        <v>2.3550000000000001E-2</v>
      </c>
      <c r="N79" s="25">
        <v>1.9339999999999999</v>
      </c>
      <c r="O79">
        <v>3.5619999999999995E-6</v>
      </c>
      <c r="P79">
        <v>4.3749999999999996E-6</v>
      </c>
    </row>
    <row r="80" spans="2:16" x14ac:dyDescent="0.25">
      <c r="B80" s="22">
        <v>198</v>
      </c>
      <c r="C80" s="22" t="s">
        <v>46</v>
      </c>
      <c r="D80" s="22"/>
      <c r="E80" s="22">
        <v>1</v>
      </c>
      <c r="F80" s="22">
        <v>0.54800000000000004</v>
      </c>
      <c r="G80" s="25">
        <v>1.038E-7</v>
      </c>
      <c r="H80" s="25">
        <v>1.081E-7</v>
      </c>
      <c r="I80" s="25">
        <v>3.3759999999999995E-6</v>
      </c>
      <c r="J80" s="25">
        <v>1.5390000000000002E-7</v>
      </c>
      <c r="K80" s="25">
        <v>1.6220000000000001</v>
      </c>
      <c r="L80" s="25">
        <v>1.6220000000000001</v>
      </c>
      <c r="M80" s="25">
        <v>2.4710000000000003E-2</v>
      </c>
      <c r="N80" s="25">
        <v>1.968</v>
      </c>
      <c r="O80">
        <v>2.531E-6</v>
      </c>
      <c r="P80">
        <v>1.052E-6</v>
      </c>
    </row>
    <row r="81" spans="2:16" x14ac:dyDescent="0.25">
      <c r="B81" s="22">
        <v>199</v>
      </c>
      <c r="C81" s="22" t="s">
        <v>46</v>
      </c>
      <c r="D81" s="22"/>
      <c r="E81" s="22">
        <v>1</v>
      </c>
      <c r="F81" s="22">
        <v>0.57140000000000002</v>
      </c>
      <c r="G81" s="25">
        <v>5.6000000000000005E-8</v>
      </c>
      <c r="H81" s="25">
        <v>1.4560000000000001E-7</v>
      </c>
      <c r="I81" s="25">
        <v>2.244E-6</v>
      </c>
      <c r="J81" s="25">
        <v>8.9900000000000018E-8</v>
      </c>
      <c r="K81" s="25">
        <v>1.405</v>
      </c>
      <c r="L81" s="25">
        <v>1.405</v>
      </c>
      <c r="M81" s="25">
        <v>2.333E-2</v>
      </c>
      <c r="N81" s="25">
        <v>1.8660000000000001</v>
      </c>
      <c r="O81">
        <v>4.4209999999999997E-6</v>
      </c>
      <c r="P81">
        <v>4.9620000000000001E-7</v>
      </c>
    </row>
    <row r="82" spans="2:16" x14ac:dyDescent="0.25">
      <c r="B82" s="22">
        <v>200</v>
      </c>
      <c r="C82" s="22" t="s">
        <v>46</v>
      </c>
      <c r="D82" s="22"/>
      <c r="E82" s="22">
        <v>1</v>
      </c>
      <c r="F82" s="22">
        <v>0.60720000000000007</v>
      </c>
      <c r="G82" s="25">
        <v>1.4830000000000002E-7</v>
      </c>
      <c r="H82" s="25">
        <v>1.171E-7</v>
      </c>
      <c r="I82" s="25">
        <v>4.6889999999999995E-6</v>
      </c>
      <c r="J82" s="25">
        <v>5.5680000000000001E-7</v>
      </c>
      <c r="K82" s="25">
        <v>1.387</v>
      </c>
      <c r="L82" s="25">
        <v>1.387</v>
      </c>
      <c r="M82" s="25">
        <v>2.3379999999999998E-2</v>
      </c>
      <c r="N82" s="25">
        <v>1.8089999999999999</v>
      </c>
      <c r="O82">
        <v>3.0139999999999999E-6</v>
      </c>
      <c r="P82">
        <v>1.516E-6</v>
      </c>
    </row>
    <row r="83" spans="2:16" x14ac:dyDescent="0.25">
      <c r="B83" s="22">
        <v>202</v>
      </c>
      <c r="C83" s="22" t="s">
        <v>46</v>
      </c>
      <c r="D83" s="22"/>
      <c r="E83" s="22">
        <v>1</v>
      </c>
      <c r="F83" s="22">
        <v>0.59520000000000006</v>
      </c>
      <c r="G83" s="25">
        <v>1.5330000000000003E-7</v>
      </c>
      <c r="H83" s="25">
        <v>1.451E-7</v>
      </c>
      <c r="I83" s="25">
        <v>4.4900000000000002E-6</v>
      </c>
      <c r="J83" s="25">
        <v>4.8460000000000009E-7</v>
      </c>
      <c r="K83" s="25">
        <v>1.494</v>
      </c>
      <c r="L83" s="25">
        <v>1.494</v>
      </c>
      <c r="M83" s="25">
        <v>2.299E-2</v>
      </c>
      <c r="N83" s="25">
        <v>1.83</v>
      </c>
      <c r="O83">
        <v>3.3570000000000002E-6</v>
      </c>
      <c r="P83">
        <v>1.443E-6</v>
      </c>
    </row>
    <row r="84" spans="2:16" x14ac:dyDescent="0.25">
      <c r="B84" s="22">
        <v>205</v>
      </c>
      <c r="C84" s="22" t="s">
        <v>46</v>
      </c>
      <c r="D84" s="22"/>
      <c r="E84" s="22">
        <v>1</v>
      </c>
      <c r="F84" s="22">
        <v>9.8370000000000013E-2</v>
      </c>
      <c r="G84" s="25">
        <v>2.2850000000000001E-7</v>
      </c>
      <c r="H84" s="25">
        <v>9.83E-8</v>
      </c>
      <c r="I84" s="25">
        <v>9.5679999999999989E-6</v>
      </c>
      <c r="J84" s="25">
        <v>2.2819999999999999E-7</v>
      </c>
      <c r="K84" s="25">
        <v>1.381</v>
      </c>
      <c r="L84" s="25">
        <v>1.381</v>
      </c>
      <c r="M84" s="25">
        <v>2.3699999999999999E-2</v>
      </c>
      <c r="N84" s="25">
        <v>1.923</v>
      </c>
      <c r="O84">
        <v>2.672E-6</v>
      </c>
      <c r="P84">
        <v>3.394E-6</v>
      </c>
    </row>
    <row r="85" spans="2:16" x14ac:dyDescent="0.25">
      <c r="B85" s="22">
        <v>206</v>
      </c>
      <c r="C85" s="22" t="s">
        <v>46</v>
      </c>
      <c r="D85" s="22"/>
      <c r="E85" s="22">
        <v>1</v>
      </c>
      <c r="F85" s="22">
        <v>0.62620000000000009</v>
      </c>
      <c r="G85" s="25">
        <v>6.1799999999999998E-8</v>
      </c>
      <c r="H85" s="25">
        <v>1.9440000000000002E-7</v>
      </c>
      <c r="I85" s="25">
        <v>1.7869999999999998E-6</v>
      </c>
      <c r="J85" s="25">
        <v>6.5929999999999998E-7</v>
      </c>
      <c r="K85" s="25">
        <v>1.4339999999999999</v>
      </c>
      <c r="L85" s="25">
        <v>1.4339999999999999</v>
      </c>
      <c r="M85" s="25">
        <v>2.3E-2</v>
      </c>
      <c r="N85" s="25">
        <v>1.746</v>
      </c>
      <c r="O85">
        <v>3.4819999999999999E-6</v>
      </c>
      <c r="P85">
        <v>5.8600000000000009E-7</v>
      </c>
    </row>
    <row r="86" spans="2:16" x14ac:dyDescent="0.25">
      <c r="B86" s="22">
        <v>207</v>
      </c>
      <c r="C86" s="22" t="s">
        <v>46</v>
      </c>
      <c r="D86" s="22"/>
      <c r="E86" s="22">
        <v>1</v>
      </c>
      <c r="F86" s="22">
        <v>0.59810000000000008</v>
      </c>
      <c r="G86" s="25">
        <v>1.4140000000000001E-7</v>
      </c>
      <c r="H86" s="25">
        <v>3.432E-7</v>
      </c>
      <c r="I86" s="25">
        <v>4.1219999999999997E-6</v>
      </c>
      <c r="J86" s="25">
        <v>6.6050000000000007E-7</v>
      </c>
      <c r="K86" s="25">
        <v>1.486</v>
      </c>
      <c r="L86" s="25">
        <v>1.486</v>
      </c>
      <c r="M86" s="25">
        <v>2.3310000000000001E-2</v>
      </c>
      <c r="N86" s="25">
        <v>1.8260000000000001</v>
      </c>
      <c r="O86">
        <v>6.3259999999999992E-6</v>
      </c>
      <c r="P86">
        <v>2.3099999999999999E-6</v>
      </c>
    </row>
    <row r="87" spans="2:16" x14ac:dyDescent="0.25">
      <c r="B87" s="22">
        <v>211</v>
      </c>
      <c r="C87" s="22" t="s">
        <v>46</v>
      </c>
      <c r="D87" s="22"/>
      <c r="E87" s="22">
        <v>1</v>
      </c>
      <c r="F87" s="22">
        <v>0.5978</v>
      </c>
      <c r="G87" s="25">
        <v>2.3480000000000004E-7</v>
      </c>
      <c r="H87" s="25">
        <v>1.5519999999999999E-7</v>
      </c>
      <c r="I87" s="25">
        <v>4.724E-6</v>
      </c>
      <c r="J87" s="25">
        <v>3.4960000000000006E-7</v>
      </c>
      <c r="K87" s="25">
        <v>1.3759999999999999</v>
      </c>
      <c r="L87" s="25">
        <v>1.3759999999999999</v>
      </c>
      <c r="M87" s="25">
        <v>2.358E-2</v>
      </c>
      <c r="N87" s="25">
        <v>1.7709999999999999</v>
      </c>
      <c r="O87">
        <v>4.2249999999999994E-6</v>
      </c>
      <c r="P87">
        <v>2.075E-6</v>
      </c>
    </row>
    <row r="88" spans="2:16" x14ac:dyDescent="0.25">
      <c r="B88" s="22">
        <v>212</v>
      </c>
      <c r="C88" s="22" t="s">
        <v>46</v>
      </c>
      <c r="D88" s="22"/>
      <c r="E88" s="22">
        <v>1</v>
      </c>
      <c r="F88" s="22">
        <v>0.56879999999999997</v>
      </c>
      <c r="G88" s="25">
        <v>5.2110000000000008E-7</v>
      </c>
      <c r="H88" s="25">
        <v>6.6179999999999996E-7</v>
      </c>
      <c r="I88" s="25">
        <v>3.2289999999999999E-6</v>
      </c>
      <c r="J88" s="25">
        <v>4.0360000000000004E-7</v>
      </c>
      <c r="K88" s="25">
        <v>1.611</v>
      </c>
      <c r="L88" s="25">
        <v>1.611</v>
      </c>
      <c r="M88" s="25">
        <v>2.3940000000000003E-2</v>
      </c>
      <c r="N88" s="25">
        <v>1.9370000000000001</v>
      </c>
      <c r="O88">
        <v>1.2149999999999997E-5</v>
      </c>
      <c r="P88">
        <v>1.5349999999999999E-6</v>
      </c>
    </row>
    <row r="89" spans="2:16" x14ac:dyDescent="0.25">
      <c r="B89" s="22">
        <v>213</v>
      </c>
      <c r="C89" s="22" t="s">
        <v>46</v>
      </c>
      <c r="D89" s="22"/>
      <c r="E89" s="22">
        <v>1</v>
      </c>
      <c r="F89" s="22">
        <v>0.61539999999999995</v>
      </c>
      <c r="G89" s="25">
        <v>1.592E-7</v>
      </c>
      <c r="H89" s="25">
        <v>2.0899999999999999E-8</v>
      </c>
      <c r="I89" s="25">
        <v>5.1799999999999995E-6</v>
      </c>
      <c r="J89" s="25">
        <v>7.5600000000000002E-8</v>
      </c>
      <c r="K89" s="25">
        <v>1.3</v>
      </c>
      <c r="L89" s="25">
        <v>1.3</v>
      </c>
      <c r="M89" s="25">
        <v>2.2700000000000001E-2</v>
      </c>
      <c r="N89" s="25">
        <v>1.8160000000000001</v>
      </c>
      <c r="O89">
        <v>1.8059999999999999E-6</v>
      </c>
      <c r="P89">
        <v>1.5E-6</v>
      </c>
    </row>
    <row r="90" spans="2:16" x14ac:dyDescent="0.25">
      <c r="B90" s="22">
        <v>216</v>
      </c>
      <c r="C90" s="22" t="s">
        <v>46</v>
      </c>
      <c r="D90" s="22"/>
      <c r="E90" s="22">
        <v>1</v>
      </c>
      <c r="F90" s="22">
        <v>0.54630000000000001</v>
      </c>
      <c r="G90" s="25">
        <v>4.454E-7</v>
      </c>
      <c r="H90" s="25">
        <v>1.7669999999999999E-7</v>
      </c>
      <c r="I90" s="25">
        <v>9.4029999999999996E-6</v>
      </c>
      <c r="J90" s="25">
        <v>5.9690000000000006E-7</v>
      </c>
      <c r="K90" s="25">
        <v>1.615</v>
      </c>
      <c r="L90" s="25">
        <v>1.615</v>
      </c>
      <c r="M90" s="25">
        <v>2.3760000000000003E-2</v>
      </c>
      <c r="N90" s="25">
        <v>1.9690000000000001</v>
      </c>
      <c r="O90">
        <v>3.5299999999999997E-6</v>
      </c>
      <c r="P90">
        <v>4.8679999999999998E-6</v>
      </c>
    </row>
    <row r="91" spans="2:16" x14ac:dyDescent="0.25">
      <c r="B91" s="22">
        <v>217</v>
      </c>
      <c r="C91" s="22" t="s">
        <v>46</v>
      </c>
      <c r="D91" s="22"/>
      <c r="E91" s="22">
        <v>1</v>
      </c>
      <c r="F91" s="22">
        <v>0.5757000000000001</v>
      </c>
      <c r="G91" s="25">
        <v>1.5459999999999999E-7</v>
      </c>
      <c r="H91" s="25">
        <v>7.6599999999999998E-8</v>
      </c>
      <c r="I91" s="25">
        <v>4.8739999999999994E-6</v>
      </c>
      <c r="J91" s="25">
        <v>7.9000000000000006E-8</v>
      </c>
      <c r="K91" s="25">
        <v>1.2709999999999999</v>
      </c>
      <c r="L91" s="25">
        <v>1.2709999999999999</v>
      </c>
      <c r="M91" s="25">
        <v>2.2690000000000002E-2</v>
      </c>
      <c r="N91" s="25">
        <v>1.901</v>
      </c>
      <c r="O91">
        <v>2.3650000000000002E-6</v>
      </c>
      <c r="P91">
        <v>1.8929999999999999E-6</v>
      </c>
    </row>
    <row r="92" spans="2:16" x14ac:dyDescent="0.25">
      <c r="B92" s="22">
        <v>219</v>
      </c>
      <c r="C92" s="22" t="s">
        <v>46</v>
      </c>
      <c r="D92" s="22"/>
      <c r="E92" s="22">
        <v>1</v>
      </c>
      <c r="F92" s="22">
        <v>0.58850000000000002</v>
      </c>
      <c r="G92" s="25">
        <v>6.4799999999999998E-8</v>
      </c>
      <c r="H92" s="25">
        <v>5.6100000000000006E-8</v>
      </c>
      <c r="I92" s="25">
        <v>1.8560000000000001E-6</v>
      </c>
      <c r="J92" s="25">
        <v>4.4600000000000002E-8</v>
      </c>
      <c r="K92" s="25">
        <v>1.391</v>
      </c>
      <c r="L92" s="25">
        <v>1.391</v>
      </c>
      <c r="M92" s="25">
        <v>2.265E-2</v>
      </c>
      <c r="N92" s="25">
        <v>1.8640000000000001</v>
      </c>
      <c r="O92">
        <v>2.7200000000000002E-6</v>
      </c>
      <c r="P92">
        <v>6.7410000000000003E-7</v>
      </c>
    </row>
    <row r="93" spans="2:16" x14ac:dyDescent="0.25">
      <c r="B93" s="22">
        <v>220</v>
      </c>
      <c r="C93" s="22" t="s">
        <v>46</v>
      </c>
      <c r="D93" s="22"/>
      <c r="E93" s="22">
        <v>1</v>
      </c>
      <c r="F93" s="22">
        <v>0.65349999999999997</v>
      </c>
      <c r="G93" s="25">
        <v>4.8030000000000009E-7</v>
      </c>
      <c r="H93" s="25">
        <v>6.4000000000000001E-7</v>
      </c>
      <c r="I93" s="25">
        <v>3.2309999999999996E-6</v>
      </c>
      <c r="J93" s="25">
        <v>4.6030000000000007E-7</v>
      </c>
      <c r="K93" s="25">
        <v>1.4059999999999999</v>
      </c>
      <c r="L93" s="25">
        <v>1.4059999999999999</v>
      </c>
      <c r="M93" s="25">
        <v>2.2720000000000001E-2</v>
      </c>
      <c r="N93" s="25">
        <v>1.726</v>
      </c>
      <c r="O93">
        <v>1.172E-5</v>
      </c>
      <c r="P93">
        <v>1.437E-6</v>
      </c>
    </row>
    <row r="94" spans="2:16" x14ac:dyDescent="0.25">
      <c r="B94" s="22">
        <v>224</v>
      </c>
      <c r="C94" s="22" t="s">
        <v>46</v>
      </c>
      <c r="D94" s="22"/>
      <c r="E94" s="22">
        <v>1</v>
      </c>
      <c r="F94" s="22">
        <v>0.57789999999999997</v>
      </c>
      <c r="G94" s="25">
        <v>5.3010000000000002E-7</v>
      </c>
      <c r="H94" s="25">
        <v>1.3369999999999999E-7</v>
      </c>
      <c r="I94" s="25">
        <v>8.9459999999999987E-6</v>
      </c>
      <c r="J94" s="25">
        <v>3.7460000000000003E-7</v>
      </c>
      <c r="K94" s="25">
        <v>1.5620000000000001</v>
      </c>
      <c r="L94" s="25">
        <v>1.5620000000000001</v>
      </c>
      <c r="M94" s="25">
        <v>2.2499999999999999E-2</v>
      </c>
      <c r="N94" s="25">
        <v>1.923</v>
      </c>
      <c r="O94">
        <v>2.6819999999999999E-6</v>
      </c>
      <c r="P94">
        <v>3.1589999999999997E-6</v>
      </c>
    </row>
    <row r="95" spans="2:16" x14ac:dyDescent="0.25">
      <c r="B95" s="22">
        <v>225</v>
      </c>
      <c r="C95" s="22" t="s">
        <v>46</v>
      </c>
      <c r="D95" s="22"/>
      <c r="E95" s="22">
        <v>1</v>
      </c>
      <c r="F95" s="22">
        <v>0.62609999999999999</v>
      </c>
      <c r="G95" s="25">
        <v>3.1900000000000001E-8</v>
      </c>
      <c r="H95" s="25">
        <v>8.6200000000000004E-8</v>
      </c>
      <c r="I95" s="25">
        <v>3.5489999999999998E-7</v>
      </c>
      <c r="J95" s="25">
        <v>1.1850000000000001E-7</v>
      </c>
      <c r="K95" s="25">
        <v>1.53</v>
      </c>
      <c r="L95" s="25">
        <v>1.53</v>
      </c>
      <c r="M95" s="25">
        <v>2.206E-2</v>
      </c>
      <c r="N95" s="25">
        <v>1.841</v>
      </c>
      <c r="O95">
        <v>2.1709999999999996E-6</v>
      </c>
      <c r="P95">
        <v>1.4360000000000002E-7</v>
      </c>
    </row>
    <row r="96" spans="2:16" x14ac:dyDescent="0.25">
      <c r="B96" s="22">
        <v>228</v>
      </c>
      <c r="C96" s="22" t="s">
        <v>46</v>
      </c>
      <c r="D96" s="22"/>
      <c r="E96" s="22">
        <v>1</v>
      </c>
      <c r="F96" s="22">
        <v>0.57750000000000001</v>
      </c>
      <c r="G96" s="25">
        <v>5.6720000000000005E-7</v>
      </c>
      <c r="H96" s="25">
        <v>5.6100000000000001E-7</v>
      </c>
      <c r="I96" s="25">
        <v>1.2649999999999999E-5</v>
      </c>
      <c r="J96" s="25">
        <v>3.8360000000000002E-7</v>
      </c>
      <c r="K96" s="25">
        <v>1.32</v>
      </c>
      <c r="L96" s="25">
        <v>1.32</v>
      </c>
      <c r="M96" s="25">
        <v>2.281E-2</v>
      </c>
      <c r="N96" s="25">
        <v>1.897</v>
      </c>
      <c r="O96">
        <v>1.491E-5</v>
      </c>
      <c r="P96">
        <v>4.8840000000000002E-6</v>
      </c>
    </row>
    <row r="97" spans="2:16" x14ac:dyDescent="0.25">
      <c r="B97" s="22">
        <v>229</v>
      </c>
      <c r="C97" s="22" t="s">
        <v>46</v>
      </c>
      <c r="D97" s="22"/>
      <c r="E97" s="22">
        <v>1</v>
      </c>
      <c r="F97" s="22">
        <v>0.55979999999999996</v>
      </c>
      <c r="G97" s="25">
        <v>1.6150000000000001E-7</v>
      </c>
      <c r="H97" s="25">
        <v>1.0720000000000001E-7</v>
      </c>
      <c r="I97" s="25">
        <v>3.7179999999999998E-6</v>
      </c>
      <c r="J97" s="25">
        <v>1.296E-7</v>
      </c>
      <c r="K97" s="25">
        <v>1.4690000000000001</v>
      </c>
      <c r="L97" s="25">
        <v>1.4690000000000001</v>
      </c>
      <c r="M97" s="25">
        <v>2.3969999999999998E-2</v>
      </c>
      <c r="N97" s="25">
        <v>1.9330000000000001</v>
      </c>
      <c r="O97">
        <v>2.4900000000000003E-6</v>
      </c>
      <c r="P97">
        <v>1.6459999999999998E-6</v>
      </c>
    </row>
    <row r="98" spans="2:16" x14ac:dyDescent="0.25">
      <c r="B98" s="22">
        <v>230</v>
      </c>
      <c r="C98" s="22" t="s">
        <v>46</v>
      </c>
      <c r="D98" s="22"/>
      <c r="E98" s="22">
        <v>1</v>
      </c>
      <c r="F98" s="22">
        <v>0.6018</v>
      </c>
      <c r="G98" s="25">
        <v>1.0050000000000001E-7</v>
      </c>
      <c r="H98" s="25">
        <v>8.6799999999999996E-8</v>
      </c>
      <c r="I98" s="25">
        <v>2.8679999999999999E-6</v>
      </c>
      <c r="J98" s="25">
        <v>2.6460000000000003E-7</v>
      </c>
      <c r="K98" s="25">
        <v>1.48</v>
      </c>
      <c r="L98" s="25">
        <v>1.48</v>
      </c>
      <c r="M98" s="25">
        <v>2.3310000000000001E-2</v>
      </c>
      <c r="N98" s="25">
        <v>1.8069999999999999</v>
      </c>
      <c r="O98">
        <v>2.1829999999999997E-6</v>
      </c>
      <c r="P98">
        <v>1.0129999999999999E-6</v>
      </c>
    </row>
    <row r="99" spans="2:16" x14ac:dyDescent="0.25">
      <c r="B99" s="22">
        <v>232</v>
      </c>
      <c r="C99" s="22" t="s">
        <v>46</v>
      </c>
      <c r="D99" s="22"/>
      <c r="E99" s="22">
        <v>1</v>
      </c>
      <c r="F99" s="22">
        <v>0.63039999999999996</v>
      </c>
      <c r="G99" s="25">
        <v>1.6969999999999999E-7</v>
      </c>
      <c r="H99" s="25">
        <v>2.036E-7</v>
      </c>
      <c r="I99" s="25">
        <v>1.1939999999999999E-6</v>
      </c>
      <c r="J99" s="25">
        <v>7.3929999999999996E-7</v>
      </c>
      <c r="K99" s="25">
        <v>1.5109999999999999</v>
      </c>
      <c r="L99" s="25">
        <v>1.5109999999999999</v>
      </c>
      <c r="M99" s="25">
        <v>2.2600000000000002E-2</v>
      </c>
      <c r="N99" s="25">
        <v>1.806</v>
      </c>
      <c r="O99">
        <v>3.8379999999999995E-6</v>
      </c>
      <c r="P99">
        <v>4.1940000000000001E-7</v>
      </c>
    </row>
    <row r="100" spans="2:16" x14ac:dyDescent="0.25">
      <c r="B100" s="22">
        <v>233</v>
      </c>
      <c r="C100" s="22" t="s">
        <v>46</v>
      </c>
      <c r="D100" s="22"/>
      <c r="E100" s="22">
        <v>1</v>
      </c>
      <c r="F100" s="22">
        <v>0.58389999999999997</v>
      </c>
      <c r="G100" s="25">
        <v>7.800000000000001E-8</v>
      </c>
      <c r="H100" s="25">
        <v>7.1400000000000004E-8</v>
      </c>
      <c r="I100" s="25">
        <v>1.342E-6</v>
      </c>
      <c r="J100" s="25">
        <v>1.3840000000000002E-7</v>
      </c>
      <c r="K100" s="25">
        <v>1.5860000000000001</v>
      </c>
      <c r="L100" s="25">
        <v>1.5860000000000001</v>
      </c>
      <c r="M100" s="25">
        <v>2.3140000000000001E-2</v>
      </c>
      <c r="N100" s="25">
        <v>1.927</v>
      </c>
      <c r="O100">
        <v>2.6280000000000001E-6</v>
      </c>
      <c r="P100">
        <v>3.9450000000000005E-7</v>
      </c>
    </row>
    <row r="101" spans="2:16" x14ac:dyDescent="0.25">
      <c r="B101" s="22">
        <v>236</v>
      </c>
      <c r="C101" s="22" t="s">
        <v>46</v>
      </c>
      <c r="D101" s="22"/>
      <c r="E101" s="22">
        <v>1</v>
      </c>
      <c r="F101" s="22">
        <v>0.5706</v>
      </c>
      <c r="G101" s="25">
        <v>3.1950000000000002E-7</v>
      </c>
      <c r="H101" s="25">
        <v>5.0680000000000006E-7</v>
      </c>
      <c r="I101" s="25">
        <v>5.5119999999999991E-6</v>
      </c>
      <c r="J101" s="25">
        <v>2.6830000000000004E-7</v>
      </c>
      <c r="K101" s="25">
        <v>1.1739999999999999</v>
      </c>
      <c r="L101" s="25">
        <v>1.1739999999999999</v>
      </c>
      <c r="M101" s="25">
        <v>2.3429999999999999E-2</v>
      </c>
      <c r="N101" s="25">
        <v>1.8819999999999999</v>
      </c>
      <c r="O101">
        <v>1.2849999999999999E-5</v>
      </c>
      <c r="P101">
        <v>2.5379999999999997E-6</v>
      </c>
    </row>
    <row r="102" spans="2:16" x14ac:dyDescent="0.25">
      <c r="B102" s="22">
        <v>240</v>
      </c>
      <c r="C102" s="22" t="s">
        <v>46</v>
      </c>
      <c r="D102" s="22"/>
      <c r="E102" s="22">
        <v>1</v>
      </c>
      <c r="F102" s="22">
        <v>0.61299999999999999</v>
      </c>
      <c r="G102" s="25">
        <v>9.1800000000000001E-8</v>
      </c>
      <c r="H102" s="25">
        <v>6.1500000000000001E-8</v>
      </c>
      <c r="I102" s="25">
        <v>1.5549999999999999E-6</v>
      </c>
      <c r="J102" s="25">
        <v>1.166E-7</v>
      </c>
      <c r="K102" s="25">
        <v>1.4970000000000001</v>
      </c>
      <c r="L102" s="25">
        <v>1.4970000000000001</v>
      </c>
      <c r="M102" s="25">
        <v>2.2440000000000002E-2</v>
      </c>
      <c r="N102" s="25">
        <v>1.83</v>
      </c>
      <c r="O102">
        <v>1.3340000000000001E-6</v>
      </c>
      <c r="P102">
        <v>5.7720000000000006E-7</v>
      </c>
    </row>
    <row r="103" spans="2:16" x14ac:dyDescent="0.25">
      <c r="B103" s="22">
        <v>241</v>
      </c>
      <c r="C103" s="22" t="s">
        <v>46</v>
      </c>
      <c r="D103" s="22"/>
      <c r="E103" s="22">
        <v>1</v>
      </c>
      <c r="F103" s="22">
        <v>0.56329999999999991</v>
      </c>
      <c r="G103" s="25">
        <v>1.7959999999999999E-7</v>
      </c>
      <c r="H103" s="25">
        <v>1.0270000000000001E-7</v>
      </c>
      <c r="I103" s="25">
        <v>7.6159999999999996E-6</v>
      </c>
      <c r="J103" s="25">
        <v>3.002E-7</v>
      </c>
      <c r="K103" s="25">
        <v>1.3959999999999999</v>
      </c>
      <c r="L103" s="25">
        <v>1.3959999999999999</v>
      </c>
      <c r="M103" s="25">
        <v>2.3820000000000001E-2</v>
      </c>
      <c r="N103" s="25">
        <v>1.897</v>
      </c>
      <c r="O103">
        <v>2.8969999999999995E-6</v>
      </c>
      <c r="P103">
        <v>2.8700000000000001E-6</v>
      </c>
    </row>
    <row r="104" spans="2:16" x14ac:dyDescent="0.25">
      <c r="B104" s="22">
        <v>243</v>
      </c>
      <c r="C104" s="22" t="s">
        <v>46</v>
      </c>
      <c r="D104" s="22"/>
      <c r="E104" s="22">
        <v>1</v>
      </c>
      <c r="F104" s="22">
        <v>0.6</v>
      </c>
      <c r="G104" s="25">
        <v>8.6900000000000017E-8</v>
      </c>
      <c r="H104" s="25">
        <v>1.29E-7</v>
      </c>
      <c r="I104" s="25">
        <v>4.4489999999999992E-6</v>
      </c>
      <c r="J104" s="25">
        <v>1.0330000000000001E-7</v>
      </c>
      <c r="K104" s="25">
        <v>1.1459999999999999</v>
      </c>
      <c r="L104" s="25">
        <v>1.1459999999999999</v>
      </c>
      <c r="M104" s="25">
        <v>2.274E-2</v>
      </c>
      <c r="N104" s="25">
        <v>1.8160000000000001</v>
      </c>
      <c r="O104">
        <v>2.1960000000000002E-6</v>
      </c>
      <c r="P104">
        <v>1.1909999999999999E-6</v>
      </c>
    </row>
    <row r="105" spans="2:16" x14ac:dyDescent="0.25">
      <c r="B105" s="22">
        <v>245</v>
      </c>
      <c r="C105" s="22" t="s">
        <v>46</v>
      </c>
      <c r="D105" s="22"/>
      <c r="E105" s="22">
        <v>1</v>
      </c>
      <c r="F105" s="22">
        <v>0.60639999999999994</v>
      </c>
      <c r="G105" s="25">
        <v>5.0790000000000004E-7</v>
      </c>
      <c r="H105" s="25">
        <v>1.1040000000000001E-7</v>
      </c>
      <c r="I105" s="25">
        <v>1.1099999999999999E-5</v>
      </c>
      <c r="J105" s="25">
        <v>1.917E-7</v>
      </c>
      <c r="K105" s="25">
        <v>1.385</v>
      </c>
      <c r="L105" s="25">
        <v>1.385</v>
      </c>
      <c r="M105" s="25">
        <v>2.1989999999999999E-2</v>
      </c>
      <c r="N105" s="25">
        <v>1.8560000000000001</v>
      </c>
      <c r="O105">
        <v>2.3679999999999996E-6</v>
      </c>
      <c r="P105">
        <v>4.25E-6</v>
      </c>
    </row>
    <row r="106" spans="2:16" x14ac:dyDescent="0.25">
      <c r="B106" s="22">
        <v>246</v>
      </c>
      <c r="C106" s="22" t="s">
        <v>46</v>
      </c>
      <c r="D106" s="22"/>
      <c r="E106" s="22">
        <v>1</v>
      </c>
      <c r="F106" s="22">
        <v>0.58250000000000002</v>
      </c>
      <c r="G106" s="25">
        <v>3.1450000000000002E-7</v>
      </c>
      <c r="H106" s="25">
        <v>4.3200000000000003E-8</v>
      </c>
      <c r="I106" s="25">
        <v>7.1689999999999995E-6</v>
      </c>
      <c r="J106" s="25">
        <v>1.121E-7</v>
      </c>
      <c r="K106" s="25">
        <v>1.204</v>
      </c>
      <c r="L106" s="25">
        <v>1.204</v>
      </c>
      <c r="M106" s="25">
        <v>2.3260000000000003E-2</v>
      </c>
      <c r="N106" s="25">
        <v>1.8069999999999999</v>
      </c>
      <c r="O106">
        <v>1.4169999999999999E-6</v>
      </c>
      <c r="P106">
        <v>3.5329999999999999E-6</v>
      </c>
    </row>
    <row r="107" spans="2:16" x14ac:dyDescent="0.25">
      <c r="B107" s="22">
        <v>247</v>
      </c>
      <c r="C107" s="22" t="s">
        <v>46</v>
      </c>
      <c r="D107" s="22"/>
      <c r="E107" s="22">
        <v>1</v>
      </c>
      <c r="F107" s="22">
        <v>0.58360000000000001</v>
      </c>
      <c r="G107" s="25">
        <v>4.3530000000000004E-7</v>
      </c>
      <c r="H107" s="25">
        <v>1.1090000000000001E-7</v>
      </c>
      <c r="I107" s="25">
        <v>5.1559999999999994E-6</v>
      </c>
      <c r="J107" s="25">
        <v>1.4090000000000002E-7</v>
      </c>
      <c r="K107" s="25">
        <v>1.3260000000000001</v>
      </c>
      <c r="L107" s="25">
        <v>1.3260000000000001</v>
      </c>
      <c r="M107" s="25">
        <v>2.3E-2</v>
      </c>
      <c r="N107" s="25">
        <v>1.8380000000000001</v>
      </c>
      <c r="O107">
        <v>3.5419999999999997E-6</v>
      </c>
      <c r="P107">
        <v>2.4870000000000001E-6</v>
      </c>
    </row>
    <row r="108" spans="2:16" x14ac:dyDescent="0.25">
      <c r="B108" s="22">
        <v>248</v>
      </c>
      <c r="C108" s="22" t="s">
        <v>46</v>
      </c>
      <c r="D108" s="22"/>
      <c r="E108" s="22">
        <v>1</v>
      </c>
      <c r="F108" s="22">
        <v>0.59899999999999998</v>
      </c>
      <c r="G108" s="25">
        <v>8.8300000000000003E-8</v>
      </c>
      <c r="H108" s="25">
        <v>9.1700000000000007E-8</v>
      </c>
      <c r="I108" s="25">
        <v>1.1759999999999998E-6</v>
      </c>
      <c r="J108" s="25">
        <v>1.765E-7</v>
      </c>
      <c r="K108" s="25">
        <v>1.492</v>
      </c>
      <c r="L108" s="25">
        <v>1.492</v>
      </c>
      <c r="M108" s="25">
        <v>2.24E-2</v>
      </c>
      <c r="N108" s="25">
        <v>1.8380000000000001</v>
      </c>
      <c r="O108">
        <v>1.3249999999999998E-6</v>
      </c>
      <c r="P108">
        <v>3.5400000000000002E-7</v>
      </c>
    </row>
    <row r="109" spans="2:16" x14ac:dyDescent="0.25">
      <c r="B109" s="22">
        <v>250</v>
      </c>
      <c r="C109" s="22" t="s">
        <v>46</v>
      </c>
      <c r="D109" s="22"/>
      <c r="E109" s="22">
        <v>1</v>
      </c>
      <c r="F109" s="22">
        <v>0.61320000000000008</v>
      </c>
      <c r="G109" s="25">
        <v>6.3300000000000004E-8</v>
      </c>
      <c r="H109" s="25">
        <v>2.1600000000000002E-8</v>
      </c>
      <c r="I109" s="25">
        <v>6.243E-7</v>
      </c>
      <c r="J109" s="25">
        <v>7.6000000000000006E-8</v>
      </c>
      <c r="K109" s="25">
        <v>1.524</v>
      </c>
      <c r="L109" s="25">
        <v>1.524</v>
      </c>
      <c r="M109" s="25">
        <v>2.2180000000000002E-2</v>
      </c>
      <c r="N109" s="25">
        <v>1.8380000000000001</v>
      </c>
      <c r="O109">
        <v>1.4159999999999999E-6</v>
      </c>
      <c r="P109">
        <v>2.4260000000000002E-7</v>
      </c>
    </row>
    <row r="110" spans="2:16" x14ac:dyDescent="0.25">
      <c r="B110" s="22">
        <v>251</v>
      </c>
      <c r="C110" s="22" t="s">
        <v>46</v>
      </c>
      <c r="D110" s="22"/>
      <c r="E110" s="22">
        <v>1</v>
      </c>
      <c r="F110" s="22">
        <v>0.5767000000000001</v>
      </c>
      <c r="G110" s="25">
        <v>8.2900000000000008E-8</v>
      </c>
      <c r="H110" s="25">
        <v>5.5000000000000003E-8</v>
      </c>
      <c r="I110" s="25">
        <v>3.4230000000000001E-6</v>
      </c>
      <c r="J110" s="25">
        <v>6.3300000000000004E-8</v>
      </c>
      <c r="K110" s="25">
        <v>1.304</v>
      </c>
      <c r="L110" s="25">
        <v>1.304</v>
      </c>
      <c r="M110" s="25">
        <v>2.274E-2</v>
      </c>
      <c r="N110" s="25">
        <v>1.893</v>
      </c>
      <c r="O110">
        <v>2.243E-6</v>
      </c>
      <c r="P110">
        <v>1.2559999999999999E-6</v>
      </c>
    </row>
    <row r="111" spans="2:16" x14ac:dyDescent="0.25">
      <c r="B111" s="22">
        <v>256</v>
      </c>
      <c r="C111" s="22" t="s">
        <v>46</v>
      </c>
      <c r="D111" s="22"/>
      <c r="E111" s="22">
        <v>1</v>
      </c>
      <c r="F111" s="22">
        <v>0.63590000000000002</v>
      </c>
      <c r="G111" s="25">
        <v>4.6430000000000005E-7</v>
      </c>
      <c r="H111" s="25">
        <v>1.8310000000000002E-7</v>
      </c>
      <c r="I111" s="25">
        <v>5.7859999999999993E-6</v>
      </c>
      <c r="J111" s="25">
        <v>7.258E-7</v>
      </c>
      <c r="K111" s="25">
        <v>1.242</v>
      </c>
      <c r="L111" s="25">
        <v>1.242</v>
      </c>
      <c r="M111" s="25">
        <v>2.29E-2</v>
      </c>
      <c r="N111" s="25">
        <v>1.7190000000000001</v>
      </c>
      <c r="O111">
        <v>3.4799999999999997E-6</v>
      </c>
      <c r="P111">
        <v>3.0979999999999998E-6</v>
      </c>
    </row>
    <row r="112" spans="2:16" x14ac:dyDescent="0.25">
      <c r="B112" s="22">
        <v>259</v>
      </c>
      <c r="C112" s="22" t="s">
        <v>46</v>
      </c>
      <c r="D112" s="22"/>
      <c r="E112" s="22">
        <v>1</v>
      </c>
      <c r="F112" s="22">
        <v>0.62060000000000004</v>
      </c>
      <c r="G112" s="25">
        <v>9.6300000000000009E-8</v>
      </c>
      <c r="H112" s="25">
        <v>1.171E-7</v>
      </c>
      <c r="I112" s="25">
        <v>6.3840000000000002E-6</v>
      </c>
      <c r="J112" s="25">
        <v>1.332E-7</v>
      </c>
      <c r="K112" s="25">
        <v>1.246</v>
      </c>
      <c r="L112" s="25">
        <v>1.246</v>
      </c>
      <c r="M112" s="25">
        <v>2.2769999999999999E-2</v>
      </c>
      <c r="N112" s="25">
        <v>1.782</v>
      </c>
      <c r="O112">
        <v>2.6669999999999996E-6</v>
      </c>
      <c r="P112">
        <v>2.2759999999999999E-6</v>
      </c>
    </row>
    <row r="113" spans="2:16" x14ac:dyDescent="0.25">
      <c r="B113" s="22">
        <v>260</v>
      </c>
      <c r="C113" s="22" t="s">
        <v>46</v>
      </c>
      <c r="D113" s="22"/>
      <c r="E113" s="22">
        <v>1</v>
      </c>
      <c r="F113" s="22">
        <v>0.56910000000000005</v>
      </c>
      <c r="G113" s="25">
        <v>3.5070000000000004E-7</v>
      </c>
      <c r="H113" s="25">
        <v>5.8739999999999998E-7</v>
      </c>
      <c r="I113" s="25">
        <v>2.8899999999999999E-6</v>
      </c>
      <c r="J113" s="25">
        <v>7.9840000000000006E-7</v>
      </c>
      <c r="K113" s="25">
        <v>1.6040000000000001</v>
      </c>
      <c r="L113" s="25">
        <v>1.6040000000000001</v>
      </c>
      <c r="M113" s="25">
        <v>2.3370000000000002E-2</v>
      </c>
      <c r="N113" s="25">
        <v>1.917</v>
      </c>
      <c r="O113">
        <v>1.3869999999999999E-5</v>
      </c>
      <c r="P113">
        <v>1.2039999999999998E-6</v>
      </c>
    </row>
    <row r="114" spans="2:16" x14ac:dyDescent="0.25">
      <c r="B114" s="22">
        <v>261</v>
      </c>
      <c r="C114" s="22" t="s">
        <v>46</v>
      </c>
      <c r="D114" s="22"/>
      <c r="E114" s="22">
        <v>1</v>
      </c>
      <c r="F114" s="22">
        <v>0.60780000000000001</v>
      </c>
      <c r="G114" s="25">
        <v>1.5550000000000001E-7</v>
      </c>
      <c r="H114" s="25">
        <v>1.7530000000000001E-7</v>
      </c>
      <c r="I114" s="25">
        <v>4.296E-6</v>
      </c>
      <c r="J114" s="25">
        <v>3.8580000000000003E-7</v>
      </c>
      <c r="K114" s="25">
        <v>1.323</v>
      </c>
      <c r="L114" s="25">
        <v>1.323</v>
      </c>
      <c r="M114" s="25">
        <v>2.2790000000000001E-2</v>
      </c>
      <c r="N114" s="25">
        <v>1.7769999999999999</v>
      </c>
      <c r="O114">
        <v>2.6800000000000002E-6</v>
      </c>
      <c r="P114">
        <v>1.8649999999999999E-6</v>
      </c>
    </row>
    <row r="115" spans="2:16" x14ac:dyDescent="0.25">
      <c r="B115" s="22">
        <v>266</v>
      </c>
      <c r="C115" s="22" t="s">
        <v>46</v>
      </c>
      <c r="D115" s="22"/>
      <c r="E115" s="22">
        <v>1</v>
      </c>
      <c r="F115" s="22">
        <v>0.61420000000000008</v>
      </c>
      <c r="G115" s="25">
        <v>2.8630000000000002E-7</v>
      </c>
      <c r="H115" s="25">
        <v>1.1920000000000001E-7</v>
      </c>
      <c r="I115" s="25">
        <v>4.4800000000000003E-6</v>
      </c>
      <c r="J115" s="25">
        <v>5.214E-7</v>
      </c>
      <c r="K115" s="25">
        <v>1.306</v>
      </c>
      <c r="L115" s="25">
        <v>1.306</v>
      </c>
      <c r="M115" s="25">
        <v>2.3370000000000002E-2</v>
      </c>
      <c r="N115" s="25">
        <v>1.7310000000000001</v>
      </c>
      <c r="O115">
        <v>2.9919999999999999E-6</v>
      </c>
      <c r="P115">
        <v>1.5459999999999999E-6</v>
      </c>
    </row>
    <row r="116" spans="2:16" x14ac:dyDescent="0.25">
      <c r="B116" s="22">
        <v>268</v>
      </c>
      <c r="C116" s="22" t="s">
        <v>46</v>
      </c>
      <c r="D116" s="22"/>
      <c r="E116" s="22">
        <v>1</v>
      </c>
      <c r="F116" s="22">
        <v>0.59360000000000002</v>
      </c>
      <c r="G116" s="25">
        <v>1.246E-6</v>
      </c>
      <c r="H116" s="25">
        <v>4.4180000000000005E-7</v>
      </c>
      <c r="I116" s="25">
        <v>9.3379999999999994E-6</v>
      </c>
      <c r="J116" s="25">
        <v>3.2750000000000004E-7</v>
      </c>
      <c r="K116" s="25">
        <v>1.4390000000000001</v>
      </c>
      <c r="L116" s="25">
        <v>1.4390000000000001</v>
      </c>
      <c r="M116" s="25">
        <v>2.3E-2</v>
      </c>
      <c r="N116" s="25">
        <v>1.9</v>
      </c>
      <c r="O116">
        <v>1.239E-5</v>
      </c>
      <c r="P116">
        <v>5.2019999999999995E-6</v>
      </c>
    </row>
    <row r="117" spans="2:16" x14ac:dyDescent="0.25">
      <c r="B117" s="22">
        <v>271</v>
      </c>
      <c r="C117" s="22" t="s">
        <v>46</v>
      </c>
      <c r="D117" s="22"/>
      <c r="E117" s="22">
        <v>1</v>
      </c>
      <c r="F117" s="22">
        <v>0.60160000000000002</v>
      </c>
      <c r="G117" s="25">
        <v>8.4800000000000005E-8</v>
      </c>
      <c r="H117" s="25">
        <v>1.9250000000000001E-7</v>
      </c>
      <c r="I117" s="25">
        <v>1.1429999999999999E-6</v>
      </c>
      <c r="J117" s="25">
        <v>5.0490000000000003E-7</v>
      </c>
      <c r="K117" s="25">
        <v>1.4670000000000001</v>
      </c>
      <c r="L117" s="25">
        <v>1.4670000000000001</v>
      </c>
      <c r="M117" s="25">
        <v>2.3550000000000001E-2</v>
      </c>
      <c r="N117" s="25">
        <v>1.766</v>
      </c>
      <c r="O117">
        <v>4.4560000000000002E-6</v>
      </c>
      <c r="P117">
        <v>4.1710000000000005E-7</v>
      </c>
    </row>
    <row r="118" spans="2:16" x14ac:dyDescent="0.25">
      <c r="B118" s="22">
        <v>272</v>
      </c>
      <c r="C118" s="22" t="s">
        <v>46</v>
      </c>
      <c r="D118" s="22"/>
      <c r="E118" s="22">
        <v>1</v>
      </c>
      <c r="F118" s="22">
        <v>0.58499999999999996</v>
      </c>
      <c r="G118" s="25">
        <v>6.2839999999999999E-7</v>
      </c>
      <c r="H118" s="25">
        <v>6.7900000000000006E-8</v>
      </c>
      <c r="I118" s="25">
        <v>1.057E-5</v>
      </c>
      <c r="J118" s="25">
        <v>2.2330000000000002E-7</v>
      </c>
      <c r="K118" s="25">
        <v>1.401</v>
      </c>
      <c r="L118" s="25">
        <v>1.401</v>
      </c>
      <c r="M118" s="25">
        <v>2.223E-2</v>
      </c>
      <c r="N118" s="25">
        <v>1.925</v>
      </c>
      <c r="O118">
        <v>3.0129999999999998E-6</v>
      </c>
      <c r="P118">
        <v>3.5459999999999996E-6</v>
      </c>
    </row>
    <row r="119" spans="2:16" x14ac:dyDescent="0.25">
      <c r="B119" s="22">
        <v>273</v>
      </c>
      <c r="C119" s="22" t="s">
        <v>46</v>
      </c>
      <c r="D119" s="22"/>
      <c r="E119" s="22">
        <v>1</v>
      </c>
      <c r="F119" s="22">
        <v>0.58520000000000005</v>
      </c>
      <c r="G119" s="25">
        <v>4.8700000000000006E-8</v>
      </c>
      <c r="H119" s="25">
        <v>1.0509999999999999E-7</v>
      </c>
      <c r="I119" s="25">
        <v>8.9579999999999996E-7</v>
      </c>
      <c r="J119" s="25">
        <v>1.6759999999999999E-7</v>
      </c>
      <c r="K119" s="25">
        <v>1.59</v>
      </c>
      <c r="L119" s="25">
        <v>1.59</v>
      </c>
      <c r="M119" s="25">
        <v>2.3199999999999998E-2</v>
      </c>
      <c r="N119" s="25">
        <v>1.917</v>
      </c>
      <c r="O119">
        <v>2.4409999999999996E-6</v>
      </c>
      <c r="P119">
        <v>2.7770000000000001E-7</v>
      </c>
    </row>
    <row r="120" spans="2:16" x14ac:dyDescent="0.25">
      <c r="B120" s="22">
        <v>275</v>
      </c>
      <c r="C120" s="22" t="s">
        <v>46</v>
      </c>
      <c r="D120" s="22"/>
      <c r="E120" s="22">
        <v>1</v>
      </c>
      <c r="F120" s="22">
        <v>0.60760000000000003</v>
      </c>
      <c r="G120" s="25">
        <v>1.166E-7</v>
      </c>
      <c r="H120" s="25">
        <v>2.2680000000000002E-7</v>
      </c>
      <c r="I120" s="25">
        <v>3.0939999999999995E-6</v>
      </c>
      <c r="J120" s="25">
        <v>5.8860000000000007E-7</v>
      </c>
      <c r="K120" s="25">
        <v>1.478</v>
      </c>
      <c r="L120" s="25">
        <v>1.478</v>
      </c>
      <c r="M120" s="25">
        <v>2.274E-2</v>
      </c>
      <c r="N120" s="25">
        <v>1.8280000000000001</v>
      </c>
      <c r="O120">
        <v>4.1579999999999998E-6</v>
      </c>
      <c r="P120">
        <v>1.542E-6</v>
      </c>
    </row>
    <row r="121" spans="2:16" x14ac:dyDescent="0.25">
      <c r="B121" s="22">
        <v>276</v>
      </c>
      <c r="C121" s="22" t="s">
        <v>46</v>
      </c>
      <c r="D121" s="22"/>
      <c r="E121" s="22">
        <v>1</v>
      </c>
      <c r="F121" s="22">
        <v>0.58210000000000006</v>
      </c>
      <c r="G121" s="25">
        <v>2.2819999999999999E-7</v>
      </c>
      <c r="H121" s="25">
        <v>5.8160000000000007E-7</v>
      </c>
      <c r="I121" s="25">
        <v>1.516E-6</v>
      </c>
      <c r="J121" s="25">
        <v>7.6590000000000005E-7</v>
      </c>
      <c r="K121" s="25">
        <v>1.4670000000000001</v>
      </c>
      <c r="L121" s="25">
        <v>1.4670000000000001</v>
      </c>
      <c r="M121" s="25">
        <v>2.4800000000000003E-2</v>
      </c>
      <c r="N121" s="25">
        <v>1.7829999999999999</v>
      </c>
      <c r="O121">
        <v>1.24E-5</v>
      </c>
      <c r="P121">
        <v>6.2550000000000009E-7</v>
      </c>
    </row>
    <row r="122" spans="2:16" x14ac:dyDescent="0.25">
      <c r="B122" s="22">
        <v>278</v>
      </c>
      <c r="C122" s="22" t="s">
        <v>46</v>
      </c>
      <c r="D122" s="22"/>
      <c r="E122" s="22">
        <v>1</v>
      </c>
      <c r="F122" s="22">
        <v>0.58250000000000002</v>
      </c>
      <c r="G122" s="25">
        <v>7.3099999999999999E-8</v>
      </c>
      <c r="H122" s="25">
        <v>3.2600000000000001E-8</v>
      </c>
      <c r="I122" s="25">
        <v>1.1650000000000001E-6</v>
      </c>
      <c r="J122" s="25">
        <v>1.0390000000000001E-7</v>
      </c>
      <c r="K122" s="25">
        <v>1.5609999999999999</v>
      </c>
      <c r="L122" s="25">
        <v>1.5609999999999999</v>
      </c>
      <c r="M122" s="25">
        <v>2.2780000000000002E-2</v>
      </c>
      <c r="N122" s="25">
        <v>1.9159999999999999</v>
      </c>
      <c r="O122">
        <v>1.852E-6</v>
      </c>
      <c r="P122">
        <v>4.0550000000000002E-7</v>
      </c>
    </row>
    <row r="123" spans="2:16" x14ac:dyDescent="0.25">
      <c r="B123" s="22">
        <v>279</v>
      </c>
      <c r="C123" s="22" t="s">
        <v>46</v>
      </c>
      <c r="D123" s="22"/>
      <c r="E123" s="22">
        <v>1</v>
      </c>
      <c r="F123" s="22">
        <v>0.5717000000000001</v>
      </c>
      <c r="G123" s="25">
        <v>8.8200000000000009E-8</v>
      </c>
      <c r="H123" s="25">
        <v>1.406E-7</v>
      </c>
      <c r="I123" s="25">
        <v>5.0499999999999999E-6</v>
      </c>
      <c r="J123" s="25">
        <v>1.047E-7</v>
      </c>
      <c r="K123" s="25">
        <v>1.3220000000000001</v>
      </c>
      <c r="L123" s="25">
        <v>1.3220000000000001</v>
      </c>
      <c r="M123" s="25">
        <v>2.3039999999999998E-2</v>
      </c>
      <c r="N123" s="25">
        <v>1.867</v>
      </c>
      <c r="O123">
        <v>3.056E-6</v>
      </c>
      <c r="P123">
        <v>1.1959999999999999E-6</v>
      </c>
    </row>
    <row r="124" spans="2:16" x14ac:dyDescent="0.25">
      <c r="B124" s="22">
        <v>282</v>
      </c>
      <c r="C124" s="22" t="s">
        <v>46</v>
      </c>
      <c r="D124" s="22"/>
      <c r="E124" s="22">
        <v>1</v>
      </c>
      <c r="F124" s="22">
        <v>9.962E-2</v>
      </c>
      <c r="G124" s="25">
        <v>5.7440000000000006E-7</v>
      </c>
      <c r="H124" s="25">
        <v>1.6570000000000001E-7</v>
      </c>
      <c r="I124" s="25">
        <v>1.1599999999999999E-5</v>
      </c>
      <c r="J124" s="25">
        <v>3.9060000000000007E-7</v>
      </c>
      <c r="K124" s="25">
        <v>1.653</v>
      </c>
      <c r="L124" s="25">
        <v>1.653</v>
      </c>
      <c r="M124" s="25">
        <v>2.4760000000000001E-2</v>
      </c>
      <c r="N124" s="25">
        <v>2.0339999999999998</v>
      </c>
      <c r="O124">
        <v>3.2449999999999998E-6</v>
      </c>
      <c r="P124">
        <v>4.6139999999999994E-6</v>
      </c>
    </row>
    <row r="125" spans="2:16" x14ac:dyDescent="0.25">
      <c r="B125" s="22">
        <v>285</v>
      </c>
      <c r="C125" s="22" t="s">
        <v>46</v>
      </c>
      <c r="D125" s="22"/>
      <c r="E125" s="22">
        <v>1</v>
      </c>
      <c r="F125" s="22">
        <v>0.58229999999999993</v>
      </c>
      <c r="G125" s="25">
        <v>1.7569999999999999E-7</v>
      </c>
      <c r="H125" s="25">
        <v>2.255E-7</v>
      </c>
      <c r="I125" s="25">
        <v>8.0339999999999997E-6</v>
      </c>
      <c r="J125" s="25">
        <v>7.186000000000001E-7</v>
      </c>
      <c r="K125" s="25">
        <v>1.514</v>
      </c>
      <c r="L125" s="25">
        <v>1.514</v>
      </c>
      <c r="M125" s="25">
        <v>2.3699999999999999E-2</v>
      </c>
      <c r="N125" s="25">
        <v>1.873</v>
      </c>
      <c r="O125">
        <v>4.0969999999999999E-6</v>
      </c>
      <c r="P125">
        <v>2.4540000000000001E-6</v>
      </c>
    </row>
    <row r="126" spans="2:16" x14ac:dyDescent="0.25">
      <c r="B126" s="22">
        <v>289</v>
      </c>
      <c r="C126" s="22" t="s">
        <v>46</v>
      </c>
      <c r="D126" s="22"/>
      <c r="E126" s="22">
        <v>1</v>
      </c>
      <c r="F126" s="22">
        <v>0.57540000000000002</v>
      </c>
      <c r="G126" s="25">
        <v>2.082E-7</v>
      </c>
      <c r="H126" s="25">
        <v>1.7219999999999999E-7</v>
      </c>
      <c r="I126" s="25">
        <v>5.5039999999999993E-6</v>
      </c>
      <c r="J126" s="25">
        <v>4.5470000000000002E-7</v>
      </c>
      <c r="K126" s="25">
        <v>1.4610000000000001</v>
      </c>
      <c r="L126" s="25">
        <v>1.4610000000000001</v>
      </c>
      <c r="M126" s="25">
        <v>2.4050000000000002E-2</v>
      </c>
      <c r="N126" s="25">
        <v>1.8580000000000001</v>
      </c>
      <c r="O126">
        <v>3.2650000000000001E-6</v>
      </c>
      <c r="P126">
        <v>2.0169999999999999E-6</v>
      </c>
    </row>
  </sheetData>
  <sheetProtection algorithmName="SHA-512" hashValue="aMSQVNkE9J0sR6m2gz0+p9hoUt1bJr3ldLlA7C9xUwhNxOd6TaxgFADKe+I3OgJyRAa6UfW+iR0+/L+jRSSvTw==" saltValue="vVq+/9nl4JWzFxBlyfCbTA==" spinCount="100000" sheet="1" objects="1" scenarios="1" sort="0" autoFilter="0"/>
  <autoFilter ref="A10:R126" xr:uid="{5D17AFFA-763A-47FC-B122-E6C255194687}"/>
  <mergeCells count="14">
    <mergeCell ref="A3:B3"/>
    <mergeCell ref="C3:D3"/>
    <mergeCell ref="E3:F3"/>
    <mergeCell ref="H3:Q3"/>
    <mergeCell ref="A4:G4"/>
    <mergeCell ref="H4:Q4"/>
    <mergeCell ref="A1:F1"/>
    <mergeCell ref="K1:L1"/>
    <mergeCell ref="M1:N1"/>
    <mergeCell ref="O1:P1"/>
    <mergeCell ref="A2:B2"/>
    <mergeCell ref="C2:D2"/>
    <mergeCell ref="E2:F2"/>
    <mergeCell ref="H2:Q2"/>
  </mergeCells>
  <conditionalFormatting sqref="A11:A58">
    <cfRule type="duplicateValues" dxfId="43" priority="9"/>
  </conditionalFormatting>
  <conditionalFormatting sqref="A3:G3">
    <cfRule type="cellIs" dxfId="42" priority="1" operator="equal">
      <formula>0</formula>
    </cfRule>
  </conditionalFormatting>
  <conditionalFormatting sqref="B11:B58">
    <cfRule type="duplicateValues" dxfId="41" priority="10"/>
  </conditionalFormatting>
  <conditionalFormatting sqref="C11:C1562">
    <cfRule type="containsBlanks" dxfId="40" priority="5" stopIfTrue="1">
      <formula>LEN(TRIM(C11))=0</formula>
    </cfRule>
    <cfRule type="cellIs" dxfId="39" priority="6" stopIfTrue="1" operator="equal">
      <formula>"ND"</formula>
    </cfRule>
    <cfRule type="cellIs" dxfId="38" priority="7" operator="equal">
      <formula>"ALL PASS"</formula>
    </cfRule>
    <cfRule type="cellIs" dxfId="37" priority="8" operator="notEqual">
      <formula>"ALL PASS"</formula>
    </cfRule>
  </conditionalFormatting>
  <conditionalFormatting sqref="E11:E1562">
    <cfRule type="cellIs" dxfId="36" priority="2" stopIfTrue="1" operator="equal">
      <formula>99</formula>
    </cfRule>
    <cfRule type="cellIs" dxfId="35" priority="3" operator="between">
      <formula>2</formula>
      <formula>98</formula>
    </cfRule>
    <cfRule type="cellIs" dxfId="34" priority="4" operator="equal">
      <formula>1</formula>
    </cfRule>
  </conditionalFormatting>
  <hyperlinks>
    <hyperlink ref="H1" location="INDEX!A1" display="RETURN TO INDEX" xr:uid="{606271F7-A6A6-45AF-9988-08D44D65D39E}"/>
    <hyperlink ref="H1:I1" location="INDEX!A1" display="RETURN TO INDEX" xr:uid="{DDBB571A-147A-463E-9762-DF4C6F0E9FE1}"/>
    <hyperlink ref="M1" location="'SCREENING STATUS'!A1" display="SCREENING STATUS" xr:uid="{45FC7361-96BB-457E-B433-CF98496EC355}"/>
    <hyperlink ref="J1" location="SUMMARY!A1" display="SUMMARY" xr:uid="{9082EBB1-A323-43C0-BBD0-EF3DC459662A}"/>
    <hyperlink ref="K1" location="'SCREENING STATUS'!A1" display="SCREENING STATUS" xr:uid="{85F939EF-152B-4709-98CD-D705E2318644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3182-8227-4C3D-BA16-E6C8D60870B4}">
  <sheetPr>
    <tabColor theme="4" tint="-0.249977111117893"/>
  </sheetPr>
  <dimension ref="A1:N126"/>
  <sheetViews>
    <sheetView zoomScale="95" zoomScaleNormal="95" workbookViewId="0">
      <pane xSplit="3" ySplit="10" topLeftCell="D11" activePane="bottomRight" state="frozen"/>
      <selection activeCell="D250" sqref="D250"/>
      <selection pane="topRight" activeCell="D250" sqref="D250"/>
      <selection pane="bottomLeft" activeCell="D250" sqref="D250"/>
      <selection pane="bottomRight" activeCell="D11" sqref="D11"/>
    </sheetView>
  </sheetViews>
  <sheetFormatPr defaultColWidth="0" defaultRowHeight="15" customHeight="1" zeroHeight="1" x14ac:dyDescent="0.25"/>
  <cols>
    <col min="1" max="1" width="18.85546875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14" width="18.85546875" customWidth="1"/>
  </cols>
  <sheetData>
    <row r="1" spans="1:14" ht="24" x14ac:dyDescent="0.25">
      <c r="A1" s="74" t="s">
        <v>47</v>
      </c>
      <c r="B1" s="74"/>
      <c r="C1" s="74"/>
      <c r="D1" s="74"/>
      <c r="E1" s="74"/>
      <c r="F1" s="74"/>
      <c r="G1" s="4"/>
      <c r="H1" s="2" t="s">
        <v>1</v>
      </c>
      <c r="I1" s="2"/>
      <c r="J1" s="5" t="s">
        <v>6</v>
      </c>
      <c r="K1" s="73" t="s">
        <v>7</v>
      </c>
      <c r="L1" s="73"/>
      <c r="M1" s="73" t="s">
        <v>2</v>
      </c>
      <c r="N1" s="73"/>
    </row>
    <row r="2" spans="1:14" ht="24" x14ac:dyDescent="0.25">
      <c r="A2" s="76" t="s">
        <v>98</v>
      </c>
      <c r="B2" s="76"/>
      <c r="C2" s="76" t="s">
        <v>99</v>
      </c>
      <c r="D2" s="76"/>
      <c r="E2" s="76" t="s">
        <v>100</v>
      </c>
      <c r="F2" s="76"/>
      <c r="G2" s="7" t="s">
        <v>101</v>
      </c>
      <c r="H2" s="77" t="s">
        <v>8</v>
      </c>
      <c r="I2" s="78"/>
      <c r="J2" s="78"/>
      <c r="K2" s="78"/>
      <c r="L2" s="78"/>
      <c r="M2" s="78"/>
      <c r="N2" s="78"/>
    </row>
    <row r="3" spans="1:14" ht="24" x14ac:dyDescent="0.25">
      <c r="A3" s="76" t="s">
        <v>97</v>
      </c>
      <c r="B3" s="76"/>
      <c r="C3" s="76" t="s">
        <v>97</v>
      </c>
      <c r="D3" s="76"/>
      <c r="E3" s="76"/>
      <c r="F3" s="76"/>
      <c r="G3" s="7">
        <v>2351</v>
      </c>
      <c r="H3" s="77"/>
      <c r="I3" s="78"/>
      <c r="J3" s="78"/>
      <c r="K3" s="78"/>
      <c r="L3" s="78"/>
      <c r="M3" s="78"/>
      <c r="N3" s="78"/>
    </row>
    <row r="4" spans="1:14" ht="24" x14ac:dyDescent="0.4">
      <c r="A4" s="79" t="str">
        <f>IF($B$5=$B$6,"PASS","FAIL")</f>
        <v>PASS</v>
      </c>
      <c r="B4" s="80"/>
      <c r="C4" s="80"/>
      <c r="D4" s="80"/>
      <c r="E4" s="80"/>
      <c r="F4" s="80"/>
      <c r="G4" s="80"/>
      <c r="H4" s="78"/>
      <c r="I4" s="78"/>
      <c r="J4" s="78"/>
      <c r="K4" s="78"/>
      <c r="L4" s="78"/>
      <c r="M4" s="78"/>
      <c r="N4" s="78"/>
    </row>
    <row r="5" spans="1:14" x14ac:dyDescent="0.25">
      <c r="A5" s="8" t="s">
        <v>9</v>
      </c>
      <c r="B5" s="9">
        <f>COUNTA(C$11:C$2000)-COUNTIF(C11:C$2000,"ND")</f>
        <v>116</v>
      </c>
      <c r="C5" s="10"/>
      <c r="D5" s="11"/>
      <c r="E5" s="11"/>
      <c r="F5" s="12"/>
      <c r="G5" s="12"/>
      <c r="H5" s="13"/>
      <c r="I5" s="12"/>
      <c r="J5" s="12"/>
      <c r="K5" s="12"/>
      <c r="L5" s="12"/>
      <c r="M5" s="12"/>
      <c r="N5" s="12"/>
    </row>
    <row r="6" spans="1:14" x14ac:dyDescent="0.25">
      <c r="A6" s="14" t="s">
        <v>10</v>
      </c>
      <c r="B6" s="15">
        <f>COUNTIF(C11:C$2000,"All Pass")</f>
        <v>116</v>
      </c>
      <c r="C6" s="16"/>
      <c r="D6" s="16"/>
      <c r="E6" s="16"/>
      <c r="F6" s="17" t="s">
        <v>11</v>
      </c>
      <c r="G6" s="17" t="s">
        <v>48</v>
      </c>
      <c r="H6" s="18" t="s">
        <v>49</v>
      </c>
      <c r="I6" s="17" t="s">
        <v>50</v>
      </c>
      <c r="J6" s="17" t="s">
        <v>51</v>
      </c>
      <c r="K6" s="17" t="s">
        <v>52</v>
      </c>
      <c r="L6" s="17" t="s">
        <v>53</v>
      </c>
      <c r="M6" s="17" t="s">
        <v>54</v>
      </c>
      <c r="N6" s="17" t="s">
        <v>55</v>
      </c>
    </row>
    <row r="7" spans="1:14" x14ac:dyDescent="0.25">
      <c r="A7" s="14" t="s">
        <v>20</v>
      </c>
      <c r="B7" s="15">
        <f>COUNTIF(C11:C$2000,"ND")</f>
        <v>0</v>
      </c>
      <c r="C7" s="16"/>
      <c r="D7" s="16"/>
      <c r="E7" s="16"/>
      <c r="F7" s="17" t="s">
        <v>21</v>
      </c>
      <c r="G7" s="17" t="s">
        <v>56</v>
      </c>
      <c r="H7" s="18" t="s">
        <v>57</v>
      </c>
      <c r="I7" s="17" t="s">
        <v>58</v>
      </c>
      <c r="J7" s="17" t="s">
        <v>59</v>
      </c>
      <c r="K7" s="17" t="s">
        <v>28</v>
      </c>
      <c r="L7" s="17" t="s">
        <v>60</v>
      </c>
      <c r="M7" s="17" t="s">
        <v>56</v>
      </c>
      <c r="N7" s="17" t="s">
        <v>56</v>
      </c>
    </row>
    <row r="8" spans="1:14" x14ac:dyDescent="0.25">
      <c r="A8" s="14" t="s">
        <v>29</v>
      </c>
      <c r="B8" s="15">
        <f>B5-B6</f>
        <v>0</v>
      </c>
      <c r="C8" s="16"/>
      <c r="D8" s="16"/>
      <c r="E8" s="16"/>
      <c r="F8" s="17" t="s">
        <v>30</v>
      </c>
      <c r="G8" s="17" t="s">
        <v>33</v>
      </c>
      <c r="H8" s="18" t="s">
        <v>34</v>
      </c>
      <c r="I8" s="17" t="s">
        <v>35</v>
      </c>
      <c r="J8" s="17" t="s">
        <v>37</v>
      </c>
      <c r="K8" s="17" t="s">
        <v>38</v>
      </c>
      <c r="L8" s="17" t="s">
        <v>61</v>
      </c>
      <c r="M8" s="17" t="s">
        <v>31</v>
      </c>
      <c r="N8" s="17" t="s">
        <v>62</v>
      </c>
    </row>
    <row r="9" spans="1:14" x14ac:dyDescent="0.25">
      <c r="A9" s="16" t="s">
        <v>39</v>
      </c>
      <c r="B9" s="16" t="s">
        <v>40</v>
      </c>
      <c r="C9" s="16" t="s">
        <v>41</v>
      </c>
      <c r="D9" s="16" t="s">
        <v>42</v>
      </c>
      <c r="E9" s="16" t="s">
        <v>43</v>
      </c>
      <c r="F9" s="17" t="s">
        <v>44</v>
      </c>
      <c r="G9" s="17"/>
      <c r="H9" s="19"/>
      <c r="I9" s="17"/>
      <c r="J9" s="17" t="s">
        <v>45</v>
      </c>
      <c r="K9" s="17"/>
      <c r="L9" s="17"/>
      <c r="M9" s="17"/>
      <c r="N9" s="17"/>
    </row>
    <row r="10" spans="1:14" x14ac:dyDescent="0.25">
      <c r="A10" s="27"/>
      <c r="B10" s="28"/>
      <c r="C10" s="29"/>
      <c r="D10" s="29"/>
      <c r="E10" s="30"/>
      <c r="F10" s="31"/>
      <c r="G10" s="32"/>
      <c r="H10" s="33"/>
      <c r="I10" s="33"/>
      <c r="J10" s="31"/>
      <c r="K10" s="33"/>
      <c r="L10" s="32"/>
      <c r="M10" s="34"/>
      <c r="N10" s="35"/>
    </row>
    <row r="11" spans="1:14" x14ac:dyDescent="0.25">
      <c r="B11" s="22">
        <v>8</v>
      </c>
      <c r="C11" s="22" t="s">
        <v>46</v>
      </c>
      <c r="D11" s="22"/>
      <c r="E11" s="22">
        <v>1</v>
      </c>
      <c r="F11" s="22">
        <v>9.6640000000000004E-2</v>
      </c>
      <c r="G11" s="25">
        <v>3.6439999999999997E-5</v>
      </c>
      <c r="H11" s="25">
        <v>4.2379999999999999E-6</v>
      </c>
      <c r="I11" s="25">
        <v>1.46</v>
      </c>
      <c r="J11" s="25">
        <v>3.3600000000000005E-2</v>
      </c>
      <c r="K11" s="25">
        <v>1.931</v>
      </c>
      <c r="L11" s="25">
        <v>3.506E-5</v>
      </c>
      <c r="M11" s="25">
        <v>9.5169999999999988E-6</v>
      </c>
      <c r="N11" s="25">
        <v>2.177E-5</v>
      </c>
    </row>
    <row r="12" spans="1:14" x14ac:dyDescent="0.25">
      <c r="B12" s="22">
        <v>9</v>
      </c>
      <c r="C12" s="22" t="s">
        <v>46</v>
      </c>
      <c r="D12" s="22"/>
      <c r="E12" s="22">
        <v>1</v>
      </c>
      <c r="F12" s="22">
        <v>0.40200000000000002</v>
      </c>
      <c r="G12" s="25">
        <v>8.0339999999999997E-6</v>
      </c>
      <c r="H12" s="25">
        <v>8.0939999999999991E-6</v>
      </c>
      <c r="I12" s="25">
        <v>1.389</v>
      </c>
      <c r="J12" s="25">
        <v>3.6760000000000001E-2</v>
      </c>
      <c r="K12" s="25">
        <v>1.798</v>
      </c>
      <c r="L12" s="25">
        <v>3.9579999999999997E-5</v>
      </c>
      <c r="M12" s="25">
        <v>2.4569999999999999E-6</v>
      </c>
      <c r="N12" s="25">
        <v>4.9450000000000001E-6</v>
      </c>
    </row>
    <row r="13" spans="1:14" x14ac:dyDescent="0.25">
      <c r="B13" s="22">
        <v>15</v>
      </c>
      <c r="C13" s="22" t="s">
        <v>46</v>
      </c>
      <c r="D13" s="22"/>
      <c r="E13" s="22">
        <v>1</v>
      </c>
      <c r="F13" s="22">
        <v>0.40679999999999999</v>
      </c>
      <c r="G13" s="25">
        <v>1.3169999999999999E-5</v>
      </c>
      <c r="H13" s="25">
        <v>3.591E-6</v>
      </c>
      <c r="I13" s="25">
        <v>1.4359999999999999</v>
      </c>
      <c r="J13" s="25">
        <v>3.3979999999999996E-2</v>
      </c>
      <c r="K13" s="25">
        <v>1.8919999999999999</v>
      </c>
      <c r="L13" s="25">
        <v>2.5729999999999999E-5</v>
      </c>
      <c r="M13" s="25">
        <v>4.0269999999999997E-6</v>
      </c>
      <c r="N13" s="25">
        <v>8.1629999999999996E-6</v>
      </c>
    </row>
    <row r="14" spans="1:14" x14ac:dyDescent="0.25">
      <c r="B14" s="22">
        <v>16</v>
      </c>
      <c r="C14" s="22" t="s">
        <v>46</v>
      </c>
      <c r="D14" s="22"/>
      <c r="E14" s="22">
        <v>1</v>
      </c>
      <c r="F14" s="22">
        <v>9.6530000000000005E-2</v>
      </c>
      <c r="G14" s="25">
        <v>1.6569999999999999E-5</v>
      </c>
      <c r="H14" s="25">
        <v>4.1869999999999999E-6</v>
      </c>
      <c r="I14" s="25">
        <v>1.2669999999999999</v>
      </c>
      <c r="J14" s="25">
        <v>3.5229999999999997E-2</v>
      </c>
      <c r="K14" s="25">
        <v>1.7010000000000001</v>
      </c>
      <c r="L14" s="25">
        <v>3.0620000000000002E-5</v>
      </c>
      <c r="M14" s="25">
        <v>4.7599999999999993E-6</v>
      </c>
      <c r="N14" s="25">
        <v>1.0529999999999999E-5</v>
      </c>
    </row>
    <row r="15" spans="1:14" x14ac:dyDescent="0.25">
      <c r="B15" s="22">
        <v>34</v>
      </c>
      <c r="C15" s="22" t="s">
        <v>46</v>
      </c>
      <c r="D15" s="22"/>
      <c r="E15" s="22">
        <v>1</v>
      </c>
      <c r="F15" s="22">
        <v>9.5450000000000007E-2</v>
      </c>
      <c r="G15" s="25">
        <v>3.1139999999999997E-5</v>
      </c>
      <c r="H15" s="25">
        <v>4.707E-6</v>
      </c>
      <c r="I15" s="25">
        <v>1.26</v>
      </c>
      <c r="J15" s="25">
        <v>3.5450000000000002E-2</v>
      </c>
      <c r="K15" s="25">
        <v>1.704</v>
      </c>
      <c r="L15" s="25">
        <v>3.4439999999999996E-5</v>
      </c>
      <c r="M15" s="25">
        <v>8.4039999999999995E-6</v>
      </c>
      <c r="N15" s="25">
        <v>1.9920000000000002E-5</v>
      </c>
    </row>
    <row r="16" spans="1:14" x14ac:dyDescent="0.25">
      <c r="B16" s="22">
        <v>40</v>
      </c>
      <c r="C16" s="22" t="s">
        <v>46</v>
      </c>
      <c r="D16" s="22"/>
      <c r="E16" s="22">
        <v>1</v>
      </c>
      <c r="F16" s="22">
        <v>9.5290000000000014E-2</v>
      </c>
      <c r="G16" s="25">
        <v>2.2549999999999999E-5</v>
      </c>
      <c r="H16" s="25">
        <v>4.1959999999999993E-6</v>
      </c>
      <c r="I16" s="25">
        <v>1.27</v>
      </c>
      <c r="J16" s="25">
        <v>3.5349999999999999E-2</v>
      </c>
      <c r="K16" s="25">
        <v>1.7110000000000001</v>
      </c>
      <c r="L16" s="25">
        <v>3.2009999999999993E-5</v>
      </c>
      <c r="M16" s="25">
        <v>6.4629999999999998E-6</v>
      </c>
      <c r="N16" s="25">
        <v>1.4E-5</v>
      </c>
    </row>
    <row r="17" spans="2:14" x14ac:dyDescent="0.25">
      <c r="B17" s="22">
        <v>44</v>
      </c>
      <c r="C17" s="22" t="s">
        <v>46</v>
      </c>
      <c r="D17" s="22"/>
      <c r="E17" s="22">
        <v>1</v>
      </c>
      <c r="F17" s="22">
        <v>9.5290000000000014E-2</v>
      </c>
      <c r="G17" s="25">
        <v>1.8239999999999998E-5</v>
      </c>
      <c r="H17" s="25">
        <v>1.3779999999999999E-5</v>
      </c>
      <c r="I17" s="25">
        <v>1.4139999999999999</v>
      </c>
      <c r="J17" s="25">
        <v>3.7420000000000002E-2</v>
      </c>
      <c r="K17" s="25">
        <v>1.8460000000000001</v>
      </c>
      <c r="L17" s="25">
        <v>6.3429999999999994E-5</v>
      </c>
      <c r="M17" s="25">
        <v>5.059999999999999E-6</v>
      </c>
      <c r="N17" s="25">
        <v>1.1269999999999999E-5</v>
      </c>
    </row>
    <row r="18" spans="2:14" x14ac:dyDescent="0.25">
      <c r="B18" s="22">
        <v>49</v>
      </c>
      <c r="C18" s="22" t="s">
        <v>46</v>
      </c>
      <c r="D18" s="22"/>
      <c r="E18" s="22">
        <v>1</v>
      </c>
      <c r="F18" s="22">
        <v>9.487000000000001E-2</v>
      </c>
      <c r="G18" s="25">
        <v>3.0019999999999997E-5</v>
      </c>
      <c r="H18" s="25">
        <v>4.6029999999999998E-6</v>
      </c>
      <c r="I18" s="25">
        <v>1.349</v>
      </c>
      <c r="J18" s="25">
        <v>3.5590000000000004E-2</v>
      </c>
      <c r="K18" s="25">
        <v>1.7889999999999999</v>
      </c>
      <c r="L18" s="25">
        <v>3.2840000000000004E-5</v>
      </c>
      <c r="M18" s="25">
        <v>8.0619999999999984E-6</v>
      </c>
      <c r="N18" s="25">
        <v>1.785E-5</v>
      </c>
    </row>
    <row r="19" spans="2:14" x14ac:dyDescent="0.25">
      <c r="B19" s="22">
        <v>51</v>
      </c>
      <c r="C19" s="22" t="s">
        <v>46</v>
      </c>
      <c r="D19" s="22"/>
      <c r="E19" s="22">
        <v>1</v>
      </c>
      <c r="F19" s="22">
        <v>0.371</v>
      </c>
      <c r="G19" s="25">
        <v>2.3739999999999996E-5</v>
      </c>
      <c r="H19" s="25">
        <v>9.7750000000000004E-6</v>
      </c>
      <c r="I19" s="25">
        <v>1.4730000000000001</v>
      </c>
      <c r="J19" s="25">
        <v>3.7929999999999998E-2</v>
      </c>
      <c r="K19" s="25">
        <v>1.9339999999999999</v>
      </c>
      <c r="L19" s="25">
        <v>5.3709999999999999E-5</v>
      </c>
      <c r="M19" s="25">
        <v>6.1419999999999998E-6</v>
      </c>
      <c r="N19" s="25">
        <v>1.417E-5</v>
      </c>
    </row>
    <row r="20" spans="2:14" x14ac:dyDescent="0.25">
      <c r="B20" s="22">
        <v>58</v>
      </c>
      <c r="C20" s="22" t="s">
        <v>46</v>
      </c>
      <c r="D20" s="22"/>
      <c r="E20" s="22">
        <v>1</v>
      </c>
      <c r="F20" s="22">
        <v>0.38989999999999997</v>
      </c>
      <c r="G20" s="25">
        <v>9.2429999999999994E-6</v>
      </c>
      <c r="H20" s="25">
        <v>1.4239999999999999E-5</v>
      </c>
      <c r="I20" s="25">
        <v>1.333</v>
      </c>
      <c r="J20" s="25">
        <v>3.9609999999999999E-2</v>
      </c>
      <c r="K20" s="25">
        <v>1.732</v>
      </c>
      <c r="L20" s="25">
        <v>5.6619999999999997E-5</v>
      </c>
      <c r="M20" s="25">
        <v>2.9609999999999997E-6</v>
      </c>
      <c r="N20" s="25">
        <v>5.8919999999999997E-6</v>
      </c>
    </row>
    <row r="21" spans="2:14" x14ac:dyDescent="0.25">
      <c r="B21" s="22">
        <v>61</v>
      </c>
      <c r="C21" s="22" t="s">
        <v>46</v>
      </c>
      <c r="D21" s="22"/>
      <c r="E21" s="22">
        <v>1</v>
      </c>
      <c r="F21" s="22">
        <v>0.4113</v>
      </c>
      <c r="G21" s="25">
        <v>2.4579999999999998E-5</v>
      </c>
      <c r="H21" s="25">
        <v>6.3299999999999995E-6</v>
      </c>
      <c r="I21" s="25">
        <v>1.39</v>
      </c>
      <c r="J21" s="25">
        <v>3.5860000000000003E-2</v>
      </c>
      <c r="K21" s="25">
        <v>1.8149999999999999</v>
      </c>
      <c r="L21" s="25">
        <v>3.4709999999999998E-5</v>
      </c>
      <c r="M21" s="25">
        <v>5.6969999999999998E-6</v>
      </c>
      <c r="N21" s="25">
        <v>1.4619999999999999E-5</v>
      </c>
    </row>
    <row r="22" spans="2:14" x14ac:dyDescent="0.25">
      <c r="B22" s="22">
        <v>62</v>
      </c>
      <c r="C22" s="22" t="s">
        <v>46</v>
      </c>
      <c r="D22" s="22"/>
      <c r="E22" s="22">
        <v>1</v>
      </c>
      <c r="F22" s="22">
        <v>0.37989999999999996</v>
      </c>
      <c r="G22" s="25">
        <v>5.8299999999999994E-5</v>
      </c>
      <c r="H22" s="25">
        <v>4.8589999999999996E-6</v>
      </c>
      <c r="I22" s="25">
        <v>1.5369999999999999</v>
      </c>
      <c r="J22" s="25">
        <v>3.5590000000000004E-2</v>
      </c>
      <c r="K22" s="25">
        <v>2.0139999999999998</v>
      </c>
      <c r="L22" s="25">
        <v>3.5499999999999996E-5</v>
      </c>
      <c r="M22" s="25">
        <v>1.4419999999999999E-5</v>
      </c>
      <c r="N22" s="25">
        <v>2.5550000000000001E-5</v>
      </c>
    </row>
    <row r="23" spans="2:14" x14ac:dyDescent="0.25">
      <c r="B23" s="22">
        <v>63</v>
      </c>
      <c r="C23" s="22" t="s">
        <v>46</v>
      </c>
      <c r="D23" s="22"/>
      <c r="E23" s="22">
        <v>1</v>
      </c>
      <c r="F23" s="22">
        <v>0.4022</v>
      </c>
      <c r="G23" s="25">
        <v>1.2369999999999998E-5</v>
      </c>
      <c r="H23" s="25">
        <v>1.1E-5</v>
      </c>
      <c r="I23" s="25">
        <v>1.377</v>
      </c>
      <c r="J23" s="25">
        <v>3.637E-2</v>
      </c>
      <c r="K23" s="25">
        <v>1.7989999999999999</v>
      </c>
      <c r="L23" s="25">
        <v>5.236E-5</v>
      </c>
      <c r="M23" s="25">
        <v>3.7890000000000001E-6</v>
      </c>
      <c r="N23" s="25">
        <v>7.5769999999999996E-6</v>
      </c>
    </row>
    <row r="24" spans="2:14" x14ac:dyDescent="0.25">
      <c r="B24" s="22">
        <v>65</v>
      </c>
      <c r="C24" s="22" t="s">
        <v>46</v>
      </c>
      <c r="D24" s="22"/>
      <c r="E24" s="22">
        <v>1</v>
      </c>
      <c r="F24" s="22">
        <v>0.35949999999999999</v>
      </c>
      <c r="G24" s="25">
        <v>3.0739999999999994E-5</v>
      </c>
      <c r="H24" s="25">
        <v>1.206E-5</v>
      </c>
      <c r="I24" s="25">
        <v>1.5169999999999999</v>
      </c>
      <c r="J24" s="25">
        <v>3.8100000000000002E-2</v>
      </c>
      <c r="K24" s="25">
        <v>1.972</v>
      </c>
      <c r="L24" s="25">
        <v>6.1820000000000001E-5</v>
      </c>
      <c r="M24" s="25">
        <v>8.8510000000000005E-6</v>
      </c>
      <c r="N24" s="25">
        <v>1.9359999999999998E-5</v>
      </c>
    </row>
    <row r="25" spans="2:14" x14ac:dyDescent="0.25">
      <c r="B25" s="22">
        <v>66</v>
      </c>
      <c r="C25" s="22" t="s">
        <v>46</v>
      </c>
      <c r="D25" s="22"/>
      <c r="E25" s="22">
        <v>1</v>
      </c>
      <c r="F25" s="22">
        <v>0.41910000000000003</v>
      </c>
      <c r="G25" s="25">
        <v>1.8559999999999998E-5</v>
      </c>
      <c r="H25" s="25">
        <v>4.6740000000000005E-6</v>
      </c>
      <c r="I25" s="25">
        <v>1.292</v>
      </c>
      <c r="J25" s="25">
        <v>3.5709999999999999E-2</v>
      </c>
      <c r="K25" s="25">
        <v>1.7190000000000001</v>
      </c>
      <c r="L25" s="25">
        <v>3.1309999999999997E-5</v>
      </c>
      <c r="M25" s="25">
        <v>5.2769999999999996E-6</v>
      </c>
      <c r="N25" s="25">
        <v>1.182E-5</v>
      </c>
    </row>
    <row r="26" spans="2:14" x14ac:dyDescent="0.25">
      <c r="B26" s="22">
        <v>67</v>
      </c>
      <c r="C26" s="22" t="s">
        <v>46</v>
      </c>
      <c r="D26" s="22"/>
      <c r="E26" s="22">
        <v>1</v>
      </c>
      <c r="F26" s="22">
        <v>0.37789999999999996</v>
      </c>
      <c r="G26" s="25">
        <v>5.1189999999999996E-5</v>
      </c>
      <c r="H26" s="25">
        <v>4.3259999999999997E-6</v>
      </c>
      <c r="I26" s="25">
        <v>1.5329999999999999</v>
      </c>
      <c r="J26" s="25">
        <v>3.5889999999999998E-2</v>
      </c>
      <c r="K26" s="25">
        <v>2.0030000000000001</v>
      </c>
      <c r="L26" s="25">
        <v>3.2109999999999996E-5</v>
      </c>
      <c r="M26" s="25">
        <v>1.2289999999999999E-5</v>
      </c>
      <c r="N26" s="25">
        <v>3.0089999999999998E-5</v>
      </c>
    </row>
    <row r="27" spans="2:14" x14ac:dyDescent="0.25">
      <c r="B27" s="22">
        <v>68</v>
      </c>
      <c r="C27" s="22" t="s">
        <v>46</v>
      </c>
      <c r="D27" s="22"/>
      <c r="E27" s="22">
        <v>1</v>
      </c>
      <c r="F27" s="22">
        <v>0.40389999999999998</v>
      </c>
      <c r="G27" s="25">
        <v>8.5500000000000011E-6</v>
      </c>
      <c r="H27" s="25">
        <v>2.4389999999999999E-6</v>
      </c>
      <c r="I27" s="25">
        <v>1.4330000000000001</v>
      </c>
      <c r="J27" s="25">
        <v>3.5650000000000001E-2</v>
      </c>
      <c r="K27" s="25">
        <v>1.8620000000000001</v>
      </c>
      <c r="L27" s="25">
        <v>1.8899999999999999E-5</v>
      </c>
      <c r="M27" s="25">
        <v>2.8940000000000002E-6</v>
      </c>
      <c r="N27" s="25">
        <v>5.6369999999999996E-6</v>
      </c>
    </row>
    <row r="28" spans="2:14" x14ac:dyDescent="0.25">
      <c r="B28" s="22">
        <v>70</v>
      </c>
      <c r="C28" s="22" t="s">
        <v>46</v>
      </c>
      <c r="D28" s="22"/>
      <c r="E28" s="22">
        <v>1</v>
      </c>
      <c r="F28" s="22">
        <v>9.4409999999999994E-2</v>
      </c>
      <c r="G28" s="25">
        <v>2.3620000000000001E-5</v>
      </c>
      <c r="H28" s="25">
        <v>6.1619999999999996E-6</v>
      </c>
      <c r="I28" s="25">
        <v>1.2350000000000001</v>
      </c>
      <c r="J28" s="25">
        <v>3.5770000000000003E-2</v>
      </c>
      <c r="K28" s="25">
        <v>1.6659999999999999</v>
      </c>
      <c r="L28" s="25">
        <v>4.0689999999999998E-5</v>
      </c>
      <c r="M28" s="25">
        <v>7.1659999999999997E-6</v>
      </c>
      <c r="N28" s="25">
        <v>1.5099999999999999E-5</v>
      </c>
    </row>
    <row r="29" spans="2:14" x14ac:dyDescent="0.25">
      <c r="B29" s="22">
        <v>74</v>
      </c>
      <c r="C29" s="22" t="s">
        <v>46</v>
      </c>
      <c r="D29" s="22"/>
      <c r="E29" s="22">
        <v>1</v>
      </c>
      <c r="F29" s="22">
        <v>0.4002</v>
      </c>
      <c r="G29" s="25">
        <v>3.0170000000000001E-5</v>
      </c>
      <c r="H29" s="25">
        <v>5.9489999999999993E-6</v>
      </c>
      <c r="I29" s="25">
        <v>1.425</v>
      </c>
      <c r="J29" s="25">
        <v>3.628E-2</v>
      </c>
      <c r="K29" s="25">
        <v>1.859</v>
      </c>
      <c r="L29" s="25">
        <v>3.5979999999999998E-5</v>
      </c>
      <c r="M29" s="25">
        <v>6.6349999999999992E-6</v>
      </c>
      <c r="N29" s="25">
        <v>1.751E-5</v>
      </c>
    </row>
    <row r="30" spans="2:14" x14ac:dyDescent="0.25">
      <c r="B30" s="22">
        <v>77</v>
      </c>
      <c r="C30" s="22" t="s">
        <v>46</v>
      </c>
      <c r="D30" s="22"/>
      <c r="E30" s="22">
        <v>1</v>
      </c>
      <c r="F30" s="22">
        <v>0.39200000000000002</v>
      </c>
      <c r="G30" s="25">
        <v>4.2759999999999997E-5</v>
      </c>
      <c r="H30" s="25">
        <v>5.0949999999999995E-6</v>
      </c>
      <c r="I30" s="25">
        <v>1.4550000000000001</v>
      </c>
      <c r="J30" s="25">
        <v>3.6499999999999998E-2</v>
      </c>
      <c r="K30" s="25">
        <v>1.931</v>
      </c>
      <c r="L30" s="25">
        <v>3.5349999999999999E-5</v>
      </c>
      <c r="M30" s="25">
        <v>1.0949999999999998E-5</v>
      </c>
      <c r="N30" s="25">
        <v>2.5899999999999996E-5</v>
      </c>
    </row>
    <row r="31" spans="2:14" x14ac:dyDescent="0.25">
      <c r="B31" s="22">
        <v>79</v>
      </c>
      <c r="C31" s="22" t="s">
        <v>46</v>
      </c>
      <c r="D31" s="22"/>
      <c r="E31" s="22">
        <v>1</v>
      </c>
      <c r="F31" s="22">
        <v>0.40310000000000001</v>
      </c>
      <c r="G31" s="25">
        <v>1.855E-5</v>
      </c>
      <c r="H31" s="25">
        <v>1.1E-5</v>
      </c>
      <c r="I31" s="25">
        <v>1.4</v>
      </c>
      <c r="J31" s="25">
        <v>3.6639999999999999E-2</v>
      </c>
      <c r="K31" s="25">
        <v>1.8160000000000001</v>
      </c>
      <c r="L31" s="25">
        <v>5.02E-5</v>
      </c>
      <c r="M31" s="25">
        <v>5.3859999999999998E-6</v>
      </c>
      <c r="N31" s="25">
        <v>1.1449999999999999E-5</v>
      </c>
    </row>
    <row r="32" spans="2:14" x14ac:dyDescent="0.25">
      <c r="B32" s="22">
        <v>82</v>
      </c>
      <c r="C32" s="22" t="s">
        <v>46</v>
      </c>
      <c r="D32" s="22"/>
      <c r="E32" s="22">
        <v>1</v>
      </c>
      <c r="F32" s="22">
        <v>0.38800000000000001</v>
      </c>
      <c r="G32" s="25">
        <v>1.273E-5</v>
      </c>
      <c r="H32" s="25">
        <v>8.6869999999999983E-6</v>
      </c>
      <c r="I32" s="25">
        <v>1.3420000000000001</v>
      </c>
      <c r="J32" s="25">
        <v>3.7940000000000002E-2</v>
      </c>
      <c r="K32" s="25">
        <v>1.77</v>
      </c>
      <c r="L32" s="25">
        <v>4.1669999999999999E-5</v>
      </c>
      <c r="M32" s="25">
        <v>3.3749999999999999E-6</v>
      </c>
      <c r="N32" s="25">
        <v>7.3879999999999994E-6</v>
      </c>
    </row>
    <row r="33" spans="2:14" x14ac:dyDescent="0.25">
      <c r="B33" s="22">
        <v>85</v>
      </c>
      <c r="C33" s="22" t="s">
        <v>46</v>
      </c>
      <c r="D33" s="22"/>
      <c r="E33" s="22">
        <v>1</v>
      </c>
      <c r="F33" s="22">
        <v>0.38280000000000003</v>
      </c>
      <c r="G33" s="25">
        <v>8.4030000000000007E-6</v>
      </c>
      <c r="H33" s="25">
        <v>3.2289999999999999E-6</v>
      </c>
      <c r="I33" s="25">
        <v>1.4279999999999999</v>
      </c>
      <c r="J33" s="25">
        <v>3.7270000000000005E-2</v>
      </c>
      <c r="K33" s="25">
        <v>1.873</v>
      </c>
      <c r="L33" s="25">
        <v>2.3129999999999997E-5</v>
      </c>
      <c r="M33" s="25">
        <v>3.0960000000000001E-6</v>
      </c>
      <c r="N33" s="25">
        <v>5.7559999999999996E-6</v>
      </c>
    </row>
    <row r="34" spans="2:14" x14ac:dyDescent="0.25">
      <c r="B34" s="22">
        <v>87</v>
      </c>
      <c r="C34" s="22" t="s">
        <v>46</v>
      </c>
      <c r="D34" s="22"/>
      <c r="E34" s="22">
        <v>1</v>
      </c>
      <c r="F34" s="22">
        <v>9.4489999999999991E-2</v>
      </c>
      <c r="G34" s="25">
        <v>1.43E-5</v>
      </c>
      <c r="H34" s="25">
        <v>1.7489999999999997E-5</v>
      </c>
      <c r="I34" s="25">
        <v>1.3120000000000001</v>
      </c>
      <c r="J34" s="25">
        <v>3.7080000000000002E-2</v>
      </c>
      <c r="K34" s="25">
        <v>1.714</v>
      </c>
      <c r="L34" s="25">
        <v>6.622E-5</v>
      </c>
      <c r="M34" s="25">
        <v>4.4259999999999996E-6</v>
      </c>
      <c r="N34" s="25">
        <v>9.0419999999999991E-6</v>
      </c>
    </row>
    <row r="35" spans="2:14" x14ac:dyDescent="0.25">
      <c r="B35" s="22">
        <v>89</v>
      </c>
      <c r="C35" s="22" t="s">
        <v>46</v>
      </c>
      <c r="D35" s="22"/>
      <c r="E35" s="22">
        <v>1</v>
      </c>
      <c r="F35" s="22">
        <v>0.38650000000000001</v>
      </c>
      <c r="G35" s="25">
        <v>9.7819999999999988E-6</v>
      </c>
      <c r="H35" s="25">
        <v>7.1779999999999997E-6</v>
      </c>
      <c r="I35" s="25">
        <v>1.3959999999999999</v>
      </c>
      <c r="J35" s="25">
        <v>3.7960000000000001E-2</v>
      </c>
      <c r="K35" s="25">
        <v>1.81</v>
      </c>
      <c r="L35" s="25">
        <v>3.6659999999999998E-5</v>
      </c>
      <c r="M35" s="25">
        <v>3.2309999999999996E-6</v>
      </c>
      <c r="N35" s="25">
        <v>6.2829999999999998E-6</v>
      </c>
    </row>
    <row r="36" spans="2:14" x14ac:dyDescent="0.25">
      <c r="B36" s="22">
        <v>90</v>
      </c>
      <c r="C36" s="22" t="s">
        <v>46</v>
      </c>
      <c r="D36" s="22"/>
      <c r="E36" s="22">
        <v>1</v>
      </c>
      <c r="F36" s="22">
        <v>0.3911</v>
      </c>
      <c r="G36" s="25">
        <v>1.0789999999999998E-5</v>
      </c>
      <c r="H36" s="25">
        <v>3.0989999999999999E-6</v>
      </c>
      <c r="I36" s="25">
        <v>1.4430000000000001</v>
      </c>
      <c r="J36" s="25">
        <v>3.637E-2</v>
      </c>
      <c r="K36" s="25">
        <v>1.8959999999999999</v>
      </c>
      <c r="L36" s="25">
        <v>2.3389999999999998E-5</v>
      </c>
      <c r="M36" s="25">
        <v>3.5409999999999996E-6</v>
      </c>
      <c r="N36" s="25">
        <v>6.8949999999999992E-6</v>
      </c>
    </row>
    <row r="37" spans="2:14" x14ac:dyDescent="0.25">
      <c r="B37" s="22">
        <v>91</v>
      </c>
      <c r="C37" s="22" t="s">
        <v>46</v>
      </c>
      <c r="D37" s="22"/>
      <c r="E37" s="22">
        <v>1</v>
      </c>
      <c r="F37" s="22">
        <v>9.8620000000000013E-2</v>
      </c>
      <c r="G37" s="25">
        <v>8.6589999999999996E-6</v>
      </c>
      <c r="H37" s="25">
        <v>3.4049999999999996E-6</v>
      </c>
      <c r="I37" s="25">
        <v>1.411</v>
      </c>
      <c r="J37" s="25">
        <v>3.5990000000000001E-2</v>
      </c>
      <c r="K37" s="25">
        <v>1.855</v>
      </c>
      <c r="L37" s="25">
        <v>2.4089999999999998E-5</v>
      </c>
      <c r="M37" s="25">
        <v>3.2090000000000001E-6</v>
      </c>
      <c r="N37" s="25">
        <v>5.9689999999999999E-6</v>
      </c>
    </row>
    <row r="38" spans="2:14" x14ac:dyDescent="0.25">
      <c r="B38" s="22">
        <v>92</v>
      </c>
      <c r="C38" s="22" t="s">
        <v>46</v>
      </c>
      <c r="D38" s="22"/>
      <c r="E38" s="22">
        <v>1</v>
      </c>
      <c r="F38" s="22">
        <v>0.39060000000000006</v>
      </c>
      <c r="G38" s="25">
        <v>9.5009999999999993E-6</v>
      </c>
      <c r="H38" s="25">
        <v>1.261E-5</v>
      </c>
      <c r="I38" s="25">
        <v>1.343</v>
      </c>
      <c r="J38" s="25">
        <v>3.8300000000000001E-2</v>
      </c>
      <c r="K38" s="25">
        <v>1.7509999999999999</v>
      </c>
      <c r="L38" s="25">
        <v>5.4439999999999994E-5</v>
      </c>
      <c r="M38" s="25">
        <v>3.1970000000000001E-6</v>
      </c>
      <c r="N38" s="25">
        <v>6.2569999999999996E-6</v>
      </c>
    </row>
    <row r="39" spans="2:14" x14ac:dyDescent="0.25">
      <c r="B39" s="22">
        <v>93</v>
      </c>
      <c r="C39" s="22" t="s">
        <v>46</v>
      </c>
      <c r="D39" s="22"/>
      <c r="E39" s="22">
        <v>1</v>
      </c>
      <c r="F39" s="22">
        <v>9.620999999999999E-2</v>
      </c>
      <c r="G39" s="25">
        <v>5.0699999999999999E-5</v>
      </c>
      <c r="H39" s="25">
        <v>7.8029999999999997E-6</v>
      </c>
      <c r="I39" s="25">
        <v>1.266</v>
      </c>
      <c r="J39" s="25">
        <v>3.6180000000000004E-2</v>
      </c>
      <c r="K39" s="25">
        <v>1.7230000000000001</v>
      </c>
      <c r="L39" s="25">
        <v>4.9820000000000001E-5</v>
      </c>
      <c r="M39" s="25">
        <v>1.438E-5</v>
      </c>
      <c r="N39" s="25">
        <v>2.2419999999999999E-5</v>
      </c>
    </row>
    <row r="40" spans="2:14" x14ac:dyDescent="0.25">
      <c r="B40" s="22">
        <v>97</v>
      </c>
      <c r="C40" s="22" t="s">
        <v>46</v>
      </c>
      <c r="D40" s="22"/>
      <c r="E40" s="22">
        <v>1</v>
      </c>
      <c r="F40" s="22">
        <v>9.5060000000000006E-2</v>
      </c>
      <c r="G40" s="25">
        <v>2.196E-5</v>
      </c>
      <c r="H40" s="25">
        <v>3.5470000000000001E-6</v>
      </c>
      <c r="I40" s="25">
        <v>1.367</v>
      </c>
      <c r="J40" s="25">
        <v>3.6400000000000002E-2</v>
      </c>
      <c r="K40" s="25">
        <v>1.7989999999999999</v>
      </c>
      <c r="L40" s="25">
        <v>2.482E-5</v>
      </c>
      <c r="M40" s="25">
        <v>5.3769999999999995E-6</v>
      </c>
      <c r="N40" s="25">
        <v>1.2449999999999999E-5</v>
      </c>
    </row>
    <row r="41" spans="2:14" x14ac:dyDescent="0.25">
      <c r="B41" s="22">
        <v>98</v>
      </c>
      <c r="C41" s="22" t="s">
        <v>46</v>
      </c>
      <c r="D41" s="22"/>
      <c r="E41" s="22">
        <v>1</v>
      </c>
      <c r="F41" s="22">
        <v>0.3765</v>
      </c>
      <c r="G41" s="25">
        <v>1.1229999999999999E-5</v>
      </c>
      <c r="H41" s="25">
        <v>2.5579999999999999E-6</v>
      </c>
      <c r="I41" s="25">
        <v>1.389</v>
      </c>
      <c r="J41" s="25">
        <v>3.918E-2</v>
      </c>
      <c r="K41" s="25">
        <v>1.8260000000000001</v>
      </c>
      <c r="L41" s="25">
        <v>1.9039999999999997E-5</v>
      </c>
      <c r="M41" s="25">
        <v>3.3869999999999999E-6</v>
      </c>
      <c r="N41" s="25">
        <v>6.8410000000000002E-6</v>
      </c>
    </row>
    <row r="42" spans="2:14" x14ac:dyDescent="0.25">
      <c r="B42" s="22">
        <v>102</v>
      </c>
      <c r="C42" s="22" t="s">
        <v>46</v>
      </c>
      <c r="D42" s="22"/>
      <c r="E42" s="22">
        <v>1</v>
      </c>
      <c r="F42" s="22">
        <v>9.708E-2</v>
      </c>
      <c r="G42" s="25">
        <v>1.8119999999999999E-5</v>
      </c>
      <c r="H42" s="25">
        <v>7.9829999999999996E-6</v>
      </c>
      <c r="I42" s="25">
        <v>1.389</v>
      </c>
      <c r="J42" s="25">
        <v>3.7929999999999998E-2</v>
      </c>
      <c r="K42" s="25">
        <v>1.8320000000000001</v>
      </c>
      <c r="L42" s="25">
        <v>4.5399999999999999E-5</v>
      </c>
      <c r="M42" s="25">
        <v>4.5570000000000006E-6</v>
      </c>
      <c r="N42" s="25">
        <v>1.041E-5</v>
      </c>
    </row>
    <row r="43" spans="2:14" x14ac:dyDescent="0.25">
      <c r="B43" s="22">
        <v>103</v>
      </c>
      <c r="C43" s="22" t="s">
        <v>46</v>
      </c>
      <c r="D43" s="22"/>
      <c r="E43" s="22">
        <v>1</v>
      </c>
      <c r="F43" s="22">
        <v>0.39850000000000002</v>
      </c>
      <c r="G43" s="25">
        <v>1.596E-5</v>
      </c>
      <c r="H43" s="25">
        <v>5.1189999999999996E-6</v>
      </c>
      <c r="I43" s="25">
        <v>1.3680000000000001</v>
      </c>
      <c r="J43" s="25">
        <v>3.6760000000000001E-2</v>
      </c>
      <c r="K43" s="25">
        <v>1.7929999999999999</v>
      </c>
      <c r="L43" s="25">
        <v>2.8439999999999999E-5</v>
      </c>
      <c r="M43" s="25">
        <v>3.6869999999999996E-6</v>
      </c>
      <c r="N43" s="25">
        <v>9.0079999999999991E-6</v>
      </c>
    </row>
    <row r="44" spans="2:14" x14ac:dyDescent="0.25">
      <c r="B44" s="22">
        <v>105</v>
      </c>
      <c r="C44" s="22" t="s">
        <v>46</v>
      </c>
      <c r="D44" s="22"/>
      <c r="E44" s="22">
        <v>1</v>
      </c>
      <c r="F44" s="22">
        <v>9.6360000000000001E-2</v>
      </c>
      <c r="G44" s="25">
        <v>1.43E-5</v>
      </c>
      <c r="H44" s="25">
        <v>1.1369999999999998E-5</v>
      </c>
      <c r="I44" s="25">
        <v>1.3340000000000001</v>
      </c>
      <c r="J44" s="25">
        <v>3.6990000000000002E-2</v>
      </c>
      <c r="K44" s="25">
        <v>1.7390000000000001</v>
      </c>
      <c r="L44" s="25">
        <v>4.7929999999999997E-5</v>
      </c>
      <c r="M44" s="25">
        <v>3.827E-6</v>
      </c>
      <c r="N44" s="25">
        <v>8.9279999999999999E-6</v>
      </c>
    </row>
    <row r="45" spans="2:14" x14ac:dyDescent="0.25">
      <c r="B45" s="22">
        <v>106</v>
      </c>
      <c r="C45" s="22" t="s">
        <v>46</v>
      </c>
      <c r="D45" s="22"/>
      <c r="E45" s="22">
        <v>1</v>
      </c>
      <c r="F45" s="22">
        <v>0.39489999999999997</v>
      </c>
      <c r="G45" s="25">
        <v>1.205E-5</v>
      </c>
      <c r="H45" s="25">
        <v>2.9109999999999997E-6</v>
      </c>
      <c r="I45" s="25">
        <v>1.389</v>
      </c>
      <c r="J45" s="25">
        <v>3.7429999999999998E-2</v>
      </c>
      <c r="K45" s="25">
        <v>1.8120000000000001</v>
      </c>
      <c r="L45" s="25">
        <v>2.039E-5</v>
      </c>
      <c r="M45" s="25">
        <v>3.4129999999999998E-6</v>
      </c>
      <c r="N45" s="25">
        <v>7.179999999999999E-6</v>
      </c>
    </row>
    <row r="46" spans="2:14" x14ac:dyDescent="0.25">
      <c r="B46" s="22">
        <v>108</v>
      </c>
      <c r="C46" s="22" t="s">
        <v>46</v>
      </c>
      <c r="D46" s="22"/>
      <c r="E46" s="22">
        <v>1</v>
      </c>
      <c r="F46" s="22">
        <v>0.39610000000000001</v>
      </c>
      <c r="G46" s="25">
        <v>2.8569999999999999E-5</v>
      </c>
      <c r="H46" s="25">
        <v>5.7679999999999997E-6</v>
      </c>
      <c r="I46" s="25">
        <v>1.4059999999999999</v>
      </c>
      <c r="J46" s="25">
        <v>3.5979999999999998E-2</v>
      </c>
      <c r="K46" s="25">
        <v>1.8740000000000001</v>
      </c>
      <c r="L46" s="25">
        <v>6.0109999999999999E-5</v>
      </c>
      <c r="M46" s="25">
        <v>8.5760000000000006E-6</v>
      </c>
      <c r="N46" s="25">
        <v>1.7949999999999999E-5</v>
      </c>
    </row>
    <row r="47" spans="2:14" x14ac:dyDescent="0.25">
      <c r="B47" s="22">
        <v>110</v>
      </c>
      <c r="C47" s="22" t="s">
        <v>46</v>
      </c>
      <c r="D47" s="22"/>
      <c r="E47" s="22">
        <v>1</v>
      </c>
      <c r="F47" s="22">
        <v>0.41310000000000002</v>
      </c>
      <c r="G47" s="25">
        <v>3.5979999999999998E-5</v>
      </c>
      <c r="H47" s="25">
        <v>5.6389999999999997E-6</v>
      </c>
      <c r="I47" s="25">
        <v>1.4059999999999999</v>
      </c>
      <c r="J47" s="25">
        <v>3.5090000000000003E-2</v>
      </c>
      <c r="K47" s="25">
        <v>1.875</v>
      </c>
      <c r="L47" s="25">
        <v>4.1359999999999997E-5</v>
      </c>
      <c r="M47" s="25">
        <v>9.91E-6</v>
      </c>
      <c r="N47" s="25">
        <v>2.2239999999999997E-5</v>
      </c>
    </row>
    <row r="48" spans="2:14" x14ac:dyDescent="0.25">
      <c r="B48" s="22">
        <v>113</v>
      </c>
      <c r="C48" s="22" t="s">
        <v>46</v>
      </c>
      <c r="D48" s="22"/>
      <c r="E48" s="22">
        <v>1</v>
      </c>
      <c r="F48" s="22">
        <v>9.4950000000000007E-2</v>
      </c>
      <c r="G48" s="25">
        <v>1.1210000000000001E-5</v>
      </c>
      <c r="H48" s="25">
        <v>1.579E-5</v>
      </c>
      <c r="I48" s="25">
        <v>1.3180000000000001</v>
      </c>
      <c r="J48" s="25">
        <v>3.7909999999999999E-2</v>
      </c>
      <c r="K48" s="25">
        <v>1.7310000000000001</v>
      </c>
      <c r="L48" s="25">
        <v>6.4339999999999997E-5</v>
      </c>
      <c r="M48" s="25">
        <v>3.7389999999999997E-6</v>
      </c>
      <c r="N48" s="25">
        <v>7.2539999999999995E-6</v>
      </c>
    </row>
    <row r="49" spans="2:14" x14ac:dyDescent="0.25">
      <c r="B49" s="22">
        <v>115</v>
      </c>
      <c r="C49" s="22" t="s">
        <v>46</v>
      </c>
      <c r="D49" s="22"/>
      <c r="E49" s="22">
        <v>1</v>
      </c>
      <c r="F49" s="22">
        <v>9.7000000000000003E-2</v>
      </c>
      <c r="G49" s="25">
        <v>1.5189999999999999E-5</v>
      </c>
      <c r="H49" s="25">
        <v>1.7429999999999997E-5</v>
      </c>
      <c r="I49" s="25">
        <v>1.3180000000000001</v>
      </c>
      <c r="J49" s="25">
        <v>3.7150000000000002E-2</v>
      </c>
      <c r="K49" s="25">
        <v>1.724</v>
      </c>
      <c r="L49" s="25">
        <v>6.7489999999999992E-5</v>
      </c>
      <c r="M49" s="25">
        <v>4.724E-6</v>
      </c>
      <c r="N49" s="25">
        <v>9.4890000000000001E-6</v>
      </c>
    </row>
    <row r="50" spans="2:14" x14ac:dyDescent="0.25">
      <c r="B50" s="22">
        <v>119</v>
      </c>
      <c r="C50" s="22" t="s">
        <v>46</v>
      </c>
      <c r="D50" s="22"/>
      <c r="E50" s="22">
        <v>1</v>
      </c>
      <c r="F50" s="22">
        <v>0.39080000000000004</v>
      </c>
      <c r="G50" s="25">
        <v>1.2999999999999999E-5</v>
      </c>
      <c r="H50" s="25">
        <v>4.7439999999999998E-6</v>
      </c>
      <c r="I50" s="25">
        <v>1.377</v>
      </c>
      <c r="J50" s="25">
        <v>3.7499999999999999E-2</v>
      </c>
      <c r="K50" s="25">
        <v>1.81</v>
      </c>
      <c r="L50" s="25">
        <v>2.7199999999999997E-5</v>
      </c>
      <c r="M50" s="25">
        <v>3.2389999999999998E-6</v>
      </c>
      <c r="N50" s="25">
        <v>7.3789999999999991E-6</v>
      </c>
    </row>
    <row r="51" spans="2:14" x14ac:dyDescent="0.25">
      <c r="B51" s="22">
        <v>127</v>
      </c>
      <c r="C51" s="22" t="s">
        <v>46</v>
      </c>
      <c r="D51" s="22"/>
      <c r="E51" s="22">
        <v>1</v>
      </c>
      <c r="F51" s="22">
        <v>9.425E-2</v>
      </c>
      <c r="G51" s="25">
        <v>2.1659999999999999E-5</v>
      </c>
      <c r="H51" s="25">
        <v>1.26E-5</v>
      </c>
      <c r="I51" s="25">
        <v>1.393</v>
      </c>
      <c r="J51" s="25">
        <v>3.6760000000000001E-2</v>
      </c>
      <c r="K51" s="25">
        <v>1.8160000000000001</v>
      </c>
      <c r="L51" s="25">
        <v>5.5729999999999997E-5</v>
      </c>
      <c r="M51" s="25">
        <v>5.7019999999999998E-6</v>
      </c>
      <c r="N51" s="25">
        <v>1.3099999999999998E-5</v>
      </c>
    </row>
    <row r="52" spans="2:14" x14ac:dyDescent="0.25">
      <c r="B52" s="22">
        <v>130</v>
      </c>
      <c r="C52" s="22" t="s">
        <v>46</v>
      </c>
      <c r="D52" s="22"/>
      <c r="E52" s="22">
        <v>1</v>
      </c>
      <c r="F52" s="22">
        <v>9.512000000000001E-2</v>
      </c>
      <c r="G52" s="25">
        <v>1.8870000000000001E-5</v>
      </c>
      <c r="H52" s="25">
        <v>1.8369999999999999E-5</v>
      </c>
      <c r="I52" s="25">
        <v>1.321</v>
      </c>
      <c r="J52" s="25">
        <v>3.8880000000000005E-2</v>
      </c>
      <c r="K52" s="25">
        <v>1.734</v>
      </c>
      <c r="L52" s="25">
        <v>7.1450000000000002E-5</v>
      </c>
      <c r="M52" s="25">
        <v>5.482999999999999E-6</v>
      </c>
      <c r="N52" s="25">
        <v>1.1849999999999998E-5</v>
      </c>
    </row>
    <row r="53" spans="2:14" x14ac:dyDescent="0.25">
      <c r="B53" s="22">
        <v>131</v>
      </c>
      <c r="C53" s="22" t="s">
        <v>46</v>
      </c>
      <c r="D53" s="22"/>
      <c r="E53" s="22">
        <v>1</v>
      </c>
      <c r="F53" s="22">
        <v>9.8819999999999991E-2</v>
      </c>
      <c r="G53" s="25">
        <v>5.0460000000000001E-5</v>
      </c>
      <c r="H53" s="25">
        <v>7.3409999999999997E-6</v>
      </c>
      <c r="I53" s="25">
        <v>1.2629999999999999</v>
      </c>
      <c r="J53" s="25">
        <v>3.5740000000000001E-2</v>
      </c>
      <c r="K53" s="25">
        <v>1.7130000000000001</v>
      </c>
      <c r="L53" s="25">
        <v>4.6939999999999994E-5</v>
      </c>
      <c r="M53" s="25">
        <v>1.4059999999999999E-5</v>
      </c>
      <c r="N53" s="25">
        <v>2.19E-5</v>
      </c>
    </row>
    <row r="54" spans="2:14" x14ac:dyDescent="0.25">
      <c r="B54" s="22">
        <v>134</v>
      </c>
      <c r="C54" s="22" t="s">
        <v>46</v>
      </c>
      <c r="D54" s="22"/>
      <c r="E54" s="22">
        <v>1</v>
      </c>
      <c r="F54" s="22">
        <v>0.39850000000000002</v>
      </c>
      <c r="G54" s="25">
        <v>1.384E-5</v>
      </c>
      <c r="H54" s="25">
        <v>1.3449999999999998E-5</v>
      </c>
      <c r="I54" s="25">
        <v>1.337</v>
      </c>
      <c r="J54" s="25">
        <v>3.7569999999999999E-2</v>
      </c>
      <c r="K54" s="25">
        <v>1.744</v>
      </c>
      <c r="L54" s="25">
        <v>5.393E-5</v>
      </c>
      <c r="M54" s="25">
        <v>3.7400000000000002E-6</v>
      </c>
      <c r="N54" s="25">
        <v>8.0029999999999994E-6</v>
      </c>
    </row>
    <row r="55" spans="2:14" x14ac:dyDescent="0.25">
      <c r="B55" s="22">
        <v>136</v>
      </c>
      <c r="C55" s="22" t="s">
        <v>46</v>
      </c>
      <c r="D55" s="22"/>
      <c r="E55" s="22">
        <v>1</v>
      </c>
      <c r="F55" s="22">
        <v>0.3629</v>
      </c>
      <c r="G55" s="25">
        <v>2.0279999999999999E-5</v>
      </c>
      <c r="H55" s="25">
        <v>1.199E-5</v>
      </c>
      <c r="I55" s="25">
        <v>1.4650000000000001</v>
      </c>
      <c r="J55" s="25">
        <v>3.9329999999999997E-2</v>
      </c>
      <c r="K55" s="25">
        <v>1.9039999999999999</v>
      </c>
      <c r="L55" s="25">
        <v>6.1320000000000002E-5</v>
      </c>
      <c r="M55" s="25">
        <v>5.6119999999999998E-6</v>
      </c>
      <c r="N55" s="25">
        <v>1.2099999999999999E-5</v>
      </c>
    </row>
    <row r="56" spans="2:14" x14ac:dyDescent="0.25">
      <c r="B56" s="22">
        <v>140</v>
      </c>
      <c r="C56" s="22" t="s">
        <v>46</v>
      </c>
      <c r="D56" s="22"/>
      <c r="E56" s="22">
        <v>1</v>
      </c>
      <c r="F56" s="22">
        <v>0.39989999999999998</v>
      </c>
      <c r="G56" s="25">
        <v>2.145E-5</v>
      </c>
      <c r="H56" s="25">
        <v>1.466E-5</v>
      </c>
      <c r="I56" s="25">
        <v>1.37</v>
      </c>
      <c r="J56" s="25">
        <v>3.764E-2</v>
      </c>
      <c r="K56" s="25">
        <v>1.788</v>
      </c>
      <c r="L56" s="25">
        <v>6.2379999999999996E-5</v>
      </c>
      <c r="M56" s="25">
        <v>6.1239999999999993E-6</v>
      </c>
      <c r="N56" s="25">
        <v>1.3419999999999999E-5</v>
      </c>
    </row>
    <row r="57" spans="2:14" x14ac:dyDescent="0.25">
      <c r="B57" s="22">
        <v>141</v>
      </c>
      <c r="C57" s="22" t="s">
        <v>46</v>
      </c>
      <c r="D57" s="22"/>
      <c r="E57" s="22">
        <v>1</v>
      </c>
      <c r="F57" s="22">
        <v>9.8569999999999991E-2</v>
      </c>
      <c r="G57" s="25">
        <v>2.264E-5</v>
      </c>
      <c r="H57" s="25">
        <v>3.693E-6</v>
      </c>
      <c r="I57" s="25">
        <v>1.365</v>
      </c>
      <c r="J57" s="25">
        <v>3.5570000000000004E-2</v>
      </c>
      <c r="K57" s="25">
        <v>1.7949999999999999</v>
      </c>
      <c r="L57" s="25">
        <v>2.546E-5</v>
      </c>
      <c r="M57" s="25">
        <v>5.3890000000000004E-6</v>
      </c>
      <c r="N57" s="25">
        <v>1.3199999999999999E-5</v>
      </c>
    </row>
    <row r="58" spans="2:14" x14ac:dyDescent="0.25">
      <c r="B58" s="22">
        <v>145</v>
      </c>
      <c r="C58" s="22" t="s">
        <v>46</v>
      </c>
      <c r="D58" s="22"/>
      <c r="E58" s="22">
        <v>1</v>
      </c>
      <c r="F58" s="22">
        <v>0.41139999999999999</v>
      </c>
      <c r="G58" s="25">
        <v>2.8819999999999999E-5</v>
      </c>
      <c r="H58" s="25">
        <v>5.096E-6</v>
      </c>
      <c r="I58" s="25">
        <v>1.411</v>
      </c>
      <c r="J58" s="25">
        <v>3.431E-2</v>
      </c>
      <c r="K58" s="25">
        <v>1.877</v>
      </c>
      <c r="L58" s="25">
        <v>3.5929999999999997E-5</v>
      </c>
      <c r="M58" s="25">
        <v>8.9779999999999994E-6</v>
      </c>
      <c r="N58" s="25">
        <v>1.8679999999999997E-5</v>
      </c>
    </row>
    <row r="59" spans="2:14" x14ac:dyDescent="0.25">
      <c r="B59" s="22">
        <v>149</v>
      </c>
      <c r="C59" s="22" t="s">
        <v>46</v>
      </c>
      <c r="D59" s="22"/>
      <c r="E59" s="22">
        <v>1</v>
      </c>
      <c r="F59" s="22">
        <v>0.39200000000000002</v>
      </c>
      <c r="G59" s="25">
        <v>9.7249999999999992E-6</v>
      </c>
      <c r="H59" s="25">
        <v>8.1839999999999982E-6</v>
      </c>
      <c r="I59" s="25">
        <v>1.381</v>
      </c>
      <c r="J59" s="25">
        <v>3.7159999999999999E-2</v>
      </c>
      <c r="K59" s="25">
        <v>1.8009999999999999</v>
      </c>
      <c r="L59" s="25">
        <v>4.2240000000000002E-5</v>
      </c>
      <c r="M59" s="25">
        <v>3.2519999999999995E-6</v>
      </c>
      <c r="N59" s="25">
        <v>1.8699999999999997E-5</v>
      </c>
    </row>
    <row r="60" spans="2:14" x14ac:dyDescent="0.25">
      <c r="B60" s="22">
        <v>153</v>
      </c>
      <c r="C60" s="22" t="s">
        <v>46</v>
      </c>
      <c r="D60" s="22"/>
      <c r="E60" s="22">
        <v>1</v>
      </c>
      <c r="F60" s="22">
        <v>0.39750000000000002</v>
      </c>
      <c r="G60" s="25">
        <v>1.8670000000000003E-5</v>
      </c>
      <c r="H60" s="25">
        <v>1.0939999999999999E-5</v>
      </c>
      <c r="I60" s="25">
        <v>1.3879999999999999</v>
      </c>
      <c r="J60" s="25">
        <v>3.7150000000000002E-2</v>
      </c>
      <c r="K60" s="25">
        <v>1.806</v>
      </c>
      <c r="L60" s="25">
        <v>4.9869999999999995E-5</v>
      </c>
      <c r="M60" s="25">
        <v>5.2850000000000002E-6</v>
      </c>
      <c r="N60" s="25">
        <v>1.133E-5</v>
      </c>
    </row>
    <row r="61" spans="2:14" x14ac:dyDescent="0.25">
      <c r="B61" s="22">
        <v>158</v>
      </c>
      <c r="C61" s="22" t="s">
        <v>46</v>
      </c>
      <c r="D61" s="22"/>
      <c r="E61" s="22">
        <v>1</v>
      </c>
      <c r="F61" s="22">
        <v>0.38900000000000001</v>
      </c>
      <c r="G61" s="25">
        <v>2.0059999999999998E-5</v>
      </c>
      <c r="H61" s="25">
        <v>1.066E-5</v>
      </c>
      <c r="I61" s="25">
        <v>1.397</v>
      </c>
      <c r="J61" s="25">
        <v>3.7880000000000004E-2</v>
      </c>
      <c r="K61" s="25">
        <v>1.8120000000000001</v>
      </c>
      <c r="L61" s="25">
        <v>4.888E-5</v>
      </c>
      <c r="M61" s="25">
        <v>4.9379999999999991E-6</v>
      </c>
      <c r="N61" s="25">
        <v>1.2099999999999999E-5</v>
      </c>
    </row>
    <row r="62" spans="2:14" x14ac:dyDescent="0.25">
      <c r="B62" s="22">
        <v>159</v>
      </c>
      <c r="C62" s="22" t="s">
        <v>46</v>
      </c>
      <c r="D62" s="22"/>
      <c r="E62" s="22">
        <v>1</v>
      </c>
      <c r="F62" s="22">
        <v>0.39410000000000001</v>
      </c>
      <c r="G62" s="25">
        <v>1.4589999999999999E-5</v>
      </c>
      <c r="H62" s="25">
        <v>1.2150000000000001E-5</v>
      </c>
      <c r="I62" s="25">
        <v>1.3720000000000001</v>
      </c>
      <c r="J62" s="25">
        <v>3.7200000000000004E-2</v>
      </c>
      <c r="K62" s="25">
        <v>1.7969999999999999</v>
      </c>
      <c r="L62" s="25">
        <v>5.838E-5</v>
      </c>
      <c r="M62" s="25">
        <v>4.1909999999999993E-6</v>
      </c>
      <c r="N62" s="25">
        <v>8.8810000000000002E-6</v>
      </c>
    </row>
    <row r="63" spans="2:14" x14ac:dyDescent="0.25">
      <c r="B63" s="22">
        <v>160</v>
      </c>
      <c r="C63" s="22" t="s">
        <v>46</v>
      </c>
      <c r="D63" s="22"/>
      <c r="E63" s="22">
        <v>1</v>
      </c>
      <c r="F63" s="22">
        <v>0.39089999999999997</v>
      </c>
      <c r="G63" s="25">
        <v>1.274E-5</v>
      </c>
      <c r="H63" s="25">
        <v>1.2659999999999999E-5</v>
      </c>
      <c r="I63" s="25">
        <v>1.387</v>
      </c>
      <c r="J63" s="25">
        <v>3.7719999999999997E-2</v>
      </c>
      <c r="K63" s="25">
        <v>1.798</v>
      </c>
      <c r="L63" s="25">
        <v>5.6149999999999996E-5</v>
      </c>
      <c r="M63" s="25">
        <v>3.8119999999999997E-6</v>
      </c>
      <c r="N63" s="25">
        <v>8.0069999999999997E-6</v>
      </c>
    </row>
    <row r="64" spans="2:14" x14ac:dyDescent="0.25">
      <c r="B64" s="22">
        <v>161</v>
      </c>
      <c r="C64" s="22" t="s">
        <v>46</v>
      </c>
      <c r="D64" s="22"/>
      <c r="E64" s="22">
        <v>1</v>
      </c>
      <c r="F64" s="22">
        <v>0.34570000000000001</v>
      </c>
      <c r="G64" s="25">
        <v>3.2530000000000002E-5</v>
      </c>
      <c r="H64" s="25">
        <v>4.9709999999999995E-6</v>
      </c>
      <c r="I64" s="25">
        <v>1.593</v>
      </c>
      <c r="J64" s="25">
        <v>3.8329999999999996E-2</v>
      </c>
      <c r="K64" s="25">
        <v>2.0779999999999998</v>
      </c>
      <c r="L64" s="25">
        <v>3.6239999999999999E-5</v>
      </c>
      <c r="M64" s="25">
        <v>7.8869999999999992E-6</v>
      </c>
      <c r="N64" s="25">
        <v>1.8369999999999999E-5</v>
      </c>
    </row>
    <row r="65" spans="2:14" x14ac:dyDescent="0.25">
      <c r="B65" s="22">
        <v>162</v>
      </c>
      <c r="C65" s="22" t="s">
        <v>46</v>
      </c>
      <c r="D65" s="22"/>
      <c r="E65" s="22">
        <v>1</v>
      </c>
      <c r="F65" s="22">
        <v>0.39439999999999997</v>
      </c>
      <c r="G65" s="25">
        <v>2.1579999999999997E-5</v>
      </c>
      <c r="H65" s="25">
        <v>1.7929999999999999E-5</v>
      </c>
      <c r="I65" s="25">
        <v>1.3660000000000001</v>
      </c>
      <c r="J65" s="25">
        <v>3.7600000000000001E-2</v>
      </c>
      <c r="K65" s="25">
        <v>1.784</v>
      </c>
      <c r="L65" s="25">
        <v>7.2159999999999987E-5</v>
      </c>
      <c r="M65" s="25">
        <v>6.3789999999999994E-6</v>
      </c>
      <c r="N65" s="25">
        <v>1.3509999999999999E-5</v>
      </c>
    </row>
    <row r="66" spans="2:14" x14ac:dyDescent="0.25">
      <c r="B66" s="22">
        <v>163</v>
      </c>
      <c r="C66" s="22" t="s">
        <v>46</v>
      </c>
      <c r="D66" s="22"/>
      <c r="E66" s="22">
        <v>1<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    <c r="J66" s="25">
        <v>3.5159999999999997E-2</v>
      </c>
      <c r="K66" s="25">
        <v>1.821</v>
      </c>
      <c r="L66" s="25">
        <v>3.447E-5</v>
      </c>
      <c r="M66" s="25">
        <v>1.0139999999999999E-5</v>
      </c>
      <c r="N66" s="25">
        <v>2.5019999999999998E-5</v>
      </c>
    </row>
    <row r="67" spans="2:14" x14ac:dyDescent="0.25">
      <c r="B67" s="22">
        <v>166</v>
      </c>
      <c r="C67" s="22" t="s">
        <v>46</v>
      </c>
      <c r="D67" s="22"/>
      <c r="E67" s="22">
        <v>1</v>
      </c>
      <c r="F67" s="22">
        <v>0.4012</v>
      </c>
      <c r="G67" s="25">
        <v>1.491E-5</v>
      </c>
      <c r="H67" s="25">
        <v>1.4810000000000001E-5</v>
      </c>
      <c r="I67" s="25">
        <v>1.3420000000000001</v>
      </c>
      <c r="J67" s="25">
        <v>3.7499999999999999E-2</v>
      </c>
      <c r="K67" s="25">
        <v>1.762</v>
      </c>
      <c r="L67" s="25">
        <v>6.6069999999999996E-5</v>
      </c>
      <c r="M67" s="25">
        <v>4.5059999999999997E-6</v>
      </c>
      <c r="N67" s="25">
        <v>9.4909999999999994E-6</v>
      </c>
    </row>
    <row r="68" spans="2:14" x14ac:dyDescent="0.25">
      <c r="B68" s="22">
        <v>167</v>
      </c>
      <c r="C68" s="22" t="s">
        <v>46</v>
      </c>
      <c r="D68" s="22"/>
      <c r="E68" s="22">
        <v>1</v>
      </c>
      <c r="F68" s="22">
        <v>0.4012</v>
      </c>
      <c r="G68" s="25">
        <v>1.0359999999999999E-5</v>
      </c>
      <c r="H68" s="25">
        <v>1.1039999999999999E-5</v>
      </c>
      <c r="I68" s="25">
        <v>1.3280000000000001</v>
      </c>
      <c r="J68" s="25">
        <v>3.6859999999999997E-2</v>
      </c>
      <c r="K68" s="25">
        <v>1.7310000000000001</v>
      </c>
      <c r="L68" s="25">
        <v>4.5689999999999998E-5</v>
      </c>
      <c r="M68" s="25">
        <v>3.2669999999999998E-6</v>
      </c>
      <c r="N68" s="25">
        <v>6.5469999999999993E-6</v>
      </c>
    </row>
    <row r="69" spans="2:14" x14ac:dyDescent="0.25">
      <c r="B69" s="22">
        <v>169</v>
      </c>
      <c r="C69" s="22" t="s">
        <v>46</v>
      </c>
      <c r="D69" s="22"/>
      <c r="E69" s="22">
        <v>1</v>
      </c>
      <c r="F69" s="22">
        <v>0.39080000000000004</v>
      </c>
      <c r="G69" s="25">
        <v>3.9820000000000002E-5</v>
      </c>
      <c r="H69" s="25">
        <v>3.8859999999999997E-6</v>
      </c>
      <c r="I69" s="25">
        <v>1.4810000000000001</v>
      </c>
      <c r="J69" s="25">
        <v>3.5720000000000002E-2</v>
      </c>
      <c r="K69" s="25">
        <v>1.9610000000000001</v>
      </c>
      <c r="L69" s="25">
        <v>3.4959999999999997E-5</v>
      </c>
      <c r="M69" s="25">
        <v>1.01E-5</v>
      </c>
      <c r="N69" s="25">
        <v>2.3729999999999998E-5</v>
      </c>
    </row>
    <row r="70" spans="2:14" x14ac:dyDescent="0.25">
      <c r="B70" s="22">
        <v>170</v>
      </c>
      <c r="C70" s="22" t="s">
        <v>46</v>
      </c>
      <c r="D70" s="22"/>
      <c r="E70" s="22">
        <v>1</v>
      </c>
      <c r="F70" s="22">
        <v>9.8909999999999998E-2</v>
      </c>
      <c r="G70" s="25">
        <v>9.217E-6</v>
      </c>
      <c r="H70" s="25">
        <v>4.0339999999999998E-6</v>
      </c>
      <c r="I70" s="25">
        <v>1.3919999999999999</v>
      </c>
      <c r="J70" s="25">
        <v>3.594E-2</v>
      </c>
      <c r="K70" s="25">
        <v>1.843</v>
      </c>
      <c r="L70" s="25">
        <v>2.8739999999999996E-5</v>
      </c>
      <c r="M70" s="25">
        <v>3.2669999999999998E-6</v>
      </c>
      <c r="N70" s="25">
        <v>6.2649999999999993E-6</v>
      </c>
    </row>
    <row r="71" spans="2:14" x14ac:dyDescent="0.25">
      <c r="B71" s="22">
        <v>179</v>
      </c>
      <c r="C71" s="22" t="s">
        <v>46</v>
      </c>
      <c r="D71" s="22"/>
      <c r="E71" s="22">
        <v>1</v>
      </c>
      <c r="F71" s="22">
        <v>0.35899999999999999</v>
      </c>
      <c r="G71" s="25">
        <v>2.7849999999999999E-5</v>
      </c>
      <c r="H71" s="25">
        <v>1.3149999999999999E-5</v>
      </c>
      <c r="I71" s="25">
        <v>1.538</v>
      </c>
      <c r="J71" s="25">
        <v>3.771E-2</v>
      </c>
      <c r="K71" s="25">
        <v>1.994</v>
      </c>
      <c r="L71" s="25">
        <v>6.109E-5</v>
      </c>
      <c r="M71" s="25">
        <v>7.6380000000000004E-6</v>
      </c>
      <c r="N71" s="25">
        <v>1.668E-5</v>
      </c>
    </row>
    <row r="72" spans="2:14" x14ac:dyDescent="0.25">
      <c r="B72" s="22">
        <v>183</v>
      </c>
      <c r="C72" s="22" t="s">
        <v>46</v>
      </c>
      <c r="D72" s="22"/>
      <c r="E72" s="22">
        <v>1</v>
      </c>
      <c r="F72" s="22">
        <v>0.40939999999999999</v>
      </c>
      <c r="G72" s="25">
        <v>1.4769999999999999E-5</v>
      </c>
      <c r="H72" s="25">
        <v>3.2169999999999999E-6</v>
      </c>
      <c r="I72" s="25">
        <v>1.3759999999999999</v>
      </c>
      <c r="J72" s="25">
        <v>3.6110000000000003E-2</v>
      </c>
      <c r="K72" s="25">
        <v>1.7989999999999999</v>
      </c>
      <c r="L72" s="25">
        <v>2.1529999999999999E-5</v>
      </c>
      <c r="M72" s="25">
        <v>3.6040000000000001E-6</v>
      </c>
      <c r="N72" s="25">
        <v>8.4479999999999994E-6</v>
      </c>
    </row>
    <row r="73" spans="2:14" x14ac:dyDescent="0.25">
      <c r="B73" s="22">
        <v>184</v>
      </c>
      <c r="C73" s="22" t="s">
        <v>46</v>
      </c>
      <c r="D73" s="22"/>
      <c r="E73" s="22">
        <v>1</v>
      </c>
      <c r="F73" s="22">
        <v>9.8569999999999991E-2</v>
      </c>
      <c r="G73" s="25">
        <v>2.4649999999999996E-5</v>
      </c>
      <c r="H73" s="25">
        <v>4.3959999999999999E-6</v>
      </c>
      <c r="I73" s="25">
        <v>1.325</v>
      </c>
      <c r="J73" s="25">
        <v>3.5320000000000004E-2</v>
      </c>
      <c r="K73" s="25">
        <v>1.7490000000000001</v>
      </c>
      <c r="L73" s="25">
        <v>3.046E-5</v>
      </c>
      <c r="M73" s="25">
        <v>6.3029999999999996E-6</v>
      </c>
      <c r="N73" s="25">
        <v>1.521E-5</v>
      </c>
    </row>
    <row r="74" spans="2:14" x14ac:dyDescent="0.25">
      <c r="B74" s="22">
        <v>188</v>
      </c>
      <c r="C74" s="22" t="s">
        <v>46</v>
      </c>
      <c r="D74" s="22"/>
      <c r="E74" s="22">
        <v>1</v>
      </c>
      <c r="F74" s="22">
        <v>9.6920000000000006E-2</v>
      </c>
      <c r="G74" s="25">
        <v>1.9449999999999998E-5</v>
      </c>
      <c r="H74" s="25">
        <v>6.0239999999999994E-6</v>
      </c>
      <c r="I74" s="25">
        <v>1.4219999999999999</v>
      </c>
      <c r="J74" s="25">
        <v>3.7620000000000001E-2</v>
      </c>
      <c r="K74" s="25">
        <v>1.8680000000000001</v>
      </c>
      <c r="L74" s="25">
        <v>3.8989999999999998E-5</v>
      </c>
      <c r="M74" s="25">
        <v>4.8299999999999995E-6</v>
      </c>
      <c r="N74" s="25">
        <v>1.0929999999999999E-5</v>
      </c>
    </row>
    <row r="75" spans="2:14" x14ac:dyDescent="0.25">
      <c r="B75" s="22">
        <v>189</v>
      </c>
      <c r="C75" s="22" t="s">
        <v>46</v>
      </c>
      <c r="D75" s="22"/>
      <c r="E75" s="22">
        <v>1</v>
      </c>
      <c r="F75" s="22">
        <v>0.37919999999999998</v>
      </c>
      <c r="G75" s="25">
        <v>1.6209999999999999E-5</v>
      </c>
      <c r="H75" s="25">
        <v>1.5719999999999999E-5</v>
      </c>
      <c r="I75" s="25">
        <v>1.397</v>
      </c>
      <c r="J75" s="25">
        <v>3.8270000000000005E-2</v>
      </c>
      <c r="K75" s="25">
        <v>1.8260000000000001</v>
      </c>
      <c r="L75" s="25">
        <v>7.2589999999999994E-5</v>
      </c>
      <c r="M75" s="25">
        <v>5.1559999999999994E-6</v>
      </c>
      <c r="N75" s="25">
        <v>1.031E-5</v>
      </c>
    </row>
    <row r="76" spans="2:14" x14ac:dyDescent="0.25">
      <c r="B76" s="22">
        <v>190</v>
      </c>
      <c r="C76" s="22" t="s">
        <v>46</v>
      </c>
      <c r="D76" s="22"/>
      <c r="E76" s="22">
        <v>1</v>
      </c>
      <c r="F76" s="22">
        <v>9.5620000000000011E-2</v>
      </c>
      <c r="G76" s="25">
        <v>1.2310000000000001E-5</v>
      </c>
      <c r="H76" s="25">
        <v>3.9319999999999998E-6</v>
      </c>
      <c r="I76" s="25">
        <v>1.353</v>
      </c>
      <c r="J76" s="25">
        <v>3.4030000000000005E-2</v>
      </c>
      <c r="K76" s="25">
        <v>1.748</v>
      </c>
      <c r="L76" s="25">
        <v>2.9399999999999996E-5</v>
      </c>
      <c r="M76" s="25">
        <v>3.704E-6</v>
      </c>
      <c r="N76" s="25">
        <v>7.8140000000000001E-6</v>
      </c>
    </row>
    <row r="77" spans="2:14" x14ac:dyDescent="0.25">
      <c r="B77" s="22">
        <v>194</v>
      </c>
      <c r="C77" s="22" t="s">
        <v>46</v>
      </c>
      <c r="D77" s="22"/>
      <c r="E77" s="22">
        <v>1</v>
      </c>
      <c r="F77" s="22">
        <v>9.6079999999999999E-2</v>
      </c>
      <c r="G77" s="25">
        <v>1.182E-5</v>
      </c>
      <c r="H77" s="25">
        <v>5.981E-6</v>
      </c>
      <c r="I77" s="25">
        <v>1.3859999999999999</v>
      </c>
      <c r="J77" s="25">
        <v>3.7060000000000003E-2</v>
      </c>
      <c r="K77" s="25">
        <v>1.8220000000000001</v>
      </c>
      <c r="L77" s="25">
        <v>3.4579999999999998E-5</v>
      </c>
      <c r="M77" s="25">
        <v>3.5990000000000002E-6</v>
      </c>
      <c r="N77" s="25">
        <v>7.4050000000000003E-6</v>
      </c>
    </row>
    <row r="78" spans="2:14" x14ac:dyDescent="0.25">
      <c r="B78" s="22">
        <v>196</v>
      </c>
      <c r="C78" s="22" t="s">
        <v>46</v>
      </c>
      <c r="D78" s="22"/>
      <c r="E78" s="22">
        <v>1</v>
      </c>
      <c r="F78" s="22">
        <v>9.7470000000000001E-2</v>
      </c>
      <c r="G78" s="25">
        <v>8.8429999999999999E-6</v>
      </c>
      <c r="H78" s="25">
        <v>2.4660000000000002E-6</v>
      </c>
      <c r="I78" s="25">
        <v>1.423</v>
      </c>
      <c r="J78" s="25">
        <v>3.703E-2</v>
      </c>
      <c r="K78" s="25">
        <v>1.8560000000000001</v>
      </c>
      <c r="L78" s="25">
        <v>1.9179999999999999E-5</v>
      </c>
      <c r="M78" s="25">
        <v>3.1889999999999999E-6</v>
      </c>
      <c r="N78" s="25">
        <v>5.9800000000000003E-6</v>
      </c>
    </row>
    <row r="79" spans="2:14" x14ac:dyDescent="0.25">
      <c r="B79" s="22">
        <v>197</v>
      </c>
      <c r="C79" s="22" t="s">
        <v>46</v>
      </c>
      <c r="D79" s="22"/>
      <c r="E79" s="22">
        <v>1</v>
      </c>
      <c r="F79" s="22">
        <v>0.37210000000000004</v>
      </c>
      <c r="G79" s="25">
        <v>2.6480000000000001E-5</v>
      </c>
      <c r="H79" s="25">
        <v>1.2179999999999999E-5</v>
      </c>
      <c r="I79" s="25">
        <v>1.472</v>
      </c>
      <c r="J79" s="25">
        <v>3.8130000000000004E-2</v>
      </c>
      <c r="K79" s="25">
        <v>1.921</v>
      </c>
      <c r="L79" s="25">
        <v>6.3579999999999998E-5</v>
      </c>
      <c r="M79" s="25">
        <v>6.8319999999999991E-6</v>
      </c>
      <c r="N79" s="25">
        <v>1.6219999999999997E-5</v>
      </c>
    </row>
    <row r="80" spans="2:14" x14ac:dyDescent="0.25">
      <c r="B80" s="22">
        <v>198</v>
      </c>
      <c r="C80" s="22" t="s">
        <v>46</v>
      </c>
      <c r="D80" s="22"/>
      <c r="E80" s="22">
        <v>1</v>
      </c>
      <c r="F80" s="22">
        <v>0.37030000000000002</v>
      </c>
      <c r="G80" s="25">
        <v>2.3589999999999999E-5</v>
      </c>
      <c r="H80" s="25">
        <v>5.3159999999999996E-6</v>
      </c>
      <c r="I80" s="25">
        <v>1.448</v>
      </c>
      <c r="J80" s="25">
        <v>3.8710000000000001E-2</v>
      </c>
      <c r="K80" s="25">
        <v>1.9219999999999999</v>
      </c>
      <c r="L80" s="25">
        <v>3.286E-5</v>
      </c>
      <c r="M80" s="25">
        <v>7.0229999999999995E-6</v>
      </c>
      <c r="N80" s="25">
        <v>1.4779999999999999E-5</v>
      </c>
    </row>
    <row r="81" spans="2:14" x14ac:dyDescent="0.25">
      <c r="B81" s="22">
        <v>199</v>
      </c>
      <c r="C81" s="22" t="s">
        <v>46</v>
      </c>
      <c r="D81" s="22"/>
      <c r="E81" s="22">
        <v>1</v>
      </c>
      <c r="F81" s="22">
        <v>0.38789999999999997</v>
      </c>
      <c r="G81" s="25">
        <v>9.6170000000000013E-6</v>
      </c>
      <c r="H81" s="25">
        <v>3.3909999999999998E-6</v>
      </c>
      <c r="I81" s="25">
        <v>1.42</v>
      </c>
      <c r="J81" s="25">
        <v>3.7229999999999999E-2</v>
      </c>
      <c r="K81" s="25">
        <v>1.851</v>
      </c>
      <c r="L81" s="25">
        <v>2.298E-5</v>
      </c>
      <c r="M81" s="25">
        <v>2.8709999999999997E-6</v>
      </c>
      <c r="N81" s="25">
        <v>5.6749999999999999E-6</v>
      </c>
    </row>
    <row r="82" spans="2:14" x14ac:dyDescent="0.25">
      <c r="B82" s="22">
        <v>200</v>
      </c>
      <c r="C82" s="22" t="s">
        <v>46</v>
      </c>
      <c r="D82" s="22"/>
      <c r="E82" s="22">
        <v>1</v>
      </c>
      <c r="F82" s="22">
        <v>0.39489999999999997</v>
      </c>
      <c r="G82" s="25">
        <v>1.766E-5</v>
      </c>
      <c r="H82" s="25">
        <v>1.365E-5</v>
      </c>
      <c r="I82" s="25">
        <v>1.375</v>
      </c>
      <c r="J82" s="25">
        <v>3.7740000000000003E-2</v>
      </c>
      <c r="K82" s="25">
        <v>1.7849999999999999</v>
      </c>
      <c r="L82" s="25">
        <v>5.7920000000000001E-5</v>
      </c>
      <c r="M82" s="25">
        <v>4.5879999999999999E-6</v>
      </c>
      <c r="N82" s="25">
        <v>1.0509999999999999E-5</v>
      </c>
    </row>
    <row r="83" spans="2:14" x14ac:dyDescent="0.25">
      <c r="B83" s="22">
        <v>202</v>
      </c>
      <c r="C83" s="22" t="s">
        <v>46</v>
      </c>
      <c r="D83" s="22"/>
      <c r="E83" s="22">
        <v>1</v>
      </c>
      <c r="F83" s="22">
        <v>9.4799999999999995E-2</v>
      </c>
      <c r="G83" s="25">
        <v>1.9069999999999999E-5</v>
      </c>
      <c r="H83" s="25">
        <v>1.3569999999999999E-5</v>
      </c>
      <c r="I83" s="25">
        <v>1.385</v>
      </c>
      <c r="J83" s="25">
        <v>3.737E-2</v>
      </c>
      <c r="K83" s="25">
        <v>1.806</v>
      </c>
      <c r="L83" s="25">
        <v>5.9549999999999997E-5</v>
      </c>
      <c r="M83" s="25">
        <v>5.2430000000000005E-6</v>
      </c>
      <c r="N83" s="25">
        <v>1.1429999999999999E-5</v>
      </c>
    </row>
    <row r="84" spans="2:14" x14ac:dyDescent="0.25">
      <c r="B84" s="22">
        <v>205</v>
      </c>
      <c r="C84" s="22" t="s">
        <v>46</v>
      </c>
      <c r="D84" s="22"/>
      <c r="E84" s="22">
        <v>1</v>
      </c>
      <c r="F84" s="22">
        <v>0.36799999999999999</v>
      </c>
      <c r="G84" s="25">
        <v>2.614E-5</v>
      </c>
      <c r="H84" s="25">
        <v>6.3579999999999991E-6</v>
      </c>
      <c r="I84" s="25">
        <v>1.468</v>
      </c>
      <c r="J84" s="25">
        <v>3.8159999999999999E-2</v>
      </c>
      <c r="K84" s="25">
        <v>1.9319999999999999</v>
      </c>
      <c r="L84" s="25">
        <v>4.2579999999999996E-5</v>
      </c>
      <c r="M84" s="25">
        <v>6.1249999999999998E-6</v>
      </c>
      <c r="N84" s="25">
        <v>1.4970000000000001E-5</v>
      </c>
    </row>
    <row r="85" spans="2:14" x14ac:dyDescent="0.25">
      <c r="B85" s="22">
        <v>206</v>
      </c>
      <c r="C85" s="22" t="s">
        <v>46</v>
      </c>
      <c r="D85" s="22"/>
      <c r="E85" s="22">
        <v>1</v>
      </c>
      <c r="F85" s="22">
        <v>0.40989999999999999</v>
      </c>
      <c r="G85" s="25">
        <v>1.2819999999999999E-5</v>
      </c>
      <c r="H85" s="25">
        <v>1.666E-5</v>
      </c>
      <c r="I85" s="25">
        <v>1.298</v>
      </c>
      <c r="J85" s="25">
        <v>3.7010000000000001E-2</v>
      </c>
      <c r="K85" s="25">
        <v>1.704</v>
      </c>
      <c r="L85" s="25">
        <v>6.368E-5</v>
      </c>
      <c r="M85" s="25">
        <v>4.0169999999999998E-6</v>
      </c>
      <c r="N85" s="25">
        <v>8.0899999999999988E-6</v>
      </c>
    </row>
    <row r="86" spans="2:14" x14ac:dyDescent="0.25">
      <c r="B86" s="22">
        <v>207</v>
      </c>
      <c r="C86" s="22" t="s">
        <v>46</v>
      </c>
      <c r="D86" s="22"/>
      <c r="E86" s="22">
        <v>1</v>
      </c>
      <c r="F86" s="22">
        <v>0.39600000000000002</v>
      </c>
      <c r="G86" s="25">
        <v>1.98E-5</v>
      </c>
      <c r="H86" s="25">
        <v>1.7139999999999999E-5</v>
      </c>
      <c r="I86" s="25">
        <v>1.363</v>
      </c>
      <c r="J86" s="25">
        <v>3.7450000000000004E-2</v>
      </c>
      <c r="K86" s="25">
        <v>1.7849999999999999</v>
      </c>
      <c r="L86" s="25">
        <v>7.0140000000000003E-5</v>
      </c>
      <c r="M86" s="25">
        <v>5.7989999999999999E-6</v>
      </c>
      <c r="N86" s="25">
        <v>1.2630000000000001E-5</v>
      </c>
    </row>
    <row r="87" spans="2:14" x14ac:dyDescent="0.25">
      <c r="B87" s="22">
        <v>211</v>
      </c>
      <c r="C87" s="22" t="s">
        <v>46</v>
      </c>
      <c r="D87" s="22"/>
      <c r="E87" s="22">
        <v>1</v>
      </c>
      <c r="F87" s="22">
        <v>0.3967</v>
      </c>
      <c r="G87" s="25">
        <v>1.4689999999999998E-5</v>
      </c>
      <c r="H87" s="25">
        <v>9.73E-6</v>
      </c>
      <c r="I87" s="25">
        <v>1.325</v>
      </c>
      <c r="J87" s="25">
        <v>3.7659999999999999E-2</v>
      </c>
      <c r="K87" s="25">
        <v>1.7430000000000001</v>
      </c>
      <c r="L87" s="25">
        <v>4.2769999999999999E-5</v>
      </c>
      <c r="M87" s="25">
        <v>3.9979999999999997E-6</v>
      </c>
      <c r="N87" s="25">
        <v>8.9969999999999987E-6</v>
      </c>
    </row>
    <row r="88" spans="2:14" x14ac:dyDescent="0.25">
      <c r="B88" s="22">
        <v>212</v>
      </c>
      <c r="C88" s="22" t="s">
        <v>46</v>
      </c>
      <c r="D88" s="22"/>
      <c r="E88" s="22">
        <v>1</v>
      </c>
      <c r="F88" s="22">
        <v>9.6390000000000003E-2</v>
      </c>
      <c r="G88" s="25">
        <v>2.6780000000000001E-5</v>
      </c>
      <c r="H88" s="25">
        <v>5.8860000000000001E-6</v>
      </c>
      <c r="I88" s="25">
        <v>1.4219999999999999</v>
      </c>
      <c r="J88" s="25">
        <v>3.771E-2</v>
      </c>
      <c r="K88" s="25">
        <v>1.89</v>
      </c>
      <c r="L88" s="25">
        <v>3.8719999999999995E-5</v>
      </c>
      <c r="M88" s="25">
        <v>8.3119999999999994E-6</v>
      </c>
      <c r="N88" s="25">
        <v>1.7350000000000002E-5</v>
      </c>
    </row>
    <row r="89" spans="2:14" x14ac:dyDescent="0.25">
      <c r="B89" s="22">
        <v>213</v>
      </c>
      <c r="C89" s="22" t="s">
        <v>46</v>
      </c>
      <c r="D89" s="22"/>
      <c r="E89" s="22">
        <v>1</v>
      </c>
      <c r="F89" s="22">
        <v>0.40760000000000002</v>
      </c>
      <c r="G89" s="25">
        <v>1.8709999999999999E-5</v>
      </c>
      <c r="H89" s="25">
        <v>3.3019999999999999E-6</v>
      </c>
      <c r="I89" s="25">
        <v>1.363</v>
      </c>
      <c r="J89" s="25">
        <v>3.635E-2</v>
      </c>
      <c r="K89" s="25">
        <v>1.7909999999999999</v>
      </c>
      <c r="L89" s="25">
        <v>2.3819999999999999E-5</v>
      </c>
      <c r="M89" s="25">
        <v>4.9280000000000001E-6</v>
      </c>
      <c r="N89" s="25">
        <v>1.101E-5</v>
      </c>
    </row>
    <row r="90" spans="2:14" x14ac:dyDescent="0.25">
      <c r="B90" s="22">
        <v>216</v>
      </c>
      <c r="C90" s="22" t="s">
        <v>46</v>
      </c>
      <c r="D90" s="22"/>
      <c r="E90" s="22">
        <v>1</v>
      </c>
      <c r="F90" s="22">
        <v>0.36810000000000004</v>
      </c>
      <c r="G90" s="25">
        <v>2.9309999999999999E-5</v>
      </c>
      <c r="H90" s="25">
        <v>1.5609999999999998E-5</v>
      </c>
      <c r="I90" s="25">
        <v>1.4930000000000001</v>
      </c>
      <c r="J90" s="25">
        <v>3.8550000000000001E-2</v>
      </c>
      <c r="K90" s="25">
        <v>1.9450000000000001</v>
      </c>
      <c r="L90" s="25">
        <v>7.1730000000000006E-5</v>
      </c>
      <c r="M90" s="25">
        <v>7.8129999999999996E-6</v>
      </c>
      <c r="N90" s="25">
        <v>1.8510000000000001E-5</v>
      </c>
    </row>
    <row r="91" spans="2:14" x14ac:dyDescent="0.25">
      <c r="B91" s="22">
        <v>217</v>
      </c>
      <c r="C91" s="22" t="s">
        <v>46</v>
      </c>
      <c r="D91" s="22"/>
      <c r="E91" s="22">
        <v>1</v>
      </c>
      <c r="F91" s="22">
        <v>0.38660000000000005</v>
      </c>
      <c r="G91" s="25">
        <v>1.45E-5</v>
      </c>
      <c r="H91" s="25">
        <v>3.2099999999999998E-6</v>
      </c>
      <c r="I91" s="25">
        <v>1.4410000000000001</v>
      </c>
      <c r="J91" s="25">
        <v>3.6499999999999998E-2</v>
      </c>
      <c r="K91" s="25">
        <v>1.8979999999999999</v>
      </c>
      <c r="L91" s="25">
        <v>2.3809999999999997E-5</v>
      </c>
      <c r="M91" s="25">
        <v>3.9580000000000001E-6</v>
      </c>
      <c r="N91" s="25">
        <v>8.7790000000000001E-6</v>
      </c>
    </row>
    <row r="92" spans="2:14" x14ac:dyDescent="0.25">
      <c r="B92" s="22">
        <v>219</v>
      </c>
      <c r="C92" s="22" t="s">
        <v>46</v>
      </c>
      <c r="D92" s="22"/>
      <c r="E92" s="22">
        <v>1</v>
      </c>
      <c r="F92" s="22">
        <v>0.39580000000000004</v>
      </c>
      <c r="G92" s="25">
        <v>1.08E-5</v>
      </c>
      <c r="H92" s="25">
        <v>2.4980000000000001E-6</v>
      </c>
      <c r="I92" s="25">
        <v>1.4039999999999999</v>
      </c>
      <c r="J92" s="25">
        <v>3.6400000000000002E-2</v>
      </c>
      <c r="K92" s="25">
        <v>1.845</v>
      </c>
      <c r="L92" s="25">
        <v>1.9210000000000001E-5</v>
      </c>
      <c r="M92" s="25">
        <v>3.2219999999999998E-6</v>
      </c>
      <c r="N92" s="25">
        <v>6.6669999999999999E-6</v>
      </c>
    </row>
    <row r="93" spans="2:14" x14ac:dyDescent="0.25">
      <c r="B93" s="22">
        <v>220</v>
      </c>
      <c r="C93" s="22" t="s">
        <v>46</v>
      </c>
      <c r="D93" s="22"/>
      <c r="E93" s="22">
        <v>1</v>
      </c>
      <c r="F93" s="22">
        <v>9.5500000000000002E-2</v>
      </c>
      <c r="G93" s="25">
        <v>3.0769999999999998E-5</v>
      </c>
      <c r="H93" s="25">
        <v>6.4080000000000003E-6</v>
      </c>
      <c r="I93" s="25">
        <v>1.2370000000000001</v>
      </c>
      <c r="J93" s="25">
        <v>3.5889999999999998E-2</v>
      </c>
      <c r="K93" s="25">
        <v>1.6739999999999999</v>
      </c>
      <c r="L93" s="25">
        <v>4.32E-5</v>
      </c>
      <c r="M93" s="25">
        <v>9.1489999999999983E-6</v>
      </c>
      <c r="N93" s="25">
        <v>1.9519999999999999E-5</v>
      </c>
    </row>
    <row r="94" spans="2:14" x14ac:dyDescent="0.25">
      <c r="B94" s="22">
        <v>224</v>
      </c>
      <c r="C94" s="22" t="s">
        <v>46</v>
      </c>
      <c r="D94" s="22"/>
      <c r="E94" s="22">
        <v>1</v>
      </c>
      <c r="F94" s="22">
        <v>0.38869999999999999</v>
      </c>
      <c r="G94" s="25">
        <v>2.919E-5</v>
      </c>
      <c r="H94" s="25">
        <v>8.7870000000000007E-6</v>
      </c>
      <c r="I94" s="25">
        <v>1.4630000000000001</v>
      </c>
      <c r="J94" s="25">
        <v>3.6299999999999999E-2</v>
      </c>
      <c r="K94" s="25">
        <v>1.909</v>
      </c>
      <c r="L94" s="25">
        <v>4.6439999999999996E-5</v>
      </c>
      <c r="M94" s="25">
        <v>7.7910000000000005E-6</v>
      </c>
      <c r="N94" s="25">
        <v>1.7260000000000001E-5</v>
      </c>
    </row>
    <row r="95" spans="2:14" x14ac:dyDescent="0.25">
      <c r="B95" s="22">
        <v>225</v>
      </c>
      <c r="C95" s="22" t="s">
        <v>46</v>
      </c>
      <c r="D95" s="22"/>
      <c r="E95" s="22">
        <v>1</v>
      </c>
      <c r="F95" s="22">
        <v>0.40860000000000002</v>
      </c>
      <c r="G95" s="25">
        <v>9.2879999999999998E-6</v>
      </c>
      <c r="H95" s="25">
        <v>3.5190000000000001E-6</v>
      </c>
      <c r="I95" s="25">
        <v>1.373</v>
      </c>
      <c r="J95" s="25">
        <v>3.5540000000000002E-2</v>
      </c>
      <c r="K95" s="25">
        <v>1.802</v>
      </c>
      <c r="L95" s="25">
        <v>2.4539999999999999E-5</v>
      </c>
      <c r="M95" s="25">
        <v>3.3299999999999999E-6</v>
      </c>
      <c r="N95" s="25">
        <v>6.4389999999999997E-6</v>
      </c>
    </row>
    <row r="96" spans="2:14" x14ac:dyDescent="0.25">
      <c r="B96" s="22">
        <v>228</v>
      </c>
      <c r="C96" s="22" t="s">
        <v>46</v>
      </c>
      <c r="D96" s="22"/>
      <c r="E96" s="22">
        <v>1</v>
      </c>
      <c r="F96" s="22">
        <v>0.38839999999999997</v>
      </c>
      <c r="G96" s="25">
        <v>3.5469999999999998E-5</v>
      </c>
      <c r="H96" s="25">
        <v>4.4229999999999998E-6</v>
      </c>
      <c r="I96" s="25">
        <v>1.4330000000000001</v>
      </c>
      <c r="J96" s="25">
        <v>3.635E-2</v>
      </c>
      <c r="K96" s="25">
        <v>1.9039999999999999</v>
      </c>
      <c r="L96" s="25">
        <v>3.5889999999999997E-5</v>
      </c>
      <c r="M96" s="25">
        <v>8.7199999999999995E-6</v>
      </c>
      <c r="N96" s="25">
        <v>2.0569999999999998E-5</v>
      </c>
    </row>
    <row r="97" spans="2:14" x14ac:dyDescent="0.25">
      <c r="B97" s="22">
        <v>229</v>
      </c>
      <c r="C97" s="22" t="s">
        <v>46</v>
      </c>
      <c r="D97" s="22"/>
      <c r="E97" s="22">
        <v>1</v>
      </c>
      <c r="F97" s="22">
        <v>0.38089999999999996</v>
      </c>
      <c r="G97" s="25">
        <v>1.9129999999999998E-5</v>
      </c>
      <c r="H97" s="25">
        <v>5.5399999999999995E-6</v>
      </c>
      <c r="I97" s="25">
        <v>1.42</v>
      </c>
      <c r="J97" s="25">
        <v>3.7789999999999997E-2</v>
      </c>
      <c r="K97" s="25">
        <v>1.889</v>
      </c>
      <c r="L97" s="25">
        <v>3.413E-5</v>
      </c>
      <c r="M97" s="25">
        <v>5.6629999999999998E-6</v>
      </c>
      <c r="N97" s="25">
        <v>1.2269999999999999E-5</v>
      </c>
    </row>
    <row r="98" spans="2:14" x14ac:dyDescent="0.25">
      <c r="B98" s="22">
        <v>230</v>
      </c>
      <c r="C98" s="22" t="s">
        <v>46</v>
      </c>
      <c r="D98" s="22"/>
      <c r="E98" s="22">
        <v>1</v>
      </c>
      <c r="F98" s="22">
        <v>0.39289999999999997</v>
      </c>
      <c r="G98" s="25">
        <v>1.5169999999999999E-5</v>
      </c>
      <c r="H98" s="25">
        <v>7.9330000000000001E-6</v>
      </c>
      <c r="I98" s="25">
        <v>1.3560000000000001</v>
      </c>
      <c r="J98" s="25">
        <v>3.7499999999999999E-2</v>
      </c>
      <c r="K98" s="25">
        <v>1.776</v>
      </c>
      <c r="L98" s="25">
        <v>3.8509999999999996E-5</v>
      </c>
      <c r="M98" s="25">
        <v>4.3120000000000004E-6</v>
      </c>
      <c r="N98" s="25">
        <v>9.0499999999999997E-6</v>
      </c>
    </row>
    <row r="99" spans="2:14" x14ac:dyDescent="0.25">
      <c r="B99" s="22">
        <v>232</v>
      </c>
      <c r="C99" s="22" t="s">
        <v>46</v>
      </c>
      <c r="D99" s="22"/>
      <c r="E99" s="22">
        <v>1</v>
      </c>
      <c r="F99" s="22">
        <v>0.41100000000000003</v>
      </c>
      <c r="G99" s="25">
        <v>1.7620000000000001E-5</v>
      </c>
      <c r="H99" s="25">
        <v>1.8280000000000001E-5</v>
      </c>
      <c r="I99" s="25">
        <v>1.3480000000000001</v>
      </c>
      <c r="J99" s="25">
        <v>3.6450000000000003E-2</v>
      </c>
      <c r="K99" s="25">
        <v>1.7649999999999999</v>
      </c>
      <c r="L99" s="25">
        <v>7.3599999999999987E-5</v>
      </c>
      <c r="M99" s="25">
        <v>5.964E-6</v>
      </c>
      <c r="N99" s="25">
        <v>1.1599999999999999E-5</v>
      </c>
    </row>
    <row r="100" spans="2:14" x14ac:dyDescent="0.25">
      <c r="B100" s="22">
        <v>233</v>
      </c>
      <c r="C100" s="22" t="s">
        <v>46</v>
      </c>
      <c r="D100" s="22"/>
      <c r="E100" s="22">
        <v>1</v>
      </c>
      <c r="F100" s="22">
        <v>0.39369999999999999</v>
      </c>
      <c r="G100" s="25">
        <v>1.4289999999999999E-5</v>
      </c>
      <c r="H100" s="25">
        <v>5.383E-6</v>
      </c>
      <c r="I100" s="25">
        <v>1.4139999999999999</v>
      </c>
      <c r="J100" s="25">
        <v>3.6569999999999998E-2</v>
      </c>
      <c r="K100" s="25">
        <v>1.879</v>
      </c>
      <c r="L100" s="25">
        <v>3.1449999999999999E-5</v>
      </c>
      <c r="M100" s="25">
        <v>4.6249999999999998E-6</v>
      </c>
      <c r="N100" s="25">
        <v>9.1509999999999993E-6</v>
      </c>
    </row>
    <row r="101" spans="2:14" x14ac:dyDescent="0.25">
      <c r="B101" s="22">
        <v>236</v>
      </c>
      <c r="C101" s="22" t="s">
        <v>46</v>
      </c>
      <c r="D101" s="22"/>
      <c r="E101" s="22">
        <v>1</v>
      </c>
      <c r="F101" s="22">
        <v>0.38239999999999996</v>
      </c>
      <c r="G101" s="25">
        <v>1.5849999999999999E-5</v>
      </c>
      <c r="H101" s="25">
        <v>2.9799999999999998E-6</v>
      </c>
      <c r="I101" s="25">
        <v>1.4330000000000001</v>
      </c>
      <c r="J101" s="25">
        <v>3.7590000000000005E-2</v>
      </c>
      <c r="K101" s="25">
        <v>1.885</v>
      </c>
      <c r="L101" s="25">
        <v>2.2920000000000001E-5</v>
      </c>
      <c r="M101" s="25">
        <v>4.0549999999999993E-6</v>
      </c>
      <c r="N101" s="25">
        <v>9.4570000000000011E-6</v>
      </c>
    </row>
    <row r="102" spans="2:14" x14ac:dyDescent="0.25">
      <c r="B102" s="22">
        <v>240</v>
      </c>
      <c r="C102" s="22" t="s">
        <v>46</v>
      </c>
      <c r="D102" s="22"/>
      <c r="E102" s="22">
        <v>1</v>
      </c>
      <c r="F102" s="22">
        <v>0.40679999999999999</v>
      </c>
      <c r="G102" s="25">
        <v>1.2289999999999999E-5</v>
      </c>
      <c r="H102" s="25">
        <v>2.8219999999999998E-6</v>
      </c>
      <c r="I102" s="25">
        <v>1.39</v>
      </c>
      <c r="J102" s="25">
        <v>3.5959999999999999E-2</v>
      </c>
      <c r="K102" s="25">
        <v>1.8109999999999999</v>
      </c>
      <c r="L102" s="25">
        <v>2.0449999999999999E-5</v>
      </c>
      <c r="M102" s="25">
        <v>3.676E-6</v>
      </c>
      <c r="N102" s="25">
        <v>7.7020000000000001E-6</v>
      </c>
    </row>
    <row r="103" spans="2:14" x14ac:dyDescent="0.25">
      <c r="B103" s="22">
        <v>241</v>
      </c>
      <c r="C103" s="22" t="s">
        <v>46</v>
      </c>
      <c r="D103" s="22"/>
      <c r="E103" s="22">
        <v>1</v>
      </c>
      <c r="F103" s="22">
        <v>0.37110000000000004</v>
      </c>
      <c r="G103" s="25">
        <v>2.0339999999999998E-5</v>
      </c>
      <c r="H103" s="25">
        <v>9.3309999999999993E-6</v>
      </c>
      <c r="I103" s="25">
        <v>1.4530000000000001</v>
      </c>
      <c r="J103" s="25">
        <v>3.8329999999999996E-2</v>
      </c>
      <c r="K103" s="25">
        <v>1.8879999999999999</v>
      </c>
      <c r="L103" s="25">
        <v>4.5729999999999998E-5</v>
      </c>
      <c r="M103" s="25">
        <v>4.9009999999999993E-6</v>
      </c>
      <c r="N103" s="25">
        <v>1.155E-5</v>
      </c>
    </row>
    <row r="104" spans="2:14" x14ac:dyDescent="0.25">
      <c r="B104" s="22">
        <v>243</v>
      </c>
      <c r="C104" s="22" t="s">
        <v>46</v>
      </c>
      <c r="D104" s="22"/>
      <c r="E104" s="22">
        <v>1</v>
      </c>
      <c r="F104" s="22">
        <v>0.39450000000000002</v>
      </c>
      <c r="G104" s="25">
        <v>1.257E-5</v>
      </c>
      <c r="H104" s="25">
        <v>2.9220000000000001E-6</v>
      </c>
      <c r="I104" s="25">
        <v>1.3879999999999999</v>
      </c>
      <c r="J104" s="25">
        <v>3.6840000000000005E-2</v>
      </c>
      <c r="K104" s="25">
        <v>1.8260000000000001</v>
      </c>
      <c r="L104" s="25">
        <v>2.052E-5</v>
      </c>
      <c r="M104" s="25">
        <v>3.399E-6</v>
      </c>
      <c r="N104" s="25">
        <v>7.3549999999999999E-6</v>
      </c>
    </row>
    <row r="105" spans="2:14" x14ac:dyDescent="0.25">
      <c r="B105" s="22">
        <v>245</v>
      </c>
      <c r="C105" s="22" t="s">
        <v>46</v>
      </c>
      <c r="D105" s="22"/>
      <c r="E105" s="22">
        <v>1</v>
      </c>
      <c r="F105" s="22">
        <v>0.4007</v>
      </c>
      <c r="G105" s="25">
        <v>3.012E-5</v>
      </c>
      <c r="H105" s="25">
        <v>6.0329999999999997E-6</v>
      </c>
      <c r="I105" s="25">
        <v>1.423</v>
      </c>
      <c r="J105" s="25">
        <v>3.542E-2</v>
      </c>
      <c r="K105" s="25">
        <v>1.859</v>
      </c>
      <c r="L105" s="25">
        <v>3.6159999999999993E-5</v>
      </c>
      <c r="M105" s="25">
        <v>6.9070000000000001E-6</v>
      </c>
      <c r="N105" s="25">
        <v>1.7239999999999998E-5</v>
      </c>
    </row>
    <row r="106" spans="2:14" x14ac:dyDescent="0.25">
      <c r="B106" s="22">
        <v>246</v>
      </c>
      <c r="C106" s="22" t="s">
        <v>46</v>
      </c>
      <c r="D106" s="22"/>
      <c r="E106" s="22">
        <v>1</v>
      </c>
      <c r="F106" s="22">
        <v>0.39480000000000004</v>
      </c>
      <c r="G106" s="25">
        <v>1.505E-5</v>
      </c>
      <c r="H106" s="25">
        <v>2.847E-6</v>
      </c>
      <c r="I106" s="25">
        <v>1.39</v>
      </c>
      <c r="J106" s="25">
        <v>3.7130000000000003E-2</v>
      </c>
      <c r="K106" s="25">
        <v>1.8149999999999999</v>
      </c>
      <c r="L106" s="25">
        <v>1.9969999999999997E-5</v>
      </c>
      <c r="M106" s="25">
        <v>3.6259999999999997E-6</v>
      </c>
      <c r="N106" s="25">
        <v>8.85E-6</v>
      </c>
    </row>
    <row r="107" spans="2:14" x14ac:dyDescent="0.25">
      <c r="B107" s="22">
        <v>247</v>
      </c>
      <c r="C107" s="22" t="s">
        <v>46</v>
      </c>
      <c r="D107" s="22"/>
      <c r="E107" s="22">
        <v>1</v>
      </c>
      <c r="F107" s="22">
        <v>0.39369999999999999</v>
      </c>
      <c r="G107" s="25">
        <v>1.4199999999999998E-5</v>
      </c>
      <c r="H107" s="25">
        <v>4.5359999999999994E-6</v>
      </c>
      <c r="I107" s="25">
        <v>1.3959999999999999</v>
      </c>
      <c r="J107" s="25">
        <v>3.6770000000000004E-2</v>
      </c>
      <c r="K107" s="25">
        <v>1.83</v>
      </c>
      <c r="L107" s="25">
        <v>2.7699999999999999E-5</v>
      </c>
      <c r="M107" s="25">
        <v>3.5379999999999998E-6</v>
      </c>
      <c r="N107" s="25">
        <v>8.5549999999999986E-6</v>
      </c>
    </row>
    <row r="108" spans="2:14" x14ac:dyDescent="0.25">
      <c r="B108" s="22">
        <v>248</v>
      </c>
      <c r="C108" s="22" t="s">
        <v>46</v>
      </c>
      <c r="D108" s="22"/>
      <c r="E108" s="22">
        <v>1</v>
      </c>
      <c r="F108" s="22">
        <v>0.39660000000000001</v>
      </c>
      <c r="G108" s="25">
        <v>9.1649999999999995E-6</v>
      </c>
      <c r="H108" s="25">
        <v>3.5359999999999997E-6</v>
      </c>
      <c r="I108" s="25">
        <v>1.4370000000000001</v>
      </c>
      <c r="J108" s="25">
        <v>3.6249999999999998E-2</v>
      </c>
      <c r="K108" s="25">
        <v>1.8540000000000001</v>
      </c>
      <c r="L108" s="25">
        <v>2.2459999999999998E-5</v>
      </c>
      <c r="M108" s="25">
        <v>2.9839999999999997E-6</v>
      </c>
      <c r="N108" s="25">
        <v>5.7640000000000002E-6</v>
      </c>
    </row>
    <row r="109" spans="2:14" x14ac:dyDescent="0.25">
      <c r="B109" s="22">
        <v>250</v>
      </c>
      <c r="C109" s="22" t="s">
        <v>46</v>
      </c>
      <c r="D109" s="22"/>
      <c r="E109" s="22">
        <v>1</v>
      </c>
      <c r="F109" s="22">
        <v>0.39989999999999998</v>
      </c>
      <c r="G109" s="25">
        <v>1.1050000000000001E-5</v>
      </c>
      <c r="H109" s="25">
        <v>3.145E-6</v>
      </c>
      <c r="I109" s="25">
        <v>1.387</v>
      </c>
      <c r="J109" s="25">
        <v>3.6319999999999998E-2</v>
      </c>
      <c r="K109" s="25">
        <v>1.8149999999999999</v>
      </c>
      <c r="L109" s="25">
        <v>2.1859999999999997E-5</v>
      </c>
      <c r="M109" s="25">
        <v>3.8399999999999997E-6</v>
      </c>
      <c r="N109" s="25">
        <v>8.8689999999999993E-6</v>
      </c>
    </row>
    <row r="110" spans="2:14" x14ac:dyDescent="0.25">
      <c r="B110" s="22">
        <v>251</v>
      </c>
      <c r="C110" s="22" t="s">
        <v>46</v>
      </c>
      <c r="D110" s="22"/>
      <c r="E110" s="22">
        <v>1</v>
      </c>
      <c r="F110" s="22">
        <v>0.36330000000000001</v>
      </c>
      <c r="G110" s="25">
        <v>1.3529999999999999E-5</v>
      </c>
      <c r="H110" s="25">
        <v>2.8439999999999998E-6</v>
      </c>
      <c r="I110" s="25">
        <v>1.4550000000000001</v>
      </c>
      <c r="J110" s="25">
        <v>3.696E-2</v>
      </c>
      <c r="K110" s="25">
        <v>1.9059999999999999</v>
      </c>
      <c r="L110" s="25">
        <v>2.264E-5</v>
      </c>
      <c r="M110" s="25">
        <v>3.8870000000000002E-6</v>
      </c>
      <c r="N110" s="25">
        <v>8.3489999999999992E-6</v>
      </c>
    </row>
    <row r="111" spans="2:14" x14ac:dyDescent="0.25">
      <c r="B111" s="22">
        <v>256</v>
      </c>
      <c r="C111" s="22" t="s">
        <v>46</v>
      </c>
      <c r="D111" s="22"/>
      <c r="E111" s="22">
        <v>1</v>
      </c>
      <c r="F111" s="22">
        <v>0.4093</v>
      </c>
      <c r="G111" s="25">
        <v>1.7219999999999998E-5</v>
      </c>
      <c r="H111" s="25">
        <v>1.721E-5</v>
      </c>
      <c r="I111" s="25">
        <v>1.304</v>
      </c>
      <c r="J111" s="25">
        <v>3.703E-2</v>
      </c>
      <c r="K111" s="25">
        <v>1.704</v>
      </c>
      <c r="L111" s="25">
        <v>6.5209999999999994E-5</v>
      </c>
      <c r="M111" s="25">
        <v>4.8239999999999999E-6</v>
      </c>
      <c r="N111" s="25">
        <v>1.098E-5</v>
      </c>
    </row>
    <row r="112" spans="2:14" x14ac:dyDescent="0.25">
      <c r="B112" s="22">
        <v>259</v>
      </c>
      <c r="C112" s="22" t="s">
        <v>46</v>
      </c>
      <c r="D112" s="22"/>
      <c r="E112" s="22">
        <v>1</v>
      </c>
      <c r="F112" s="22">
        <v>9.6650000000000014E-2</v>
      </c>
      <c r="G112" s="25">
        <v>2.128E-5</v>
      </c>
      <c r="H112" s="25">
        <v>4.048E-6</v>
      </c>
      <c r="I112" s="25">
        <v>1.3360000000000001</v>
      </c>
      <c r="J112" s="25">
        <v>3.6330000000000001E-2</v>
      </c>
      <c r="K112" s="25">
        <v>1.7649999999999999</v>
      </c>
      <c r="L112" s="25">
        <v>2.7789999999999997E-5</v>
      </c>
      <c r="M112" s="25">
        <v>5.3469999999999998E-6</v>
      </c>
      <c r="N112" s="25">
        <v>1.2439999999999999E-5</v>
      </c>
    </row>
    <row r="113" spans="2:14" x14ac:dyDescent="0.25">
      <c r="B113" s="22">
        <v>260</v>
      </c>
      <c r="C113" s="22" t="s">
        <v>46</v>
      </c>
      <c r="D113" s="22"/>
      <c r="E113" s="22">
        <v>1</v>
      </c>
      <c r="F113" s="22">
        <v>0.3745</v>
      </c>
      <c r="G113" s="25">
        <v>2.107E-5</v>
      </c>
      <c r="H113" s="25">
        <v>1.9109999999999998E-5</v>
      </c>
      <c r="I113" s="25">
        <v>1.4370000000000001</v>
      </c>
      <c r="J113" s="25">
        <v>3.8159999999999999E-2</v>
      </c>
      <c r="K113" s="25">
        <v>1.879</v>
      </c>
      <c r="L113" s="25">
        <v>8.3440000000000001E-5</v>
      </c>
      <c r="M113" s="25">
        <v>7.0279999999999995E-6</v>
      </c>
      <c r="N113" s="25">
        <v>1.384E-5</v>
      </c>
    </row>
    <row r="114" spans="2:14" x14ac:dyDescent="0.25">
      <c r="B114" s="22">
        <v>261</v>
      </c>
      <c r="C114" s="22" t="s">
        <v>46</v>
      </c>
      <c r="D114" s="22"/>
      <c r="E114" s="22">
        <v>1</v>
      </c>
      <c r="F114" s="22">
        <v>0.40080000000000005</v>
      </c>
      <c r="G114" s="25">
        <v>1.63E-5</v>
      </c>
      <c r="H114" s="25">
        <v>1.0720000000000001E-5</v>
      </c>
      <c r="I114" s="25">
        <v>1.345</v>
      </c>
      <c r="J114" s="25">
        <v>3.6940000000000001E-2</v>
      </c>
      <c r="K114" s="25">
        <v>1.7549999999999999</v>
      </c>
      <c r="L114" s="25">
        <v>4.7439999999999993E-5</v>
      </c>
      <c r="M114" s="25">
        <v>4.5619999999999997E-6</v>
      </c>
      <c r="N114" s="25">
        <v>9.9899999999999992E-6</v>
      </c>
    </row>
    <row r="115" spans="2:14" x14ac:dyDescent="0.25">
      <c r="B115" s="22">
        <v>266</v>
      </c>
      <c r="C115" s="22" t="s">
        <v>46</v>
      </c>
      <c r="D115" s="22"/>
      <c r="E115" s="22">
        <v>1</v>
      </c>
      <c r="F115" s="22">
        <v>9.509999999999999E-2</v>
      </c>
      <c r="G115" s="25">
        <v>1.349E-5</v>
      </c>
      <c r="H115" s="25">
        <v>1.401E-5</v>
      </c>
      <c r="I115" s="25">
        <v>1.3069999999999999</v>
      </c>
      <c r="J115" s="25">
        <v>3.7770000000000005E-2</v>
      </c>
      <c r="K115" s="25">
        <v>1.712</v>
      </c>
      <c r="L115" s="25">
        <v>5.3770000000000002E-5</v>
      </c>
      <c r="M115" s="25">
        <v>3.5969999999999996E-6</v>
      </c>
      <c r="N115" s="25">
        <v>8.4099999999999991E-6</v>
      </c>
    </row>
    <row r="116" spans="2:14" x14ac:dyDescent="0.25">
      <c r="B116" s="22">
        <v>268</v>
      </c>
      <c r="C116" s="22" t="s">
        <v>46</v>
      </c>
      <c r="D116" s="22"/>
      <c r="E116" s="22">
        <v>1</v>
      </c>
      <c r="F116" s="22">
        <v>0.39360000000000001</v>
      </c>
      <c r="G116" s="25">
        <v>3.3909999999999992E-5</v>
      </c>
      <c r="H116" s="25">
        <v>5.7869999999999998E-6</v>
      </c>
      <c r="I116" s="25">
        <v>1.409</v>
      </c>
      <c r="J116" s="25">
        <v>3.6770000000000004E-2</v>
      </c>
      <c r="K116" s="25">
        <v>1.875</v>
      </c>
      <c r="L116" s="25">
        <v>4.0819999999999999E-5</v>
      </c>
      <c r="M116" s="25">
        <v>9.6829999999999986E-6</v>
      </c>
      <c r="N116" s="25">
        <v>2.1909999999999999E-5</v>
      </c>
    </row>
    <row r="117" spans="2:14" x14ac:dyDescent="0.25">
      <c r="B117" s="22">
        <v>271</v>
      </c>
      <c r="C117" s="22" t="s">
        <v>46</v>
      </c>
      <c r="D117" s="22"/>
      <c r="E117" s="22">
        <v>1</v>
      </c>
      <c r="F117" s="22">
        <v>0.3952</v>
      </c>
      <c r="G117" s="25">
        <v>1.1739999999999999E-5</v>
      </c>
      <c r="H117" s="25">
        <v>1.2649999999999999E-5</v>
      </c>
      <c r="I117" s="25">
        <v>1.3169999999999999</v>
      </c>
      <c r="J117" s="25">
        <v>3.7690000000000001E-2</v>
      </c>
      <c r="K117" s="25">
        <v>1.7230000000000001</v>
      </c>
      <c r="L117" s="25">
        <v>5.1369999999999998E-5</v>
      </c>
      <c r="M117" s="25">
        <v>3.8859999999999997E-6</v>
      </c>
      <c r="N117" s="25">
        <v>7.4959999999999999E-6</v>
      </c>
    </row>
    <row r="118" spans="2:14" x14ac:dyDescent="0.25">
      <c r="B118" s="22">
        <v>272</v>
      </c>
      <c r="C118" s="22" t="s">
        <v>46</v>
      </c>
      <c r="D118" s="22"/>
      <c r="E118" s="22">
        <v>1</v>
      </c>
      <c r="F118" s="22">
        <v>0.4002</v>
      </c>
      <c r="G118" s="25">
        <v>4.1139999999999996E-5</v>
      </c>
      <c r="H118" s="25">
        <v>5.1499999999999998E-6</v>
      </c>
      <c r="I118" s="25">
        <v>1.4390000000000001</v>
      </c>
      <c r="J118" s="25">
        <v>3.5450000000000002E-2</v>
      </c>
      <c r="K118" s="25">
        <v>1.915</v>
      </c>
      <c r="L118" s="25">
        <v>4.0159999999999995E-5</v>
      </c>
      <c r="M118" s="25">
        <v>1.182E-5</v>
      </c>
      <c r="N118" s="25">
        <v>2.5299999999999998E-5</v>
      </c>
    </row>
    <row r="119" spans="2:14" x14ac:dyDescent="0.25">
      <c r="B119" s="22">
        <v>273</v>
      </c>
      <c r="C119" s="22" t="s">
        <v>46</v>
      </c>
      <c r="D119" s="22"/>
      <c r="E119" s="22">
        <v>1</v>
      </c>
      <c r="F119" s="22">
        <v>9.5829999999999999E-2</v>
      </c>
      <c r="G119" s="25">
        <v>1.2829999999999999E-5</v>
      </c>
      <c r="H119" s="25">
        <v>5.1059999999999999E-6</v>
      </c>
      <c r="I119" s="25">
        <v>1.4059999999999999</v>
      </c>
      <c r="J119" s="25">
        <v>3.662E-2</v>
      </c>
      <c r="K119" s="25">
        <v>1.8680000000000001</v>
      </c>
      <c r="L119" s="25">
        <v>3.1640000000000002E-5</v>
      </c>
      <c r="M119" s="25">
        <v>4.1989999999999999E-6</v>
      </c>
      <c r="N119" s="25">
        <v>8.3309999999999987E-6</v>
      </c>
    </row>
    <row r="120" spans="2:14" x14ac:dyDescent="0.25">
      <c r="B120" s="22">
        <v>275</v>
      </c>
      <c r="C120" s="22" t="s">
        <v>46</v>
      </c>
      <c r="D120" s="22"/>
      <c r="E120" s="22">
        <v>1</v>
      </c>
      <c r="F120" s="22">
        <v>9.5040000000000013E-2</v>
      </c>
      <c r="G120" s="25">
        <v>1.5679999999999999E-5</v>
      </c>
      <c r="H120" s="25">
        <v>1.6229999999999999E-5</v>
      </c>
      <c r="I120" s="25">
        <v>1.365</v>
      </c>
      <c r="J120" s="25">
        <v>3.6650000000000002E-2</v>
      </c>
      <c r="K120" s="25">
        <v>1.7949999999999999</v>
      </c>
      <c r="L120" s="25">
        <v>7.0829999999999998E-5</v>
      </c>
      <c r="M120" s="25">
        <v>4.7439999999999998E-6</v>
      </c>
      <c r="N120" s="25">
        <v>1.0029999999999999E-5</v>
      </c>
    </row>
    <row r="121" spans="2:14" x14ac:dyDescent="0.25">
      <c r="B121" s="22">
        <v>276</v>
      </c>
      <c r="C121" s="22" t="s">
        <v>46</v>
      </c>
      <c r="D121" s="22"/>
      <c r="E121" s="22">
        <v>1</v>
      </c>
      <c r="F121" s="22">
        <v>9.8180000000000003E-2</v>
      </c>
      <c r="G121" s="25">
        <v>1.26E-5</v>
      </c>
      <c r="H121" s="25">
        <v>1.607E-5</v>
      </c>
      <c r="I121" s="25">
        <v>1.3360000000000001</v>
      </c>
      <c r="J121" s="25">
        <v>3.9609999999999999E-2</v>
      </c>
      <c r="K121" s="25">
        <v>1.75</v>
      </c>
      <c r="L121" s="25">
        <v>6.8169999999999993E-5</v>
      </c>
      <c r="M121" s="25">
        <v>4.0319999999999997E-6</v>
      </c>
      <c r="N121" s="25">
        <v>7.9549999999999992E-6</v>
      </c>
    </row>
    <row r="122" spans="2:14" x14ac:dyDescent="0.25">
      <c r="B122" s="22">
        <v>278</v>
      </c>
      <c r="C122" s="22" t="s">
        <v>46</v>
      </c>
      <c r="D122" s="22"/>
      <c r="E122" s="22">
        <v>1</v>
      </c>
      <c r="F122" s="22">
        <v>0.3947</v>
      </c>
      <c r="G122" s="25">
        <v>1.066E-5</v>
      </c>
      <c r="H122" s="25">
        <v>4.0350000000000003E-6</v>
      </c>
      <c r="I122" s="25">
        <v>1.4139999999999999</v>
      </c>
      <c r="J122" s="25">
        <v>3.61E-2</v>
      </c>
      <c r="K122" s="25">
        <v>1.87</v>
      </c>
      <c r="L122" s="25">
        <v>2.7479999999999998E-5</v>
      </c>
      <c r="M122" s="25">
        <v>3.45E-6</v>
      </c>
      <c r="N122" s="25">
        <v>8.6919999999999991E-6</v>
      </c>
    </row>
    <row r="123" spans="2:14" x14ac:dyDescent="0.25">
      <c r="B123" s="22">
        <v>279</v>
      </c>
      <c r="C123" s="22" t="s">
        <v>46</v>
      </c>
      <c r="D123" s="22"/>
      <c r="E123" s="22">
        <v>1</v>
      </c>
      <c r="F123" s="22">
        <v>9.9530000000000007E-2</v>
      </c>
      <c r="G123" s="25">
        <v>1.5029999999999998E-5</v>
      </c>
      <c r="H123" s="25">
        <v>3.1410000000000001E-6</v>
      </c>
      <c r="I123" s="25">
        <v>1.4279999999999999</v>
      </c>
      <c r="J123" s="25">
        <v>3.6790000000000003E-2</v>
      </c>
      <c r="K123" s="25">
        <v>1.871</v>
      </c>
      <c r="L123" s="25">
        <v>2.3749999999999998E-5</v>
      </c>
      <c r="M123" s="25">
        <v>3.5879999999999998E-6</v>
      </c>
      <c r="N123" s="25">
        <v>8.2499999999999989E-6</v>
      </c>
    </row>
    <row r="124" spans="2:14" x14ac:dyDescent="0.25">
      <c r="B124" s="22">
        <v>282</v>
      </c>
      <c r="C124" s="22" t="s">
        <v>46</v>
      </c>
      <c r="D124" s="22"/>
      <c r="E124" s="22">
        <v>1</v>
      </c>
      <c r="F124" s="22">
        <v>0.3417</v>
      </c>
      <c r="G124" s="25">
        <v>3.6159999999999993E-5</v>
      </c>
      <c r="H124" s="25">
        <v>1.26E-5</v>
      </c>
      <c r="I124" s="25">
        <v>1.5620000000000001</v>
      </c>
      <c r="J124" s="25">
        <v>3.9979999999999995E-2</v>
      </c>
      <c r="K124" s="25">
        <v>2.0249999999999999</v>
      </c>
      <c r="L124" s="25">
        <v>6.2290000000000002E-5</v>
      </c>
      <c r="M124" s="25">
        <v>1.024E-5</v>
      </c>
      <c r="N124" s="25">
        <v>2.2710000000000001E-5</v>
      </c>
    </row>
    <row r="125" spans="2:14" x14ac:dyDescent="0.25">
      <c r="B125" s="22">
        <v>285</v>
      </c>
      <c r="C125" s="22" t="s">
        <v>46</v>
      </c>
      <c r="D125" s="22"/>
      <c r="E125" s="22">
        <v>1</v>
      </c>
      <c r="F125" s="22">
        <v>0.38360000000000005</v>
      </c>
      <c r="G125" s="25">
        <v>2.459E-5</v>
      </c>
      <c r="H125" s="25">
        <v>1.948E-5</v>
      </c>
      <c r="I125" s="25">
        <v>1.403</v>
      </c>
      <c r="J125" s="25">
        <v>3.7940000000000002E-2</v>
      </c>
      <c r="K125" s="25">
        <v>1.835</v>
      </c>
      <c r="L125" s="25">
        <v>8.0129999999999993E-5</v>
      </c>
      <c r="M125" s="25">
        <v>6.7179999999999999E-6</v>
      </c>
      <c r="N125" s="25">
        <v>1.4569999999999999E-5</v>
      </c>
    </row>
    <row r="126" spans="2:14" x14ac:dyDescent="0.25">
      <c r="B126" s="22">
        <v>289</v>
      </c>
      <c r="C126" s="22" t="s">
        <v>46</v>
      </c>
      <c r="D126" s="22"/>
      <c r="E126" s="22">
        <v>1</v>
      </c>
      <c r="F126" s="22">
        <v>0.37980000000000003</v>
      </c>
      <c r="G126" s="25">
        <v>1.7879999999999998E-5</v>
      </c>
      <c r="H126" s="25">
        <v>1.3560000000000001E-5</v>
      </c>
      <c r="I126" s="25">
        <v>1.395</v>
      </c>
      <c r="J126" s="25">
        <v>3.866E-2</v>
      </c>
      <c r="K126" s="25">
        <v>1.83</v>
      </c>
      <c r="L126" s="25">
        <v>6.3719999999999993E-5</v>
      </c>
      <c r="M126" s="25">
        <v>4.8860000000000003E-6</v>
      </c>
      <c r="N126" s="25">
        <v>1.0939999999999999E-5</v>
      </c>
    </row>
  </sheetData>
  <sheetProtection algorithmName="SHA-512" hashValue="9W9Eyc7qryWJeLOFUqU783Cy5zyBgAEQHI4XArL0+Rmj71fQflUdjNFftnpYyeThFlg6UdO7eSg1WzGlwo0dCQ==" saltValue="jKSIIz2pODetffHGo3dT0Q==" spinCount="100000" sheet="1" objects="1" scenarios="1" sort="0" autoFilter="0"/>
  <autoFilter ref="A10:N126" xr:uid="{0DA33182-8227-4C3D-BA16-E6C8D60870B4}"/>
  <mergeCells count="13">
    <mergeCell ref="A3:B3"/>
    <mergeCell ref="C3:D3"/>
    <mergeCell ref="E3:F3"/>
    <mergeCell ref="H3:N3"/>
    <mergeCell ref="A4:G4"/>
    <mergeCell ref="H4:N4"/>
    <mergeCell ref="A1:F1"/>
    <mergeCell ref="K1:L1"/>
    <mergeCell ref="M1:N1"/>
    <mergeCell ref="A2:B2"/>
    <mergeCell ref="C2:D2"/>
    <mergeCell ref="E2:F2"/>
    <mergeCell ref="H2:N2"/>
  </mergeCells>
  <conditionalFormatting sqref="A11:A58">
    <cfRule type="duplicateValues" dxfId="33" priority="11"/>
  </conditionalFormatting>
  <conditionalFormatting sqref="A3:G3">
    <cfRule type="cellIs" dxfId="32" priority="1" operator="equal">
      <formula>0</formula>
    </cfRule>
  </conditionalFormatting>
  <conditionalFormatting sqref="B10">
    <cfRule type="cellIs" dxfId="31" priority="10" operator="equal">
      <formula>"All Pass"</formula>
    </cfRule>
  </conditionalFormatting>
  <conditionalFormatting sqref="B11:B58">
    <cfRule type="duplicateValues" dxfId="30" priority="12"/>
  </conditionalFormatting>
  <conditionalFormatting sqref="C11:C1562">
    <cfRule type="containsBlanks" dxfId="29" priority="6">
      <formula>LEN(TRIM(C11))=0</formula>
    </cfRule>
    <cfRule type="cellIs" dxfId="28" priority="7" operator="equal">
      <formula>"ALL PASS"</formula>
    </cfRule>
    <cfRule type="cellIs" dxfId="27" priority="8" stopIfTrue="1" operator="equal">
      <formula>"ND"</formula>
    </cfRule>
    <cfRule type="cellIs" dxfId="26" priority="9" operator="notEqual">
      <formula>"ALL PASS"</formula>
    </cfRule>
  </conditionalFormatting>
  <conditionalFormatting sqref="E11:E1562">
    <cfRule type="cellIs" dxfId="25" priority="3" stopIfTrue="1" operator="equal">
      <formula>99</formula>
    </cfRule>
    <cfRule type="cellIs" dxfId="24" priority="4" operator="between">
      <formula>2</formula>
      <formula>98</formula>
    </cfRule>
    <cfRule type="cellIs" dxfId="23" priority="5" operator="equal">
      <formula>1</formula>
    </cfRule>
  </conditionalFormatting>
  <hyperlinks>
    <hyperlink ref="H1" location="INDEX!A1" display="RETURN TO INDEX" xr:uid="{4C774EFB-FB72-49E2-A39C-344775C28D25}"/>
    <hyperlink ref="H1:I1" location="INDEX!A1" display="RETURN TO INDEX" xr:uid="{0781EE27-A313-426C-89BF-FFF87E2654DB}"/>
    <hyperlink ref="M1" location="'SCREENING STATUS'!A1" display="SCREENING STATUS" xr:uid="{1EB41D15-7B99-49FF-AEB4-5F267DD258BB}"/>
    <hyperlink ref="J1" location="SUMMARY!A1" display="SUMMARY" xr:uid="{BEBEC3FD-DF0C-469D-87E2-7A8B84E5D8AC}"/>
    <hyperlink ref="K1" location="'SCREENING STATUS'!A1" display="SCREENING STATUS" xr:uid="{9D500A9E-3269-400D-839A-6707BBF128E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BCF0-7BAD-4EF7-9EAD-C7106EE8305E}">
  <sheetPr>
    <tabColor theme="4" tint="-0.249977111117893"/>
  </sheetPr>
  <dimension ref="A1:H129"/>
  <sheetViews>
    <sheetView zoomScale="95" zoomScaleNormal="95" workbookViewId="0">
      <pane xSplit="3" ySplit="13" topLeftCell="D14" activePane="bottomRight" state="frozen"/>
      <selection activeCell="D250" sqref="D250"/>
      <selection pane="topRight" activeCell="D250" sqref="D250"/>
      <selection pane="bottomLeft" activeCell="D250" sqref="D250"/>
      <selection pane="bottomRight" activeCell="D14" sqref="D14"/>
    </sheetView>
  </sheetViews>
  <sheetFormatPr defaultColWidth="0" defaultRowHeight="15" customHeight="1" zeroHeight="1" x14ac:dyDescent="0.25"/>
  <cols>
    <col min="1" max="1" width="18.85546875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7" width="18.85546875" customWidth="1"/>
    <col min="8" max="8" width="30.42578125" customWidth="1"/>
  </cols>
  <sheetData>
    <row r="1" spans="1:8" ht="24" x14ac:dyDescent="0.25">
      <c r="A1" s="74" t="s">
        <v>47</v>
      </c>
      <c r="B1" s="74"/>
      <c r="C1" s="74"/>
      <c r="D1" s="85" t="s">
        <v>1</v>
      </c>
      <c r="E1" s="85"/>
      <c r="F1" s="85"/>
      <c r="G1" s="85"/>
      <c r="H1" s="3" t="s">
        <v>2</v>
      </c>
    </row>
    <row r="2" spans="1:8" ht="15.75" x14ac:dyDescent="0.25">
      <c r="A2" s="76" t="s">
        <v>98</v>
      </c>
      <c r="B2" s="76"/>
      <c r="C2" s="76" t="s">
        <v>99</v>
      </c>
      <c r="D2" s="76"/>
      <c r="E2" s="76" t="s">
        <v>100</v>
      </c>
      <c r="F2" s="76"/>
      <c r="G2" s="7" t="s">
        <v>101</v>
      </c>
      <c r="H2" s="7"/>
    </row>
    <row r="3" spans="1:8" ht="23.25" customHeight="1" x14ac:dyDescent="0.25">
      <c r="A3" s="76" t="s">
        <v>97</v>
      </c>
      <c r="B3" s="76"/>
      <c r="C3" s="76" t="s">
        <v>97</v>
      </c>
      <c r="D3" s="76"/>
      <c r="E3" s="86"/>
      <c r="F3" s="86"/>
      <c r="G3" s="36">
        <v>2351</v>
      </c>
      <c r="H3" s="7"/>
    </row>
    <row r="4" spans="1:8" ht="24" x14ac:dyDescent="0.25">
      <c r="A4" s="81" t="s">
        <v>63</v>
      </c>
      <c r="B4" s="82"/>
      <c r="C4" s="82"/>
      <c r="D4" s="82"/>
      <c r="E4" s="82"/>
      <c r="F4" s="82"/>
      <c r="G4" s="82"/>
      <c r="H4" s="82"/>
    </row>
    <row r="5" spans="1:8" ht="24" x14ac:dyDescent="0.25">
      <c r="A5" s="77" t="s">
        <v>64</v>
      </c>
      <c r="B5" s="78"/>
      <c r="C5" s="78"/>
      <c r="D5" s="78"/>
      <c r="E5" s="78"/>
      <c r="F5" s="78"/>
      <c r="G5" s="78"/>
      <c r="H5" s="78"/>
    </row>
    <row r="6" spans="1:8" ht="24" x14ac:dyDescent="0.25">
      <c r="A6" s="77" t="s">
        <v>8</v>
      </c>
      <c r="B6" s="78"/>
      <c r="C6" s="78"/>
      <c r="D6" s="78"/>
      <c r="E6" s="78"/>
      <c r="F6" s="78"/>
      <c r="G6" s="78"/>
      <c r="H6" s="78"/>
    </row>
    <row r="7" spans="1:8" ht="24" x14ac:dyDescent="0.4">
      <c r="A7" s="83" t="str">
        <f>IF($B$8=$B$9,"PASS","FAIL")</f>
        <v>PASS</v>
      </c>
      <c r="B7" s="84"/>
      <c r="C7" s="84"/>
      <c r="D7" s="84"/>
      <c r="E7" s="84"/>
      <c r="F7" s="84"/>
      <c r="G7" s="84"/>
      <c r="H7" s="84"/>
    </row>
    <row r="8" spans="1:8" x14ac:dyDescent="0.25">
      <c r="A8" s="8" t="s">
        <v>9</v>
      </c>
      <c r="B8" s="9">
        <f>COUNTA(C$14:C$2000)-COUNTIF(C14:C$2000,"ND")</f>
        <v>116</v>
      </c>
      <c r="C8" s="10"/>
      <c r="D8" s="11"/>
      <c r="E8" s="11"/>
      <c r="F8" s="12"/>
      <c r="G8" s="12"/>
      <c r="H8" s="13"/>
    </row>
    <row r="9" spans="1:8" x14ac:dyDescent="0.25">
      <c r="A9" s="14" t="s">
        <v>10</v>
      </c>
      <c r="B9" s="15">
        <f>COUNTIF(C14:C$2000,"All Pass")</f>
        <v>116</v>
      </c>
      <c r="C9" s="16"/>
      <c r="D9" s="16"/>
      <c r="E9" s="16"/>
      <c r="F9" s="17" t="s">
        <v>11</v>
      </c>
      <c r="G9" s="17" t="s">
        <v>65</v>
      </c>
      <c r="H9" s="18" t="s">
        <v>66</v>
      </c>
    </row>
    <row r="10" spans="1:8" x14ac:dyDescent="0.25">
      <c r="A10" s="14" t="s">
        <v>20</v>
      </c>
      <c r="B10" s="15">
        <f>COUNTIF(C14:C$2000,"ND")</f>
        <v>0</v>
      </c>
      <c r="C10" s="16"/>
      <c r="D10" s="16"/>
      <c r="E10" s="16"/>
      <c r="F10" s="17" t="s">
        <v>21</v>
      </c>
      <c r="G10" s="17" t="s">
        <v>67</v>
      </c>
      <c r="H10" s="18" t="s">
        <v>68</v>
      </c>
    </row>
    <row r="11" spans="1:8" x14ac:dyDescent="0.25">
      <c r="A11" s="14" t="s">
        <v>29</v>
      </c>
      <c r="B11" s="15">
        <f>B8-B9</f>
        <v>0</v>
      </c>
      <c r="C11" s="16"/>
      <c r="D11" s="16"/>
      <c r="E11" s="16"/>
      <c r="F11" s="17" t="s">
        <v>30</v>
      </c>
      <c r="G11" s="17" t="s">
        <v>69</v>
      </c>
      <c r="H11" s="18" t="s">
        <v>70</v>
      </c>
    </row>
    <row r="12" spans="1:8" x14ac:dyDescent="0.25">
      <c r="A12" s="16" t="s">
        <v>39</v>
      </c>
      <c r="B12" s="16" t="s">
        <v>40</v>
      </c>
      <c r="C12" s="16" t="s">
        <v>41</v>
      </c>
      <c r="D12" s="16" t="s">
        <v>42</v>
      </c>
      <c r="E12" s="16" t="s">
        <v>43</v>
      </c>
      <c r="F12" s="17" t="s">
        <v>44</v>
      </c>
      <c r="G12" s="17"/>
      <c r="H12" s="19"/>
    </row>
    <row r="13" spans="1:8" x14ac:dyDescent="0.25">
      <c r="A13" s="27"/>
      <c r="B13" s="28"/>
      <c r="C13" s="29"/>
      <c r="D13" s="29"/>
      <c r="E13" s="30"/>
      <c r="F13" s="31"/>
      <c r="G13" s="32"/>
      <c r="H13" s="33"/>
    </row>
    <row r="14" spans="1:8" x14ac:dyDescent="0.25">
      <c r="B14" s="22">
        <v>8</v>
      </c>
      <c r="C14" s="22" t="s">
        <v>46</v>
      </c>
      <c r="D14" s="22"/>
      <c r="E14" s="22">
        <v>1</v>
      </c>
      <c r="F14" s="22">
        <v>0.8619</v>
      </c>
      <c r="G14" s="25">
        <v>1.6319999999999999</v>
      </c>
      <c r="H14" s="25">
        <v>1.6319999999999999</v>
      </c>
    </row>
    <row r="15" spans="1:8" x14ac:dyDescent="0.25">
      <c r="B15" s="22">
        <v>9</v>
      </c>
      <c r="C15" s="22" t="s">
        <v>46</v>
      </c>
      <c r="D15" s="22"/>
      <c r="E15" s="22">
        <v>1</v>
      </c>
      <c r="F15" s="22">
        <v>0.84799999999999998</v>
      </c>
      <c r="G15" s="25">
        <v>1.4830000000000001</v>
      </c>
      <c r="H15" s="25">
        <v>1.4830000000000001</v>
      </c>
    </row>
    <row r="16" spans="1:8" x14ac:dyDescent="0.25">
      <c r="B16" s="22">
        <v>15</v>
      </c>
      <c r="C16" s="22" t="s">
        <v>46</v>
      </c>
      <c r="D16" s="22"/>
      <c r="E16" s="22">
        <v>1</v>
      </c>
      <c r="F16" s="22">
        <v>0.86129999999999995</v>
      </c>
      <c r="G16" s="25">
        <v>1.5780000000000001</v>
      </c>
      <c r="H16" s="25">
        <v>1.5780000000000001</v>
      </c>
    </row>
    <row r="17" spans="2:8" x14ac:dyDescent="0.25">
      <c r="B17" s="22">
        <v>16</v>
      </c>
      <c r="C17" s="22" t="s">
        <v>46</v>
      </c>
      <c r="D17" s="22"/>
      <c r="E17" s="22">
        <v>1</v>
      </c>
      <c r="F17" s="22">
        <v>0.90520000000000012</v>
      </c>
      <c r="G17" s="25">
        <v>1.4219999999999999</v>
      </c>
      <c r="H17" s="25">
        <v>1.4219999999999999</v>
      </c>
    </row>
    <row r="18" spans="2:8" x14ac:dyDescent="0.25">
      <c r="B18" s="22">
        <v>34</v>
      </c>
      <c r="C18" s="22" t="s">
        <v>46</v>
      </c>
      <c r="D18" s="22"/>
      <c r="E18" s="22">
        <v>1</v>
      </c>
      <c r="F18" s="22">
        <v>0.91260000000000008</v>
      </c>
      <c r="G18" s="25">
        <v>1.444</v>
      </c>
      <c r="H18" s="25">
        <v>1.444</v>
      </c>
    </row>
    <row r="19" spans="2:8" x14ac:dyDescent="0.25">
      <c r="B19" s="22">
        <v>40</v>
      </c>
      <c r="C19" s="22" t="s">
        <v>46</v>
      </c>
      <c r="D19" s="22"/>
      <c r="E19" s="22">
        <v>1</v>
      </c>
      <c r="F19" s="22">
        <v>0.89990000000000003</v>
      </c>
      <c r="G19" s="25">
        <v>1.4419999999999999</v>
      </c>
      <c r="H19" s="25">
        <v>1.4419999999999999</v>
      </c>
    </row>
    <row r="20" spans="2:8" x14ac:dyDescent="0.25">
      <c r="B20" s="22">
        <v>44</v>
      </c>
      <c r="C20" s="22" t="s">
        <v>46</v>
      </c>
      <c r="D20" s="22"/>
      <c r="E20" s="22">
        <v>1</v>
      </c>
      <c r="F20" s="22">
        <v>0.84060000000000001</v>
      </c>
      <c r="G20" s="25">
        <v>1.55</v>
      </c>
      <c r="H20" s="25">
        <v>1.55</v>
      </c>
    </row>
    <row r="21" spans="2:8" x14ac:dyDescent="0.25">
      <c r="B21" s="22">
        <v>49</v>
      </c>
      <c r="C21" s="22" t="s">
        <v>46</v>
      </c>
      <c r="D21" s="22"/>
      <c r="E21" s="22">
        <v>1</v>
      </c>
      <c r="F21" s="22">
        <v>0.91320000000000001</v>
      </c>
      <c r="G21" s="25">
        <v>1.5109999999999999</v>
      </c>
      <c r="H21" s="25">
        <v>1.5109999999999999</v>
      </c>
    </row>
    <row r="22" spans="2:8" x14ac:dyDescent="0.25">
      <c r="B22" s="22">
        <v>51</v>
      </c>
      <c r="C22" s="22" t="s">
        <v>46</v>
      </c>
      <c r="D22" s="22"/>
      <c r="E22" s="22">
        <v>1</v>
      </c>
      <c r="F22" s="22">
        <v>0.81170000000000009</v>
      </c>
      <c r="G22" s="25">
        <v>1.6240000000000001</v>
      </c>
      <c r="H22" s="25">
        <v>1.6240000000000001</v>
      </c>
    </row>
    <row r="23" spans="2:8" x14ac:dyDescent="0.25">
      <c r="B23" s="22">
        <v>58</v>
      </c>
      <c r="C23" s="22" t="s">
        <v>46</v>
      </c>
      <c r="D23" s="22"/>
      <c r="E23" s="22">
        <v>1</v>
      </c>
      <c r="F23" s="22">
        <v>0.85799999999999998</v>
      </c>
      <c r="G23" s="25">
        <v>1.4410000000000001</v>
      </c>
      <c r="H23" s="25">
        <v>1.4410000000000001</v>
      </c>
    </row>
    <row r="24" spans="2:8" x14ac:dyDescent="0.25">
      <c r="B24" s="22">
        <v>61</v>
      </c>
      <c r="C24" s="22" t="s">
        <v>46</v>
      </c>
      <c r="D24" s="22"/>
      <c r="E24" s="22">
        <v>1</v>
      </c>
      <c r="F24" s="22">
        <v>0.88460000000000005</v>
      </c>
      <c r="G24" s="25">
        <v>1.516</v>
      </c>
      <c r="H24" s="25">
        <v>1.516</v>
      </c>
    </row>
    <row r="25" spans="2:8" x14ac:dyDescent="0.25">
      <c r="B25" s="22">
        <v>62</v>
      </c>
      <c r="C25" s="22" t="s">
        <v>46</v>
      </c>
      <c r="D25" s="22"/>
      <c r="E25" s="22">
        <v>1</v>
      </c>
      <c r="F25" s="22">
        <v>0.83589999999999998</v>
      </c>
      <c r="G25" s="25">
        <v>1.724</v>
      </c>
      <c r="H25" s="25">
        <v>1.724</v>
      </c>
    </row>
    <row r="26" spans="2:8" x14ac:dyDescent="0.25">
      <c r="B26" s="22">
        <v>63</v>
      </c>
      <c r="C26" s="22" t="s">
        <v>46</v>
      </c>
      <c r="D26" s="22"/>
      <c r="E26" s="22">
        <v>1</v>
      </c>
      <c r="F26" s="22">
        <v>0.88279999999999992</v>
      </c>
      <c r="G26" s="25">
        <v>1.514</v>
      </c>
      <c r="H26" s="25">
        <v>1.514</v>
      </c>
    </row>
    <row r="27" spans="2:8" x14ac:dyDescent="0.25">
      <c r="B27" s="22">
        <v>65</v>
      </c>
      <c r="C27" s="22" t="s">
        <v>46</v>
      </c>
      <c r="D27" s="22"/>
      <c r="E27" s="22">
        <v>1</v>
      </c>
      <c r="F27" s="22">
        <v>0.79989999999999994</v>
      </c>
      <c r="G27" s="25">
        <v>1.67</v>
      </c>
      <c r="H27" s="25">
        <v>1.67</v>
      </c>
    </row>
    <row r="28" spans="2:8" x14ac:dyDescent="0.25">
      <c r="B28" s="22">
        <v>66</v>
      </c>
      <c r="C28" s="22" t="s">
        <v>46</v>
      </c>
      <c r="D28" s="22"/>
      <c r="E28" s="22">
        <v>1</v>
      </c>
      <c r="F28" s="22">
        <v>0.90660000000000007</v>
      </c>
      <c r="G28" s="25">
        <v>1.452</v>
      </c>
      <c r="H28" s="25">
        <v>1.452</v>
      </c>
    </row>
    <row r="29" spans="2:8" x14ac:dyDescent="0.25">
      <c r="B29" s="22">
        <v>67</v>
      </c>
      <c r="C29" s="22" t="s">
        <v>46</v>
      </c>
      <c r="D29" s="22"/>
      <c r="E29" s="22">
        <v>1</v>
      </c>
      <c r="F29" s="22">
        <v>0.82579999999999998</v>
      </c>
      <c r="G29" s="25">
        <v>1.71</v>
      </c>
      <c r="H29" s="25">
        <v>1.71</v>
      </c>
    </row>
    <row r="30" spans="2:8" x14ac:dyDescent="0.25">
      <c r="B30" s="22">
        <v>68</v>
      </c>
      <c r="C30" s="22" t="s">
        <v>46</v>
      </c>
      <c r="D30" s="22"/>
      <c r="E30" s="22">
        <v>1</v>
      </c>
      <c r="F30" s="22">
        <v>0.87790000000000001</v>
      </c>
      <c r="G30" s="25">
        <v>1.5449999999999999</v>
      </c>
      <c r="H30" s="25">
        <v>1.5449999999999999</v>
      </c>
    </row>
    <row r="31" spans="2:8" x14ac:dyDescent="0.25">
      <c r="B31" s="22">
        <v>70</v>
      </c>
      <c r="C31" s="22" t="s">
        <v>46</v>
      </c>
      <c r="D31" s="22"/>
      <c r="E31" s="22">
        <v>1</v>
      </c>
      <c r="F31" s="22">
        <v>0.94030000000000002</v>
      </c>
      <c r="G31" s="25">
        <v>1.4159999999999999</v>
      </c>
      <c r="H31" s="25">
        <v>1.4159999999999999</v>
      </c>
    </row>
    <row r="32" spans="2:8" x14ac:dyDescent="0.25">
      <c r="B32" s="22">
        <v>74</v>
      </c>
      <c r="C32" s="22" t="s">
        <v>46</v>
      </c>
      <c r="D32" s="22"/>
      <c r="E32" s="22">
        <v>1</v>
      </c>
      <c r="F32" s="22">
        <v>0.8538</v>
      </c>
      <c r="G32" s="25">
        <v>1.575</v>
      </c>
      <c r="H32" s="25">
        <v>1.575</v>
      </c>
    </row>
    <row r="33" spans="2:8" x14ac:dyDescent="0.25">
      <c r="B33" s="22">
        <v>77</v>
      </c>
      <c r="C33" s="22" t="s">
        <v>46</v>
      </c>
      <c r="D33" s="22"/>
      <c r="E33" s="22">
        <v>1</v>
      </c>
      <c r="F33" s="22">
        <v>0.85429999999999995</v>
      </c>
      <c r="G33" s="25">
        <v>1.6559999999999999</v>
      </c>
      <c r="H33" s="25">
        <v>1.6559999999999999</v>
      </c>
    </row>
    <row r="34" spans="2:8" x14ac:dyDescent="0.25">
      <c r="B34" s="22">
        <v>79</v>
      </c>
      <c r="C34" s="22" t="s">
        <v>46</v>
      </c>
      <c r="D34" s="22"/>
      <c r="E34" s="22">
        <v>1</v>
      </c>
      <c r="F34" s="22">
        <v>0.89050000000000007</v>
      </c>
      <c r="G34" s="25">
        <v>1.5329999999999999</v>
      </c>
      <c r="H34" s="25">
        <v>1.5329999999999999</v>
      </c>
    </row>
    <row r="35" spans="2:8" x14ac:dyDescent="0.25">
      <c r="B35" s="22">
        <v>82</v>
      </c>
      <c r="C35" s="22" t="s">
        <v>46</v>
      </c>
      <c r="D35" s="22"/>
      <c r="E35" s="22">
        <v>1</v>
      </c>
      <c r="F35" s="22">
        <v>0.85580000000000001</v>
      </c>
      <c r="G35" s="25">
        <v>1.486</v>
      </c>
      <c r="H35" s="25">
        <v>1.486</v>
      </c>
    </row>
    <row r="36" spans="2:8" x14ac:dyDescent="0.25">
      <c r="B36" s="22">
        <v>85</v>
      </c>
      <c r="C36" s="22" t="s">
        <v>46</v>
      </c>
      <c r="D36" s="22"/>
      <c r="E36" s="22">
        <v>1</v>
      </c>
      <c r="F36" s="22">
        <v>0.82620000000000005</v>
      </c>
      <c r="G36" s="25">
        <v>1.5740000000000001</v>
      </c>
      <c r="H36" s="25">
        <v>1.5740000000000001</v>
      </c>
    </row>
    <row r="37" spans="2:8" x14ac:dyDescent="0.25">
      <c r="B37" s="22">
        <v>87</v>
      </c>
      <c r="C37" s="22" t="s">
        <v>46</v>
      </c>
      <c r="D37" s="22"/>
      <c r="E37" s="22">
        <v>1</v>
      </c>
      <c r="F37" s="22">
        <v>0.8892000000000001</v>
      </c>
      <c r="G37" s="25">
        <v>1.458</v>
      </c>
      <c r="H37" s="25">
        <v>1.458</v>
      </c>
    </row>
    <row r="38" spans="2:8" x14ac:dyDescent="0.25">
      <c r="B38" s="22">
        <v>89</v>
      </c>
      <c r="C38" s="22" t="s">
        <v>46</v>
      </c>
      <c r="D38" s="22"/>
      <c r="E38" s="22">
        <v>1</v>
      </c>
      <c r="F38" s="22">
        <v>0.86870000000000003</v>
      </c>
      <c r="G38" s="25">
        <v>1.4970000000000001</v>
      </c>
      <c r="H38" s="25">
        <v>1.4970000000000001</v>
      </c>
    </row>
    <row r="39" spans="2:8" x14ac:dyDescent="0.25">
      <c r="B39" s="22">
        <v>90</v>
      </c>
      <c r="C39" s="22" t="s">
        <v>46</v>
      </c>
      <c r="D39" s="22"/>
      <c r="E39" s="22">
        <v>1</v>
      </c>
      <c r="F39" s="22">
        <v>0.83950000000000002</v>
      </c>
      <c r="G39" s="25">
        <v>1.593</v>
      </c>
      <c r="H39" s="25">
        <v>1.593</v>
      </c>
    </row>
    <row r="40" spans="2:8" x14ac:dyDescent="0.25">
      <c r="B40" s="22">
        <v>91</v>
      </c>
      <c r="C40" s="22" t="s">
        <v>46</v>
      </c>
      <c r="D40" s="22"/>
      <c r="E40" s="22">
        <v>1</v>
      </c>
      <c r="F40" s="22">
        <v>0.88180000000000003</v>
      </c>
      <c r="G40" s="25">
        <v>1.5409999999999999</v>
      </c>
      <c r="H40" s="25">
        <v>1.5409999999999999</v>
      </c>
    </row>
    <row r="41" spans="2:8" x14ac:dyDescent="0.25">
      <c r="B41" s="22">
        <v>92</v>
      </c>
      <c r="C41" s="22" t="s">
        <v>46</v>
      </c>
      <c r="D41" s="22"/>
      <c r="E41" s="22">
        <v>1</v>
      </c>
      <c r="F41" s="22">
        <v>0.86099999999999999</v>
      </c>
      <c r="G41" s="25">
        <v>1.464</v>
      </c>
      <c r="H41" s="25">
        <v>1.464</v>
      </c>
    </row>
    <row r="42" spans="2:8" x14ac:dyDescent="0.25">
      <c r="B42" s="22">
        <v>93</v>
      </c>
      <c r="C42" s="22" t="s">
        <v>46</v>
      </c>
      <c r="D42" s="22"/>
      <c r="E42" s="22">
        <v>1</v>
      </c>
      <c r="F42" s="22">
        <v>0.91920000000000002</v>
      </c>
      <c r="G42" s="25">
        <v>1.484</v>
      </c>
      <c r="H42" s="25">
        <v>1.484</v>
      </c>
    </row>
    <row r="43" spans="2:8" x14ac:dyDescent="0.25">
      <c r="B43" s="22">
        <v>97</v>
      </c>
      <c r="C43" s="22" t="s">
        <v>46</v>
      </c>
      <c r="D43" s="22"/>
      <c r="E43" s="22">
        <v>1</v>
      </c>
      <c r="F43" s="22">
        <v>0.88160000000000005</v>
      </c>
      <c r="G43" s="25">
        <v>1.506</v>
      </c>
      <c r="H43" s="25">
        <v>1.506</v>
      </c>
    </row>
    <row r="44" spans="2:8" x14ac:dyDescent="0.25">
      <c r="B44" s="22">
        <v>98</v>
      </c>
      <c r="C44" s="22" t="s">
        <v>46</v>
      </c>
      <c r="D44" s="22"/>
      <c r="E44" s="22">
        <v>1</v>
      </c>
      <c r="F44" s="22">
        <v>0.81420000000000003</v>
      </c>
      <c r="G44" s="25">
        <v>1.5289999999999999</v>
      </c>
      <c r="H44" s="25">
        <v>1.5289999999999999</v>
      </c>
    </row>
    <row r="45" spans="2:8" x14ac:dyDescent="0.25">
      <c r="B45" s="22">
        <v>102</v>
      </c>
      <c r="C45" s="22" t="s">
        <v>46</v>
      </c>
      <c r="D45" s="22"/>
      <c r="E45" s="22">
        <v>1</v>
      </c>
      <c r="F45" s="22">
        <v>0.85920000000000007</v>
      </c>
      <c r="G45" s="25">
        <v>1.5329999999999999</v>
      </c>
      <c r="H45" s="25">
        <v>1.5329999999999999</v>
      </c>
    </row>
    <row r="46" spans="2:8" x14ac:dyDescent="0.25">
      <c r="B46" s="22">
        <v>103</v>
      </c>
      <c r="C46" s="22" t="s">
        <v>46</v>
      </c>
      <c r="D46" s="22"/>
      <c r="E46" s="22">
        <v>1</v>
      </c>
      <c r="F46" s="22">
        <v>0.88250000000000006</v>
      </c>
      <c r="G46" s="25">
        <v>1.5009999999999999</v>
      </c>
      <c r="H46" s="25">
        <v>1.5009999999999999</v>
      </c>
    </row>
    <row r="47" spans="2:8" x14ac:dyDescent="0.25">
      <c r="B47" s="22">
        <v>105</v>
      </c>
      <c r="C47" s="22" t="s">
        <v>46</v>
      </c>
      <c r="D47" s="22"/>
      <c r="E47" s="22">
        <v>1</v>
      </c>
      <c r="F47" s="22">
        <v>0.8872000000000001</v>
      </c>
      <c r="G47" s="25">
        <v>1.456</v>
      </c>
      <c r="H47" s="25">
        <v>1.456</v>
      </c>
    </row>
    <row r="48" spans="2:8" x14ac:dyDescent="0.25">
      <c r="B48" s="22">
        <v>106</v>
      </c>
      <c r="C48" s="22" t="s">
        <v>46</v>
      </c>
      <c r="D48" s="22"/>
      <c r="E48" s="22">
        <v>1</v>
      </c>
      <c r="F48" s="22">
        <v>0.84829999999999994</v>
      </c>
      <c r="G48" s="25">
        <v>1.502</v>
      </c>
      <c r="H48" s="25">
        <v>1.502</v>
      </c>
    </row>
    <row r="49" spans="2:8" x14ac:dyDescent="0.25">
      <c r="B49" s="22">
        <v>108</v>
      </c>
      <c r="C49" s="22" t="s">
        <v>46</v>
      </c>
      <c r="D49" s="22"/>
      <c r="E49" s="22">
        <v>1</v>
      </c>
      <c r="F49" s="22">
        <v>0.86560000000000004</v>
      </c>
      <c r="G49" s="25">
        <v>1.611</v>
      </c>
      <c r="H49" s="25">
        <v>1.611</v>
      </c>
    </row>
    <row r="50" spans="2:8" x14ac:dyDescent="0.25">
      <c r="B50" s="22">
        <v>110</v>
      </c>
      <c r="C50" s="22" t="s">
        <v>46</v>
      </c>
      <c r="D50" s="22"/>
      <c r="E50" s="22">
        <v>1</v>
      </c>
      <c r="F50" s="22">
        <v>0.89510000000000001</v>
      </c>
      <c r="G50" s="25">
        <v>1.603</v>
      </c>
      <c r="H50" s="25">
        <v>1.603</v>
      </c>
    </row>
    <row r="51" spans="2:8" x14ac:dyDescent="0.25">
      <c r="B51" s="22">
        <v>113</v>
      </c>
      <c r="C51" s="22" t="s">
        <v>46</v>
      </c>
      <c r="D51" s="22"/>
      <c r="E51" s="22">
        <v>1</v>
      </c>
      <c r="F51" s="22">
        <v>0.88779999999999992</v>
      </c>
      <c r="G51" s="25">
        <v>1.472</v>
      </c>
      <c r="H51" s="25">
        <v>1.472</v>
      </c>
    </row>
    <row r="52" spans="2:8" x14ac:dyDescent="0.25">
      <c r="B52" s="22">
        <v>115</v>
      </c>
      <c r="C52" s="22" t="s">
        <v>46</v>
      </c>
      <c r="D52" s="22"/>
      <c r="E52" s="22">
        <v>1</v>
      </c>
      <c r="F52" s="22">
        <v>0.89990000000000003</v>
      </c>
      <c r="G52" s="25">
        <v>1.4630000000000001</v>
      </c>
      <c r="H52" s="25">
        <v>1.4630000000000001</v>
      </c>
    </row>
    <row r="53" spans="2:8" x14ac:dyDescent="0.25">
      <c r="B53" s="22">
        <v>119</v>
      </c>
      <c r="C53" s="22" t="s">
        <v>46</v>
      </c>
      <c r="D53" s="22"/>
      <c r="E53" s="22">
        <v>1</v>
      </c>
      <c r="F53" s="22">
        <v>0.86010000000000009</v>
      </c>
      <c r="G53" s="25">
        <v>1.5109999999999999</v>
      </c>
      <c r="H53" s="25">
        <v>1.5109999999999999</v>
      </c>
    </row>
    <row r="54" spans="2:8" x14ac:dyDescent="0.25">
      <c r="B54" s="22">
        <v>127</v>
      </c>
      <c r="C54" s="22" t="s">
        <v>46</v>
      </c>
      <c r="D54" s="22"/>
      <c r="E54" s="22">
        <v>1</v>
      </c>
      <c r="F54" s="22">
        <v>0.83579999999999999</v>
      </c>
      <c r="G54" s="25">
        <v>1.5609999999999999</v>
      </c>
      <c r="H54" s="25">
        <v>1.5609999999999999</v>
      </c>
    </row>
    <row r="55" spans="2:8" x14ac:dyDescent="0.25">
      <c r="B55" s="22">
        <v>130</v>
      </c>
      <c r="C55" s="22" t="s">
        <v>46</v>
      </c>
      <c r="D55" s="22"/>
      <c r="E55" s="22">
        <v>1</v>
      </c>
      <c r="F55" s="22">
        <v>0.87809999999999999</v>
      </c>
      <c r="G55" s="25">
        <v>1.4750000000000001</v>
      </c>
      <c r="H55" s="25">
        <v>1.4750000000000001</v>
      </c>
    </row>
    <row r="56" spans="2:8" x14ac:dyDescent="0.25">
      <c r="B56" s="22">
        <v>131</v>
      </c>
      <c r="C56" s="22" t="s">
        <v>46</v>
      </c>
      <c r="D56" s="22"/>
      <c r="E56" s="22">
        <v>1</v>
      </c>
      <c r="F56" s="22">
        <v>0.91830000000000001</v>
      </c>
      <c r="G56" s="25">
        <v>1.468</v>
      </c>
      <c r="H56" s="25">
        <v>1.468</v>
      </c>
    </row>
    <row r="57" spans="2:8" x14ac:dyDescent="0.25">
      <c r="B57" s="22">
        <v>134</v>
      </c>
      <c r="C57" s="22" t="s">
        <v>46</v>
      </c>
      <c r="D57" s="22"/>
      <c r="E57" s="22">
        <v>1</v>
      </c>
      <c r="F57" s="22">
        <v>0.86039999999999994</v>
      </c>
      <c r="G57" s="25">
        <v>1.4710000000000001</v>
      </c>
      <c r="H57" s="25">
        <v>1.4710000000000001</v>
      </c>
    </row>
    <row r="58" spans="2:8" x14ac:dyDescent="0.25">
      <c r="B58" s="22">
        <v>136</v>
      </c>
      <c r="C58" s="22" t="s">
        <v>46</v>
      </c>
      <c r="D58" s="22"/>
      <c r="E58" s="22">
        <v>1</v>
      </c>
      <c r="F58" s="22">
        <v>0.7823</v>
      </c>
      <c r="G58" s="25">
        <v>1.6180000000000001</v>
      </c>
      <c r="H58" s="25">
        <v>1.6180000000000001</v>
      </c>
    </row>
    <row r="59" spans="2:8" x14ac:dyDescent="0.25">
      <c r="B59" s="22">
        <v>140</v>
      </c>
      <c r="C59" s="22" t="s">
        <v>46</v>
      </c>
      <c r="D59" s="22"/>
      <c r="E59" s="22">
        <v>1</v>
      </c>
      <c r="F59" s="22">
        <v>0.85680000000000001</v>
      </c>
      <c r="G59" s="25">
        <v>1.524</v>
      </c>
      <c r="H59" s="25">
        <v>1.524</v>
      </c>
    </row>
    <row r="60" spans="2:8" x14ac:dyDescent="0.25">
      <c r="B60" s="22">
        <v>141</v>
      </c>
      <c r="C60" s="22" t="s">
        <v>46</v>
      </c>
      <c r="D60" s="22"/>
      <c r="E60" s="22">
        <v>1</v>
      </c>
      <c r="F60" s="22">
        <v>0.87239999999999995</v>
      </c>
      <c r="G60" s="25">
        <v>1.508</v>
      </c>
      <c r="H60" s="25">
        <v>1.508</v>
      </c>
    </row>
    <row r="61" spans="2:8" x14ac:dyDescent="0.25">
      <c r="B61" s="22">
        <v>145</v>
      </c>
      <c r="C61" s="22" t="s">
        <v>46</v>
      </c>
      <c r="D61" s="22"/>
      <c r="E61" s="22">
        <v>1</v>
      </c>
      <c r="F61" s="22">
        <v>0.87650000000000006</v>
      </c>
      <c r="G61" s="25">
        <v>1.5860000000000001</v>
      </c>
      <c r="H61" s="25">
        <v>1.5860000000000001</v>
      </c>
    </row>
    <row r="62" spans="2:8" x14ac:dyDescent="0.25">
      <c r="B62" s="22">
        <v>149</v>
      </c>
      <c r="C62" s="22" t="s">
        <v>46</v>
      </c>
      <c r="D62" s="22"/>
      <c r="E62" s="22">
        <v>1</v>
      </c>
      <c r="F62" s="22">
        <v>0.85220000000000007</v>
      </c>
      <c r="G62" s="25">
        <v>1.4970000000000001</v>
      </c>
      <c r="H62" s="25">
        <v>1.4970000000000001</v>
      </c>
    </row>
    <row r="63" spans="2:8" x14ac:dyDescent="0.25">
      <c r="B63" s="22">
        <v>153</v>
      </c>
      <c r="C63" s="22" t="s">
        <v>46</v>
      </c>
      <c r="D63" s="22"/>
      <c r="E63" s="22">
        <v>1</v>
      </c>
      <c r="F63" s="22">
        <v>0.876</v>
      </c>
      <c r="G63" s="25">
        <v>1.528</v>
      </c>
      <c r="H63" s="25">
        <v>1.528</v>
      </c>
    </row>
    <row r="64" spans="2:8" x14ac:dyDescent="0.25">
      <c r="B64" s="22">
        <v>158</v>
      </c>
      <c r="C64" s="22" t="s">
        <v>46</v>
      </c>
      <c r="D64" s="22"/>
      <c r="E64" s="22">
        <v>1</v>
      </c>
      <c r="F64" s="22">
        <v>0.8579</v>
      </c>
      <c r="G64" s="25">
        <v>1.514</v>
      </c>
      <c r="H64" s="25">
        <v>1.514</v>
      </c>
    </row>
    <row r="65" spans="2:8" x14ac:dyDescent="0.25">
      <c r="B65" s="22">
        <v>159</v>
      </c>
      <c r="C65" s="22" t="s">
        <v>46</v>
      </c>
      <c r="D65" s="22"/>
      <c r="E65" s="22">
        <v>1</v>
      </c>
      <c r="F65" s="22">
        <v>0.86160000000000003</v>
      </c>
      <c r="G65" s="25">
        <v>1.522</v>
      </c>
      <c r="H65" s="25">
        <v>1.522</v>
      </c>
    </row>
    <row r="66" spans="2:8" x14ac:dyDescent="0.25">
      <c r="B66" s="22">
        <v>160</v>
      </c>
      <c r="C66" s="22" t="s">
        <v>46</v>
      </c>
      <c r="D66" s="22"/>
      <c r="E66" s="22">
        <v>1</v>
      </c>
      <c r="F66" s="22">
        <v>0.8861</v>
      </c>
      <c r="G66" s="25">
        <v>1.5</v>
      </c>
      <c r="H66" s="25">
        <v>1.5</v>
      </c>
    </row>
    <row r="67" spans="2:8" x14ac:dyDescent="0.25">
      <c r="B67" s="22">
        <v>161</v>
      </c>
      <c r="C67" s="22" t="s">
        <v>46</v>
      </c>
      <c r="D67" s="22"/>
      <c r="E67" s="22">
        <v>1</v>
      </c>
      <c r="F67" s="22">
        <v>0.75560000000000005</v>
      </c>
      <c r="G67" s="25">
        <v>1.76</v>
      </c>
      <c r="H67" s="25">
        <v>1.76</v>
      </c>
    </row>
    <row r="68" spans="2:8" x14ac:dyDescent="0.25">
      <c r="B68" s="22">
        <v>162</v>
      </c>
      <c r="C68" s="22" t="s">
        <v>46</v>
      </c>
      <c r="D68" s="22"/>
      <c r="E68" s="22">
        <v>1</v>
      </c>
      <c r="F68" s="22">
        <v>0.87150000000000005</v>
      </c>
      <c r="G68" s="25">
        <v>1.5089999999999999</v>
      </c>
      <c r="H68" s="25">
        <v>1.5089999999999999</v>
      </c>
    </row>
    <row r="69" spans="2:8" x14ac:dyDescent="0.25">
      <c r="B69" s="22">
        <v>163</v>
      </c>
      <c r="C69" s="22" t="s">
        <v>46</v>
      </c>
      <c r="D69" s="22"/>
      <c r="E69" s="22">
        <v>1</v>
      </c>
      <c r="F69" s="22">
        <v>0.92070000000000007</v>
      </c>
      <c r="G69" s="25">
        <v>1.544</v>
      </c>
      <c r="H69" s="25">
        <v>1.544</v>
      </c>
    </row>
    <row r="70" spans="2:8" x14ac:dyDescent="0.25">
      <c r="B70" s="22">
        <v>166</v>
      </c>
      <c r="C70" s="22" t="s">
        <v>46</v>
      </c>
      <c r="D70" s="22"/>
      <c r="E70" s="22">
        <v>1</v>
      </c>
      <c r="F70" s="22">
        <v>0.87429999999999997</v>
      </c>
      <c r="G70" s="25">
        <v>1.494</v>
      </c>
      <c r="H70" s="25">
        <v>1.494</v>
      </c>
    </row>
    <row r="71" spans="2:8" x14ac:dyDescent="0.25">
      <c r="B71" s="22">
        <v>167</v>
      </c>
      <c r="C71" s="22" t="s">
        <v>46</v>
      </c>
      <c r="D71" s="22"/>
      <c r="E71" s="22">
        <v>1</v>
      </c>
      <c r="F71" s="22">
        <v>0.89339999999999997</v>
      </c>
      <c r="G71" s="25">
        <v>1.46</v>
      </c>
      <c r="H71" s="25">
        <v>1.46</v>
      </c>
    </row>
    <row r="72" spans="2:8" x14ac:dyDescent="0.25">
      <c r="B72" s="22">
        <v>169</v>
      </c>
      <c r="C72" s="22" t="s">
        <v>46</v>
      </c>
      <c r="D72" s="22"/>
      <c r="E72" s="22">
        <v>1</v>
      </c>
      <c r="F72" s="22">
        <v>0.85460000000000003</v>
      </c>
      <c r="G72" s="25">
        <v>1.665</v>
      </c>
      <c r="H72" s="25">
        <v>1.665</v>
      </c>
    </row>
    <row r="73" spans="2:8" x14ac:dyDescent="0.25">
      <c r="B73" s="22">
        <v>170</v>
      </c>
      <c r="C73" s="22" t="s">
        <v>46</v>
      </c>
      <c r="D73" s="22"/>
      <c r="E73" s="22">
        <v>1</v>
      </c>
      <c r="F73" s="22">
        <v>0.87529999999999997</v>
      </c>
      <c r="G73" s="25">
        <v>1.544</v>
      </c>
      <c r="H73" s="25">
        <v>1.544</v>
      </c>
    </row>
    <row r="74" spans="2:8" x14ac:dyDescent="0.25">
      <c r="B74" s="22">
        <v>179</v>
      </c>
      <c r="C74" s="22" t="s">
        <v>46</v>
      </c>
      <c r="D74" s="22"/>
      <c r="E74" s="22">
        <v>1</v>
      </c>
      <c r="F74" s="22">
        <v>0.80370000000000008</v>
      </c>
      <c r="G74" s="25">
        <v>1.6990000000000001</v>
      </c>
      <c r="H74" s="25">
        <v>1.6990000000000001</v>
      </c>
    </row>
    <row r="75" spans="2:8" x14ac:dyDescent="0.25">
      <c r="B75" s="22">
        <v>183</v>
      </c>
      <c r="C75" s="22" t="s">
        <v>46</v>
      </c>
      <c r="D75" s="22"/>
      <c r="E75" s="22">
        <v>1</v>
      </c>
      <c r="F75" s="22">
        <v>0.87529999999999997</v>
      </c>
      <c r="G75" s="25">
        <v>1.5089999999999999</v>
      </c>
      <c r="H75" s="25">
        <v>1.5089999999999999</v>
      </c>
    </row>
    <row r="76" spans="2:8" x14ac:dyDescent="0.25">
      <c r="B76" s="22">
        <v>184</v>
      </c>
      <c r="C76" s="22" t="s">
        <v>46</v>
      </c>
      <c r="D76" s="22"/>
      <c r="E76" s="22">
        <v>1</v>
      </c>
      <c r="F76" s="22">
        <v>0.92079999999999995</v>
      </c>
      <c r="G76" s="25">
        <v>1.4770000000000001</v>
      </c>
      <c r="H76" s="25">
        <v>1.4770000000000001</v>
      </c>
    </row>
    <row r="77" spans="2:8" x14ac:dyDescent="0.25">
      <c r="B77" s="22">
        <v>188</v>
      </c>
      <c r="C77" s="22" t="s">
        <v>46</v>
      </c>
      <c r="D77" s="22"/>
      <c r="E77" s="22">
        <v>1</v>
      </c>
      <c r="F77" s="22">
        <v>0.87150000000000005</v>
      </c>
      <c r="G77" s="25">
        <v>1.5489999999999999</v>
      </c>
      <c r="H77" s="25">
        <v>1.5489999999999999</v>
      </c>
    </row>
    <row r="78" spans="2:8" x14ac:dyDescent="0.25">
      <c r="B78" s="22">
        <v>189</v>
      </c>
      <c r="C78" s="22" t="s">
        <v>46</v>
      </c>
      <c r="D78" s="22"/>
      <c r="E78" s="22">
        <v>1</v>
      </c>
      <c r="F78" s="22">
        <v>0.86199999999999999</v>
      </c>
      <c r="G78" s="25">
        <v>1.5289999999999999</v>
      </c>
      <c r="H78" s="25">
        <v>1.5289999999999999</v>
      </c>
    </row>
    <row r="79" spans="2:8" x14ac:dyDescent="0.25">
      <c r="B79" s="22">
        <v>190</v>
      </c>
      <c r="C79" s="22" t="s">
        <v>46</v>
      </c>
      <c r="D79" s="22"/>
      <c r="E79" s="22">
        <v>1</v>
      </c>
      <c r="F79" s="22">
        <v>0.92589999999999995</v>
      </c>
      <c r="G79" s="25">
        <v>1.466</v>
      </c>
      <c r="H79" s="25">
        <v>1.466</v>
      </c>
    </row>
    <row r="80" spans="2:8" x14ac:dyDescent="0.25">
      <c r="B80" s="22">
        <v>194</v>
      </c>
      <c r="C80" s="22" t="s">
        <v>46</v>
      </c>
      <c r="D80" s="22"/>
      <c r="E80" s="22">
        <v>1</v>
      </c>
      <c r="F80" s="22">
        <v>0.86529999999999996</v>
      </c>
      <c r="G80" s="25">
        <v>1.526</v>
      </c>
      <c r="H80" s="25">
        <v>1.526</v>
      </c>
    </row>
    <row r="81" spans="2:8" x14ac:dyDescent="0.25">
      <c r="B81" s="22">
        <v>196</v>
      </c>
      <c r="C81" s="22" t="s">
        <v>46</v>
      </c>
      <c r="D81" s="22"/>
      <c r="E81" s="22">
        <v>1</v>
      </c>
      <c r="F81" s="22">
        <v>0.86870000000000003</v>
      </c>
      <c r="G81" s="25">
        <v>1.5529999999999999</v>
      </c>
      <c r="H81" s="25">
        <v>1.5529999999999999</v>
      </c>
    </row>
    <row r="82" spans="2:8" x14ac:dyDescent="0.25">
      <c r="B82" s="22">
        <v>197</v>
      </c>
      <c r="C82" s="22" t="s">
        <v>46</v>
      </c>
      <c r="D82" s="22"/>
      <c r="E82" s="22">
        <v>1</v>
      </c>
      <c r="F82" s="22">
        <v>0.84079999999999999</v>
      </c>
      <c r="G82" s="25">
        <v>1.625</v>
      </c>
      <c r="H82" s="25">
        <v>1.625</v>
      </c>
    </row>
    <row r="83" spans="2:8" x14ac:dyDescent="0.25">
      <c r="B83" s="22">
        <v>198</v>
      </c>
      <c r="C83" s="22" t="s">
        <v>46</v>
      </c>
      <c r="D83" s="22"/>
      <c r="E83" s="22">
        <v>1</v>
      </c>
      <c r="F83" s="22">
        <v>0.82279999999999998</v>
      </c>
      <c r="G83" s="25">
        <v>1.647</v>
      </c>
      <c r="H83" s="25">
        <v>1.647</v>
      </c>
    </row>
    <row r="84" spans="2:8" x14ac:dyDescent="0.25">
      <c r="B84" s="22">
        <v>199</v>
      </c>
      <c r="C84" s="22" t="s">
        <v>46</v>
      </c>
      <c r="D84" s="22"/>
      <c r="E84" s="22">
        <v>1</v>
      </c>
      <c r="F84" s="22">
        <v>0.85220000000000007</v>
      </c>
      <c r="G84" s="25">
        <v>1.554</v>
      </c>
      <c r="H84" s="25">
        <v>1.554</v>
      </c>
    </row>
    <row r="85" spans="2:8" x14ac:dyDescent="0.25">
      <c r="B85" s="22">
        <v>200</v>
      </c>
      <c r="C85" s="22" t="s">
        <v>46</v>
      </c>
      <c r="D85" s="22"/>
      <c r="E85" s="22">
        <v>1</v>
      </c>
      <c r="F85" s="22">
        <v>0.83740000000000003</v>
      </c>
      <c r="G85" s="25">
        <v>1.51</v>
      </c>
      <c r="H85" s="25">
        <v>1.51</v>
      </c>
    </row>
    <row r="86" spans="2:8" x14ac:dyDescent="0.25">
      <c r="B86" s="22">
        <v>202</v>
      </c>
      <c r="C86" s="22" t="s">
        <v>46</v>
      </c>
      <c r="D86" s="22"/>
      <c r="E86" s="22">
        <v>1</v>
      </c>
      <c r="F86" s="22">
        <v>0.84760000000000002</v>
      </c>
      <c r="G86" s="25">
        <v>1.5169999999999999</v>
      </c>
      <c r="H86" s="25">
        <v>1.5169999999999999</v>
      </c>
    </row>
    <row r="87" spans="2:8" x14ac:dyDescent="0.25">
      <c r="B87" s="22">
        <v>205</v>
      </c>
      <c r="C87" s="22" t="s">
        <v>46</v>
      </c>
      <c r="D87" s="22"/>
      <c r="E87" s="22">
        <v>1</v>
      </c>
      <c r="F87" s="22">
        <v>0.77779999999999994</v>
      </c>
      <c r="G87" s="25">
        <v>1.641</v>
      </c>
      <c r="H87" s="25">
        <v>1.641</v>
      </c>
    </row>
    <row r="88" spans="2:8" x14ac:dyDescent="0.25">
      <c r="B88" s="22">
        <v>206</v>
      </c>
      <c r="C88" s="22" t="s">
        <v>46</v>
      </c>
      <c r="D88" s="22"/>
      <c r="E88" s="22">
        <v>1</v>
      </c>
      <c r="F88" s="22">
        <v>0.8679</v>
      </c>
      <c r="G88" s="25">
        <v>1.446</v>
      </c>
      <c r="H88" s="25">
        <v>1.446</v>
      </c>
    </row>
    <row r="89" spans="2:8" x14ac:dyDescent="0.25">
      <c r="B89" s="22">
        <v>207</v>
      </c>
      <c r="C89" s="22" t="s">
        <v>46</v>
      </c>
      <c r="D89" s="22"/>
      <c r="E89" s="22">
        <v>1</v>
      </c>
      <c r="F89" s="22">
        <v>0.82250000000000001</v>
      </c>
      <c r="G89" s="25">
        <v>1.5349999999999999</v>
      </c>
      <c r="H89" s="25">
        <v>1.5349999999999999</v>
      </c>
    </row>
    <row r="90" spans="2:8" x14ac:dyDescent="0.25">
      <c r="B90" s="22">
        <v>211</v>
      </c>
      <c r="C90" s="22" t="s">
        <v>46</v>
      </c>
      <c r="D90" s="22"/>
      <c r="E90" s="22">
        <v>1</v>
      </c>
      <c r="F90" s="22">
        <v>0.8569</v>
      </c>
      <c r="G90" s="25">
        <v>1.4730000000000001</v>
      </c>
      <c r="H90" s="25">
        <v>1.4730000000000001</v>
      </c>
    </row>
    <row r="91" spans="2:8" x14ac:dyDescent="0.25">
      <c r="B91" s="22">
        <v>212</v>
      </c>
      <c r="C91" s="22" t="s">
        <v>46</v>
      </c>
      <c r="D91" s="22"/>
      <c r="E91" s="22">
        <v>1</v>
      </c>
      <c r="F91" s="22">
        <v>0.83640000000000003</v>
      </c>
      <c r="G91" s="25">
        <v>1.6240000000000001</v>
      </c>
      <c r="H91" s="25">
        <v>1.6240000000000001</v>
      </c>
    </row>
    <row r="92" spans="2:8" x14ac:dyDescent="0.25">
      <c r="B92" s="22">
        <v>213</v>
      </c>
      <c r="C92" s="22" t="s">
        <v>46</v>
      </c>
      <c r="D92" s="22"/>
      <c r="E92" s="22">
        <v>1</v>
      </c>
      <c r="F92" s="22">
        <v>0.86850000000000005</v>
      </c>
      <c r="G92" s="25">
        <v>1.4970000000000001</v>
      </c>
      <c r="H92" s="25">
        <v>1.4970000000000001</v>
      </c>
    </row>
    <row r="93" spans="2:8" x14ac:dyDescent="0.25">
      <c r="B93" s="22">
        <v>216</v>
      </c>
      <c r="C93" s="22" t="s">
        <v>46</v>
      </c>
      <c r="D93" s="22"/>
      <c r="E93" s="22">
        <v>1</v>
      </c>
      <c r="F93" s="22">
        <v>0.83660000000000001</v>
      </c>
      <c r="G93" s="25">
        <v>1.65</v>
      </c>
      <c r="H93" s="25">
        <v>1.65</v>
      </c>
    </row>
    <row r="94" spans="2:8" x14ac:dyDescent="0.25">
      <c r="B94" s="22">
        <v>217</v>
      </c>
      <c r="C94" s="22" t="s">
        <v>46</v>
      </c>
      <c r="D94" s="22"/>
      <c r="E94" s="22">
        <v>1</v>
      </c>
      <c r="F94" s="22">
        <v>0.84670000000000001</v>
      </c>
      <c r="G94" s="25">
        <v>1.585</v>
      </c>
      <c r="H94" s="25">
        <v>1.585</v>
      </c>
    </row>
    <row r="95" spans="2:8" x14ac:dyDescent="0.25">
      <c r="B95" s="22">
        <v>219</v>
      </c>
      <c r="C95" s="22" t="s">
        <v>46</v>
      </c>
      <c r="D95" s="22"/>
      <c r="E95" s="22">
        <v>1</v>
      </c>
      <c r="F95" s="22">
        <v>0.85640000000000005</v>
      </c>
      <c r="G95" s="25">
        <v>1.52</v>
      </c>
      <c r="H95" s="25">
        <v>1.52</v>
      </c>
    </row>
    <row r="96" spans="2:8" x14ac:dyDescent="0.25">
      <c r="B96" s="22">
        <v>220</v>
      </c>
      <c r="C96" s="22" t="s">
        <v>46</v>
      </c>
      <c r="D96" s="22"/>
      <c r="E96" s="22">
        <v>1</v>
      </c>
      <c r="F96" s="22">
        <v>0.92830000000000001</v>
      </c>
      <c r="G96" s="25">
        <v>1.4279999999999999</v>
      </c>
      <c r="H96" s="25">
        <v>1.4279999999999999</v>
      </c>
    </row>
    <row r="97" spans="2:8" x14ac:dyDescent="0.25">
      <c r="B97" s="22">
        <v>224</v>
      </c>
      <c r="C97" s="22" t="s">
        <v>46</v>
      </c>
      <c r="D97" s="22"/>
      <c r="E97" s="22">
        <v>1</v>
      </c>
      <c r="F97" s="22">
        <v>0.88479999999999992</v>
      </c>
      <c r="G97" s="25">
        <v>1.6240000000000001</v>
      </c>
      <c r="H97" s="25">
        <v>1.6240000000000001</v>
      </c>
    </row>
    <row r="98" spans="2:8" x14ac:dyDescent="0.25">
      <c r="B98" s="22">
        <v>225</v>
      </c>
      <c r="C98" s="22" t="s">
        <v>46</v>
      </c>
      <c r="D98" s="22"/>
      <c r="E98" s="22">
        <v>1</v>
      </c>
      <c r="F98" s="22">
        <v>0.90100000000000002</v>
      </c>
      <c r="G98" s="25">
        <v>1.504</v>
      </c>
      <c r="H98" s="25">
        <v>1.504</v>
      </c>
    </row>
    <row r="99" spans="2:8" x14ac:dyDescent="0.25">
      <c r="B99" s="22">
        <v>228</v>
      </c>
      <c r="C99" s="22" t="s">
        <v>46</v>
      </c>
      <c r="D99" s="22"/>
      <c r="E99" s="22">
        <v>1</v>
      </c>
      <c r="F99" s="22">
        <v>0.85210000000000008</v>
      </c>
      <c r="G99" s="25">
        <v>1.621</v>
      </c>
      <c r="H99" s="25">
        <v>1.621</v>
      </c>
    </row>
    <row r="100" spans="2:8" x14ac:dyDescent="0.25">
      <c r="B100" s="22">
        <v>229</v>
      </c>
      <c r="C100" s="22" t="s">
        <v>46</v>
      </c>
      <c r="D100" s="22"/>
      <c r="E100" s="22">
        <v>1</v>
      </c>
      <c r="F100" s="22">
        <v>0.83040000000000003</v>
      </c>
      <c r="G100" s="25">
        <v>1.6080000000000001</v>
      </c>
      <c r="H100" s="25">
        <v>1.6080000000000001</v>
      </c>
    </row>
    <row r="101" spans="2:8" x14ac:dyDescent="0.25">
      <c r="B101" s="22">
        <v>230</v>
      </c>
      <c r="C101" s="22" t="s">
        <v>46</v>
      </c>
      <c r="D101" s="22"/>
      <c r="E101" s="22">
        <v>1</v>
      </c>
      <c r="F101" s="22">
        <v>0.87160000000000004</v>
      </c>
      <c r="G101" s="25">
        <v>1.494</v>
      </c>
      <c r="H101" s="25">
        <v>1.494</v>
      </c>
    </row>
    <row r="102" spans="2:8" x14ac:dyDescent="0.25">
      <c r="B102" s="22">
        <v>232</v>
      </c>
      <c r="C102" s="22" t="s">
        <v>46</v>
      </c>
      <c r="D102" s="22"/>
      <c r="E102" s="22">
        <v>1</v>
      </c>
      <c r="F102" s="22">
        <v>0.91990000000000005</v>
      </c>
      <c r="G102" s="25">
        <v>1.5</v>
      </c>
      <c r="H102" s="25">
        <v>1.5</v>
      </c>
    </row>
    <row r="103" spans="2:8" x14ac:dyDescent="0.25">
      <c r="B103" s="22">
        <v>233</v>
      </c>
      <c r="C103" s="22" t="s">
        <v>46</v>
      </c>
      <c r="D103" s="22"/>
      <c r="E103" s="22">
        <v>1</v>
      </c>
      <c r="F103" s="22">
        <v>0.86360000000000003</v>
      </c>
      <c r="G103" s="25">
        <v>1.5960000000000001</v>
      </c>
      <c r="H103" s="25">
        <v>1.5960000000000001</v>
      </c>
    </row>
    <row r="104" spans="2:8" x14ac:dyDescent="0.25">
      <c r="B104" s="22">
        <v>236</v>
      </c>
      <c r="C104" s="22" t="s">
        <v>46</v>
      </c>
      <c r="D104" s="22"/>
      <c r="E104" s="22">
        <v>1</v>
      </c>
      <c r="F104" s="22">
        <v>0.84410000000000007</v>
      </c>
      <c r="G104" s="25">
        <v>1.5780000000000001</v>
      </c>
      <c r="H104" s="25">
        <v>1.5780000000000001</v>
      </c>
    </row>
    <row r="105" spans="2:8" x14ac:dyDescent="0.25">
      <c r="B105" s="22">
        <v>240</v>
      </c>
      <c r="C105" s="22" t="s">
        <v>46</v>
      </c>
      <c r="D105" s="22"/>
      <c r="E105" s="22">
        <v>1</v>
      </c>
      <c r="F105" s="22">
        <v>0.91849999999999998</v>
      </c>
      <c r="G105" s="25">
        <v>1.5029999999999999</v>
      </c>
      <c r="H105" s="25">
        <v>1.5029999999999999</v>
      </c>
    </row>
    <row r="106" spans="2:8" x14ac:dyDescent="0.25">
      <c r="B106" s="22">
        <v>241</v>
      </c>
      <c r="C106" s="22" t="s">
        <v>46</v>
      </c>
      <c r="D106" s="22"/>
      <c r="E106" s="22">
        <v>1</v>
      </c>
      <c r="F106" s="22">
        <v>0.82910000000000006</v>
      </c>
      <c r="G106" s="25">
        <v>1.5880000000000001</v>
      </c>
      <c r="H106" s="25">
        <v>1.5880000000000001</v>
      </c>
    </row>
    <row r="107" spans="2:8" x14ac:dyDescent="0.25">
      <c r="B107" s="22">
        <v>243</v>
      </c>
      <c r="C107" s="22" t="s">
        <v>46</v>
      </c>
      <c r="D107" s="22"/>
      <c r="E107" s="22">
        <v>1</v>
      </c>
      <c r="F107" s="22">
        <v>0.86560000000000004</v>
      </c>
      <c r="G107" s="25">
        <v>1.5269999999999999</v>
      </c>
      <c r="H107" s="25">
        <v>1.5269999999999999</v>
      </c>
    </row>
    <row r="108" spans="2:8" x14ac:dyDescent="0.25">
      <c r="B108" s="22">
        <v>245</v>
      </c>
      <c r="C108" s="22" t="s">
        <v>46</v>
      </c>
      <c r="D108" s="22"/>
      <c r="E108" s="22">
        <v>1</v>
      </c>
      <c r="F108" s="22">
        <v>0.90100000000000002</v>
      </c>
      <c r="G108" s="25">
        <v>1.5680000000000001</v>
      </c>
      <c r="H108" s="25">
        <v>1.5680000000000001</v>
      </c>
    </row>
    <row r="109" spans="2:8" x14ac:dyDescent="0.25">
      <c r="B109" s="22">
        <v>246</v>
      </c>
      <c r="C109" s="22" t="s">
        <v>46</v>
      </c>
      <c r="D109" s="22"/>
      <c r="E109" s="22">
        <v>1</v>
      </c>
      <c r="F109" s="22">
        <v>0.85510000000000008</v>
      </c>
      <c r="G109" s="25">
        <v>1.4950000000000001</v>
      </c>
      <c r="H109" s="25">
        <v>1.4950000000000001</v>
      </c>
    </row>
    <row r="110" spans="2:8" x14ac:dyDescent="0.25">
      <c r="B110" s="22">
        <v>247</v>
      </c>
      <c r="C110" s="22" t="s">
        <v>46</v>
      </c>
      <c r="D110" s="22"/>
      <c r="E110" s="22">
        <v>1</v>
      </c>
      <c r="F110" s="22">
        <v>0.86310000000000009</v>
      </c>
      <c r="G110" s="25">
        <v>1.522</v>
      </c>
      <c r="H110" s="25">
        <v>1.522</v>
      </c>
    </row>
    <row r="111" spans="2:8" x14ac:dyDescent="0.25">
      <c r="B111" s="22">
        <v>248</v>
      </c>
      <c r="C111" s="22" t="s">
        <v>46</v>
      </c>
      <c r="D111" s="22"/>
      <c r="E111" s="22">
        <v>1</v>
      </c>
      <c r="F111" s="22">
        <v>0.88370000000000004</v>
      </c>
      <c r="G111" s="25">
        <v>1.506</v>
      </c>
      <c r="H111" s="25">
        <v>1.506</v>
      </c>
    </row>
    <row r="112" spans="2:8" x14ac:dyDescent="0.25">
      <c r="B112" s="22">
        <v>250</v>
      </c>
      <c r="C112" s="22" t="s">
        <v>46</v>
      </c>
      <c r="D112" s="22"/>
      <c r="E112" s="22">
        <v>1</v>
      </c>
      <c r="F112" s="22">
        <v>0.89470000000000005</v>
      </c>
      <c r="G112" s="25">
        <v>1.488</v>
      </c>
      <c r="H112" s="25">
        <v>1.488</v>
      </c>
    </row>
    <row r="113" spans="2:8" x14ac:dyDescent="0.25">
      <c r="B113" s="22">
        <v>251</v>
      </c>
      <c r="C113" s="22" t="s">
        <v>46</v>
      </c>
      <c r="D113" s="22"/>
      <c r="E113" s="22">
        <v>1</v>
      </c>
      <c r="F113" s="22">
        <v>0.86110000000000009</v>
      </c>
      <c r="G113" s="25">
        <v>1.579</v>
      </c>
      <c r="H113" s="25">
        <v>1.579</v>
      </c>
    </row>
    <row r="114" spans="2:8" x14ac:dyDescent="0.25">
      <c r="B114" s="22">
        <v>256</v>
      </c>
      <c r="C114" s="22" t="s">
        <v>46</v>
      </c>
      <c r="D114" s="22"/>
      <c r="E114" s="22">
        <v>1</v>
      </c>
      <c r="F114" s="22">
        <v>0.91310000000000002</v>
      </c>
      <c r="G114" s="25">
        <v>1.431</v>
      </c>
      <c r="H114" s="25">
        <v>1.431</v>
      </c>
    </row>
    <row r="115" spans="2:8" x14ac:dyDescent="0.25">
      <c r="B115" s="22">
        <v>259</v>
      </c>
      <c r="C115" s="22" t="s">
        <v>46</v>
      </c>
      <c r="D115" s="22"/>
      <c r="E115" s="22">
        <v>1</v>
      </c>
      <c r="F115" s="22">
        <v>0.89190000000000003</v>
      </c>
      <c r="G115" s="25">
        <v>1.4830000000000001</v>
      </c>
      <c r="H115" s="25">
        <v>1.4830000000000001</v>
      </c>
    </row>
    <row r="116" spans="2:8" x14ac:dyDescent="0.25">
      <c r="B116" s="22">
        <v>260</v>
      </c>
      <c r="C116" s="22" t="s">
        <v>46</v>
      </c>
      <c r="D116" s="22"/>
      <c r="E116" s="22">
        <v>1</v>
      </c>
      <c r="F116" s="22">
        <v>0.84650000000000003</v>
      </c>
      <c r="G116" s="25">
        <v>1.6080000000000001</v>
      </c>
      <c r="H116" s="25">
        <v>1.6080000000000001</v>
      </c>
    </row>
    <row r="117" spans="2:8" x14ac:dyDescent="0.25">
      <c r="B117" s="22">
        <v>261</v>
      </c>
      <c r="C117" s="22" t="s">
        <v>46</v>
      </c>
      <c r="D117" s="22"/>
      <c r="E117" s="22">
        <v>1</v>
      </c>
      <c r="F117" s="22">
        <v>0.88400000000000001</v>
      </c>
      <c r="G117" s="25">
        <v>1.4670000000000001</v>
      </c>
      <c r="H117" s="25">
        <v>1.4670000000000001</v>
      </c>
    </row>
    <row r="118" spans="2:8" x14ac:dyDescent="0.25">
      <c r="B118" s="22">
        <v>266</v>
      </c>
      <c r="C118" s="22" t="s">
        <v>46</v>
      </c>
      <c r="D118" s="22"/>
      <c r="E118" s="22">
        <v>1</v>
      </c>
      <c r="F118" s="22">
        <v>0.8861</v>
      </c>
      <c r="G118" s="25">
        <v>1.427</v>
      </c>
      <c r="H118" s="25">
        <v>1.427</v>
      </c>
    </row>
    <row r="119" spans="2:8" x14ac:dyDescent="0.25">
      <c r="B119" s="22">
        <v>268</v>
      </c>
      <c r="C119" s="22" t="s">
        <v>46</v>
      </c>
      <c r="D119" s="22"/>
      <c r="E119" s="22">
        <v>1</v>
      </c>
      <c r="F119" s="22">
        <v>0.85980000000000001</v>
      </c>
      <c r="G119" s="25">
        <v>1.605</v>
      </c>
      <c r="H119" s="25">
        <v>1.605</v>
      </c>
    </row>
    <row r="120" spans="2:8" x14ac:dyDescent="0.25">
      <c r="B120" s="22">
        <v>271</v>
      </c>
      <c r="C120" s="22" t="s">
        <v>46</v>
      </c>
      <c r="D120" s="22"/>
      <c r="E120" s="22">
        <v>1</v>
      </c>
      <c r="F120" s="22">
        <v>0.87170000000000003</v>
      </c>
      <c r="G120" s="25">
        <v>1.458</v>
      </c>
      <c r="H120" s="25">
        <v>1.458</v>
      </c>
    </row>
    <row r="121" spans="2:8" x14ac:dyDescent="0.25">
      <c r="B121" s="22">
        <v>272</v>
      </c>
      <c r="C121" s="22" t="s">
        <v>46</v>
      </c>
      <c r="D121" s="22"/>
      <c r="E121" s="22">
        <v>1</v>
      </c>
      <c r="F121" s="22">
        <v>0.87729999999999997</v>
      </c>
      <c r="G121" s="25">
        <v>1.6379999999999999</v>
      </c>
      <c r="H121" s="25">
        <v>1.6379999999999999</v>
      </c>
    </row>
    <row r="122" spans="2:8" x14ac:dyDescent="0.25">
      <c r="B122" s="22">
        <v>273</v>
      </c>
      <c r="C122" s="22" t="s">
        <v>46</v>
      </c>
      <c r="D122" s="22"/>
      <c r="E122" s="22">
        <v>1</v>
      </c>
      <c r="F122" s="22">
        <v>0.85240000000000005</v>
      </c>
      <c r="G122" s="25">
        <v>1.59</v>
      </c>
      <c r="H122" s="25">
        <v>1.59</v>
      </c>
    </row>
    <row r="123" spans="2:8" x14ac:dyDescent="0.25">
      <c r="B123" s="22">
        <v>275</v>
      </c>
      <c r="C123" s="22" t="s">
        <v>46</v>
      </c>
      <c r="D123" s="22"/>
      <c r="E123" s="22">
        <v>1</v>
      </c>
      <c r="F123" s="22">
        <v>0.88529999999999998</v>
      </c>
      <c r="G123" s="25">
        <v>1.5289999999999999</v>
      </c>
      <c r="H123" s="25">
        <v>1.5289999999999999</v>
      </c>
    </row>
    <row r="124" spans="2:8" x14ac:dyDescent="0.25">
      <c r="B124" s="22">
        <v>276</v>
      </c>
      <c r="C124" s="22" t="s">
        <v>46</v>
      </c>
      <c r="D124" s="22"/>
      <c r="E124" s="22">
        <v>1</v>
      </c>
      <c r="F124" s="22">
        <v>0.84689999999999999</v>
      </c>
      <c r="G124" s="25">
        <v>1.482</v>
      </c>
      <c r="H124" s="25">
        <v>1.482</v>
      </c>
    </row>
    <row r="125" spans="2:8" x14ac:dyDescent="0.25">
      <c r="B125" s="22">
        <v>278</v>
      </c>
      <c r="C125" s="22" t="s">
        <v>46</v>
      </c>
      <c r="D125" s="22"/>
      <c r="E125" s="22">
        <v>1</v>
      </c>
      <c r="F125" s="22">
        <v>0.86629999999999996</v>
      </c>
      <c r="G125" s="25">
        <v>1.5760000000000001</v>
      </c>
      <c r="H125" s="25">
        <v>1.5760000000000001</v>
      </c>
    </row>
    <row r="126" spans="2:8" x14ac:dyDescent="0.25">
      <c r="B126" s="22">
        <v>279</v>
      </c>
      <c r="C126" s="22" t="s">
        <v>46</v>
      </c>
      <c r="D126" s="22"/>
      <c r="E126" s="22">
        <v>1</v>
      </c>
      <c r="F126" s="22">
        <v>0.85399999999999998</v>
      </c>
      <c r="G126" s="25">
        <v>1.5609999999999999</v>
      </c>
      <c r="H126" s="25">
        <v>1.5609999999999999</v>
      </c>
    </row>
    <row r="127" spans="2:8" x14ac:dyDescent="0.25">
      <c r="B127" s="22">
        <v>282</v>
      </c>
      <c r="C127" s="22" t="s">
        <v>46</v>
      </c>
      <c r="D127" s="22"/>
      <c r="E127" s="22">
        <v>1</v>
      </c>
      <c r="F127" s="22">
        <v>0.77410000000000001</v>
      </c>
      <c r="G127" s="25">
        <v>1.7270000000000001</v>
      </c>
      <c r="H127" s="25">
        <v>1.7270000000000001</v>
      </c>
    </row>
    <row r="128" spans="2:8" x14ac:dyDescent="0.25">
      <c r="B128" s="22">
        <v>285</v>
      </c>
      <c r="C128" s="22" t="s">
        <v>46</v>
      </c>
      <c r="D128" s="22"/>
      <c r="E128" s="22">
        <v>1</v>
      </c>
      <c r="F128" s="22">
        <v>0.85570000000000002</v>
      </c>
      <c r="G128" s="25">
        <v>1.5640000000000001</v>
      </c>
      <c r="H128" s="25">
        <v>1.5640000000000001</v>
      </c>
    </row>
    <row r="129" spans="2:8" x14ac:dyDescent="0.25">
      <c r="B129" s="22">
        <v>289</v>
      </c>
      <c r="C129" s="22" t="s">
        <v>46</v>
      </c>
      <c r="D129" s="22"/>
      <c r="E129" s="22">
        <v>1</v>
      </c>
      <c r="F129" s="22">
        <v>0.8226</v>
      </c>
      <c r="G129" s="25">
        <v>1.5549999999999999</v>
      </c>
      <c r="H129" s="25">
        <v>1.5549999999999999</v>
      </c>
    </row>
  </sheetData>
  <sheetProtection algorithmName="SHA-512" hashValue="EW8c8ztwHxmzXah3bXOG7kcw+NHQ2AcjRY29Z8WWo418lvgAvZi+E3YFZHOQlSlemz8hGNQtBzyZ3gB1lp6r5Q==" saltValue="UtVjuk9igsMZQfBnXosZSw==" spinCount="100000" sheet="1" objects="1" scenarios="1" sort="0" autoFilter="0"/>
  <autoFilter ref="A13:H129" xr:uid="{63C1BCF0-7BAD-4EF7-9EAD-C7106EE8305E}"/>
  <mergeCells count="12">
    <mergeCell ref="A4:H4"/>
    <mergeCell ref="A5:H5"/>
    <mergeCell ref="A6:H6"/>
    <mergeCell ref="A7:H7"/>
    <mergeCell ref="A1:C1"/>
    <mergeCell ref="D1:G1"/>
    <mergeCell ref="A2:B2"/>
    <mergeCell ref="C2:D2"/>
    <mergeCell ref="E2:F2"/>
    <mergeCell ref="A3:B3"/>
    <mergeCell ref="C3:D3"/>
    <mergeCell ref="E3:F3"/>
  </mergeCells>
  <conditionalFormatting sqref="A14:A61">
    <cfRule type="duplicateValues" dxfId="22" priority="11"/>
  </conditionalFormatting>
  <conditionalFormatting sqref="A3:G3">
    <cfRule type="cellIs" dxfId="21" priority="1" operator="equal">
      <formula>0</formula>
    </cfRule>
  </conditionalFormatting>
  <conditionalFormatting sqref="B13">
    <cfRule type="cellIs" dxfId="20" priority="10" operator="equal">
      <formula>"All Pass"</formula>
    </cfRule>
  </conditionalFormatting>
  <conditionalFormatting sqref="B14:B61">
    <cfRule type="duplicateValues" dxfId="19" priority="12"/>
  </conditionalFormatting>
  <conditionalFormatting sqref="C14:C1562">
    <cfRule type="containsBlanks" dxfId="18" priority="6">
      <formula>LEN(TRIM(C14))=0</formula>
    </cfRule>
    <cfRule type="cellIs" dxfId="17" priority="7" operator="equal">
      <formula>"ALL PASS"</formula>
    </cfRule>
    <cfRule type="cellIs" dxfId="16" priority="8" stopIfTrue="1" operator="equal">
      <formula>"ND"</formula>
    </cfRule>
    <cfRule type="cellIs" dxfId="15" priority="9" operator="notEqual">
      <formula>"ALL PASS"</formula>
    </cfRule>
  </conditionalFormatting>
  <conditionalFormatting sqref="E14:E4562">
    <cfRule type="cellIs" dxfId="14" priority="3" stopIfTrue="1" operator="equal">
      <formula>99</formula>
    </cfRule>
    <cfRule type="cellIs" dxfId="13" priority="4" operator="between">
      <formula>2</formula>
      <formula>98</formula>
    </cfRule>
    <cfRule type="cellIs" dxfId="12" priority="5" operator="equal">
      <formula>1</formula>
    </cfRule>
  </conditionalFormatting>
  <hyperlinks>
    <hyperlink ref="D1" location="INDEX!A1" display="RETURN TO INDEX" xr:uid="{5B433082-64B5-4C6D-968F-BBAB3D4EEB94}"/>
    <hyperlink ref="D1:E1" location="INDEX!A1" display="RETURN TO INDEX" xr:uid="{C36B3477-5E41-4AAC-92AD-D4A18483C003}"/>
    <hyperlink ref="H1" location="'QCI Sample Selection'!A1" display="QCI SAMPLE SELECTION" xr:uid="{70BFD253-C616-4B71-98D5-C18EADB0157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4B41-8880-4E9C-BD33-9FDB1613CFE5}">
  <sheetPr>
    <tabColor theme="4" tint="-0.249977111117893"/>
    <pageSetUpPr fitToPage="1"/>
  </sheetPr>
  <dimension ref="A1:E123"/>
  <sheetViews>
    <sheetView zoomScaleNormal="100" workbookViewId="0">
      <pane xSplit="1" ySplit="9" topLeftCell="B10" activePane="bottomRight" state="frozen"/>
      <selection activeCell="D250" sqref="D250"/>
      <selection pane="topRight" activeCell="D250" sqref="D250"/>
      <selection pane="bottomLeft" activeCell="D250" sqref="D250"/>
      <selection pane="bottomRight" activeCell="B10" sqref="B10"/>
    </sheetView>
  </sheetViews>
  <sheetFormatPr defaultColWidth="0" defaultRowHeight="15" customHeight="1" zeroHeight="1" x14ac:dyDescent="0.25"/>
  <cols>
    <col min="1" max="1" width="30.140625" customWidth="1"/>
    <col min="2" max="2" width="21" bestFit="1" customWidth="1"/>
    <col min="3" max="3" width="13.5703125" style="6" bestFit="1" customWidth="1"/>
    <col min="4" max="4" width="12" style="6" bestFit="1" customWidth="1"/>
    <col min="5" max="5" width="20" style="6" bestFit="1" customWidth="1"/>
    <col min="6" max="16384" width="9.140625" hidden="1"/>
  </cols>
  <sheetData>
    <row r="1" spans="1:5" ht="26.25" customHeight="1" x14ac:dyDescent="0.25">
      <c r="A1" s="1" t="s">
        <v>71</v>
      </c>
      <c r="B1" s="73" t="s">
        <v>1</v>
      </c>
      <c r="C1" s="73"/>
      <c r="D1" s="73" t="s">
        <v>2</v>
      </c>
      <c r="E1" s="73"/>
    </row>
    <row r="2" spans="1:5" ht="15.75" x14ac:dyDescent="0.25">
      <c r="A2" s="37" t="s">
        <v>98</v>
      </c>
      <c r="B2" s="38" t="s">
        <v>99</v>
      </c>
      <c r="C2" s="38" t="s">
        <v>100</v>
      </c>
      <c r="D2" s="38" t="s">
        <v>101</v>
      </c>
      <c r="E2" s="39"/>
    </row>
    <row r="3" spans="1:5" ht="18.75" x14ac:dyDescent="0.25">
      <c r="A3" s="40" t="s">
        <v>97</v>
      </c>
      <c r="B3" s="40" t="s">
        <v>97</v>
      </c>
      <c r="C3" s="41"/>
      <c r="D3" s="41">
        <v>2351</v>
      </c>
      <c r="E3" s="39"/>
    </row>
    <row r="4" spans="1:5" ht="27.6" customHeight="1" x14ac:dyDescent="0.35">
      <c r="A4" s="42" t="str">
        <f>"N= " &amp; COUNT($A$10:$A$123)</f>
        <v>N= 22</v>
      </c>
      <c r="B4" s="43" t="s">
        <v>72</v>
      </c>
      <c r="C4" s="44" t="s">
        <v>73</v>
      </c>
      <c r="D4" s="45"/>
      <c r="E4" s="45"/>
    </row>
    <row r="5" spans="1:5" ht="27.6" customHeight="1" x14ac:dyDescent="0.4">
      <c r="A5" s="46" t="str">
        <f>IF(COUNTIF($E$11:$E$123,"FAIL")=0,"PASS","FAIL")</f>
        <v>PASS</v>
      </c>
      <c r="B5" s="43" t="s">
        <v>74</v>
      </c>
      <c r="C5" s="47">
        <v>45316.524305555555</v>
      </c>
      <c r="D5" s="45"/>
      <c r="E5" s="45"/>
    </row>
    <row r="6" spans="1:5" ht="27.6" customHeight="1" x14ac:dyDescent="0.25">
      <c r="A6" s="48" t="s">
        <v>75</v>
      </c>
      <c r="B6" s="48" t="s">
        <v>76</v>
      </c>
      <c r="C6" s="48" t="s">
        <v>77</v>
      </c>
      <c r="D6" s="49"/>
      <c r="E6" s="50"/>
    </row>
    <row r="7" spans="1:5" ht="27.6" customHeight="1" x14ac:dyDescent="0.25">
      <c r="A7" s="48"/>
      <c r="B7" s="51" t="s">
        <v>78</v>
      </c>
      <c r="C7" s="51">
        <v>100</v>
      </c>
      <c r="D7" s="52" t="s">
        <v>79</v>
      </c>
      <c r="E7" s="50"/>
    </row>
    <row r="8" spans="1:5" ht="27.6" customHeight="1" x14ac:dyDescent="0.25">
      <c r="A8" s="53" t="s">
        <v>80</v>
      </c>
      <c r="B8" s="54">
        <v>1.5E-9</v>
      </c>
      <c r="C8" s="54">
        <v>3.59E-10</v>
      </c>
      <c r="D8" s="54">
        <v>1.3E-11</v>
      </c>
      <c r="E8" s="50"/>
    </row>
    <row r="9" spans="1:5" ht="27.6" customHeight="1" x14ac:dyDescent="0.25">
      <c r="A9" s="53" t="s">
        <v>81</v>
      </c>
      <c r="B9" s="55" t="s">
        <v>82</v>
      </c>
      <c r="C9" s="55" t="s">
        <v>83</v>
      </c>
      <c r="D9" s="55" t="s">
        <v>84</v>
      </c>
      <c r="E9" s="56" t="s">
        <v>85</v>
      </c>
    </row>
    <row r="10" spans="1:5" ht="27.6" customHeight="1" x14ac:dyDescent="0.25">
      <c r="A10" s="57">
        <v>2</v>
      </c>
      <c r="B10" s="58">
        <v>6.59E-10</v>
      </c>
      <c r="C10" s="58">
        <v>2.0700000000000001E-10</v>
      </c>
      <c r="D10" s="58">
        <v>1.2100000000000001E-12</v>
      </c>
      <c r="E10" s="59" t="str">
        <f>IF(AND(B10&lt;&gt;"",B10&lt;=B$8,C10&lt;&gt;"",C10&lt;=C$8,D10&lt;&gt;"",D10&lt;=D$8),"PASS","FAIL")</f>
        <v>PASS</v>
      </c>
    </row>
    <row r="11" spans="1:5" s="61" customFormat="1" ht="27.6" customHeight="1" x14ac:dyDescent="0.25">
      <c r="A11" s="60">
        <v>7</v>
      </c>
      <c r="B11" s="58">
        <v>6.8000000000000003E-10</v>
      </c>
      <c r="C11" s="58">
        <v>2.1E-10</v>
      </c>
      <c r="D11" s="58">
        <v>1.37E-12</v>
      </c>
      <c r="E11" s="59" t="str">
        <f t="shared" ref="E11:E31" si="0">IF(AND(B11&lt;&gt;"",B11&lt;=B$8,C11&lt;&gt;"",C11&lt;=C$8,D11&lt;&gt;"",D11&lt;=D$8),"PASS","FAIL")</f>
        <v>PASS</v>
      </c>
    </row>
    <row r="12" spans="1:5" s="61" customFormat="1" ht="27.6" customHeight="1" x14ac:dyDescent="0.25">
      <c r="A12" s="60">
        <v>12</v>
      </c>
      <c r="B12" s="58">
        <v>6.5400000000000002E-10</v>
      </c>
      <c r="C12" s="58">
        <v>2.2200000000000001E-10</v>
      </c>
      <c r="D12" s="58">
        <v>1.62E-12</v>
      </c>
      <c r="E12" s="59" t="str">
        <f t="shared" si="0"/>
        <v>PASS</v>
      </c>
    </row>
    <row r="13" spans="1:5" s="61" customFormat="1" ht="27.6" customHeight="1" x14ac:dyDescent="0.25">
      <c r="A13" s="60">
        <v>13</v>
      </c>
      <c r="B13" s="58">
        <v>7.4300000000000002E-10</v>
      </c>
      <c r="C13" s="58">
        <v>2.1199999999999999E-10</v>
      </c>
      <c r="D13" s="58">
        <v>1.4000000000000001E-12</v>
      </c>
      <c r="E13" s="59" t="str">
        <f t="shared" si="0"/>
        <v>PASS</v>
      </c>
    </row>
    <row r="14" spans="1:5" s="61" customFormat="1" ht="27.6" customHeight="1" x14ac:dyDescent="0.25">
      <c r="A14" s="60">
        <v>19</v>
      </c>
      <c r="B14" s="58">
        <v>6.89E-10</v>
      </c>
      <c r="C14" s="58">
        <v>2.18E-10</v>
      </c>
      <c r="D14" s="58">
        <v>1.5500000000000001E-12</v>
      </c>
      <c r="E14" s="59" t="str">
        <f t="shared" si="0"/>
        <v>PASS</v>
      </c>
    </row>
    <row r="15" spans="1:5" s="61" customFormat="1" ht="27.6" customHeight="1" x14ac:dyDescent="0.25">
      <c r="A15" s="60">
        <v>24</v>
      </c>
      <c r="B15" s="58">
        <v>6.9199999999999999E-10</v>
      </c>
      <c r="C15" s="58">
        <v>2.1E-10</v>
      </c>
      <c r="D15" s="58">
        <v>1.38E-12</v>
      </c>
      <c r="E15" s="59" t="str">
        <f t="shared" si="0"/>
        <v>PASS</v>
      </c>
    </row>
    <row r="16" spans="1:5" s="61" customFormat="1" ht="27.6" customHeight="1" x14ac:dyDescent="0.25">
      <c r="A16" s="60">
        <v>26</v>
      </c>
      <c r="B16" s="58">
        <v>8.9300000000000002E-10</v>
      </c>
      <c r="C16" s="58">
        <v>2.1999999999999999E-10</v>
      </c>
      <c r="D16" s="58">
        <v>1.67E-12</v>
      </c>
      <c r="E16" s="59" t="str">
        <f t="shared" si="0"/>
        <v>PASS</v>
      </c>
    </row>
    <row r="17" spans="1:5" s="61" customFormat="1" ht="27.6" customHeight="1" x14ac:dyDescent="0.25">
      <c r="A17" s="60">
        <v>29</v>
      </c>
      <c r="B17" s="58">
        <v>6.4299999999999995E-10</v>
      </c>
      <c r="C17" s="58">
        <v>2.1500000000000001E-10</v>
      </c>
      <c r="D17" s="58">
        <v>1.32E-12</v>
      </c>
      <c r="E17" s="59" t="str">
        <f t="shared" si="0"/>
        <v>PASS</v>
      </c>
    </row>
    <row r="18" spans="1:5" s="61" customFormat="1" ht="27.6" customHeight="1" x14ac:dyDescent="0.25">
      <c r="A18" s="60">
        <v>30</v>
      </c>
      <c r="B18" s="58">
        <v>6.58E-10</v>
      </c>
      <c r="C18" s="58">
        <v>2.1999999999999999E-10</v>
      </c>
      <c r="D18" s="58">
        <v>1.48E-12</v>
      </c>
      <c r="E18" s="59" t="str">
        <f t="shared" si="0"/>
        <v>PASS</v>
      </c>
    </row>
    <row r="19" spans="1:5" s="61" customFormat="1" ht="27.6" customHeight="1" x14ac:dyDescent="0.25">
      <c r="A19" s="60">
        <v>39</v>
      </c>
      <c r="B19" s="58">
        <v>6.58E-10</v>
      </c>
      <c r="C19" s="58">
        <v>2.1500000000000001E-10</v>
      </c>
      <c r="D19" s="58">
        <v>1.5299999999999999E-12</v>
      </c>
      <c r="E19" s="59" t="str">
        <f t="shared" si="0"/>
        <v>PASS</v>
      </c>
    </row>
    <row r="20" spans="1:5" s="61" customFormat="1" ht="27.6" customHeight="1" x14ac:dyDescent="0.25">
      <c r="A20" s="60">
        <v>41</v>
      </c>
      <c r="B20" s="58">
        <v>1.0500000000000001E-9</v>
      </c>
      <c r="C20" s="58">
        <v>2.2200000000000001E-10</v>
      </c>
      <c r="D20" s="58">
        <v>1.61E-12</v>
      </c>
      <c r="E20" s="59" t="str">
        <f t="shared" si="0"/>
        <v>PASS</v>
      </c>
    </row>
    <row r="21" spans="1:5" s="61" customFormat="1" ht="27.6" customHeight="1" x14ac:dyDescent="0.25">
      <c r="A21" s="57">
        <v>47</v>
      </c>
      <c r="B21" s="58">
        <v>7.9299999999999995E-10</v>
      </c>
      <c r="C21" s="58">
        <v>2.11E-10</v>
      </c>
      <c r="D21" s="58">
        <v>1.4000000000000001E-12</v>
      </c>
      <c r="E21" s="59" t="str">
        <f t="shared" si="0"/>
        <v>PASS</v>
      </c>
    </row>
    <row r="22" spans="1:5" s="61" customFormat="1" ht="27.6" customHeight="1" x14ac:dyDescent="0.25">
      <c r="A22" s="60">
        <v>81</v>
      </c>
      <c r="B22" s="62">
        <v>6.6499999999999998E-10</v>
      </c>
      <c r="C22" s="62">
        <v>2.1899999999999999E-10</v>
      </c>
      <c r="D22" s="62">
        <v>1.47E-12</v>
      </c>
      <c r="E22" s="59" t="str">
        <f t="shared" si="0"/>
        <v>PASS</v>
      </c>
    </row>
    <row r="23" spans="1:5" s="61" customFormat="1" ht="27.6" customHeight="1" x14ac:dyDescent="0.25">
      <c r="A23" s="60">
        <v>118</v>
      </c>
      <c r="B23" s="62">
        <v>7.2399999999999998E-10</v>
      </c>
      <c r="C23" s="62">
        <v>2.1E-10</v>
      </c>
      <c r="D23" s="62">
        <v>1.38E-12</v>
      </c>
      <c r="E23" s="59" t="str">
        <f t="shared" si="0"/>
        <v>PASS</v>
      </c>
    </row>
    <row r="24" spans="1:5" s="61" customFormat="1" ht="27.6" customHeight="1" x14ac:dyDescent="0.25">
      <c r="A24" s="60">
        <v>133</v>
      </c>
      <c r="B24" s="62">
        <v>8.1099999999999999E-10</v>
      </c>
      <c r="C24" s="62">
        <v>2.09E-10</v>
      </c>
      <c r="D24" s="62">
        <v>1.3100000000000001E-12</v>
      </c>
      <c r="E24" s="59" t="str">
        <f t="shared" si="0"/>
        <v>PASS</v>
      </c>
    </row>
    <row r="25" spans="1:5" s="61" customFormat="1" ht="27.6" customHeight="1" x14ac:dyDescent="0.25">
      <c r="A25" s="60">
        <v>144</v>
      </c>
      <c r="B25" s="62">
        <v>8.7599999999999997E-10</v>
      </c>
      <c r="C25" s="62">
        <v>2.16E-10</v>
      </c>
      <c r="D25" s="62">
        <v>1.5000000000000001E-12</v>
      </c>
      <c r="E25" s="59" t="str">
        <f t="shared" si="0"/>
        <v>PASS</v>
      </c>
    </row>
    <row r="26" spans="1:5" s="61" customFormat="1" ht="27.6" customHeight="1" x14ac:dyDescent="0.25">
      <c r="A26" s="60">
        <v>150</v>
      </c>
      <c r="B26" s="62">
        <v>8.8299999999999995E-10</v>
      </c>
      <c r="C26" s="62">
        <v>2.1199999999999999E-10</v>
      </c>
      <c r="D26" s="62">
        <v>1.3899999999999999E-12</v>
      </c>
      <c r="E26" s="59" t="str">
        <f t="shared" si="0"/>
        <v>PASS</v>
      </c>
    </row>
    <row r="27" spans="1:5" s="61" customFormat="1" ht="27.6" customHeight="1" x14ac:dyDescent="0.25">
      <c r="A27" s="60">
        <v>157</v>
      </c>
      <c r="B27" s="62">
        <v>7.7000000000000003E-10</v>
      </c>
      <c r="C27" s="62">
        <v>2.1400000000000001E-10</v>
      </c>
      <c r="D27" s="62">
        <v>1.46E-12</v>
      </c>
      <c r="E27" s="59" t="str">
        <f t="shared" si="0"/>
        <v>PASS</v>
      </c>
    </row>
    <row r="28" spans="1:5" s="61" customFormat="1" ht="27.6" customHeight="1" x14ac:dyDescent="0.25">
      <c r="A28" s="60">
        <v>191</v>
      </c>
      <c r="B28" s="62">
        <v>8.5099999999999996E-10</v>
      </c>
      <c r="C28" s="62">
        <v>2.18E-10</v>
      </c>
      <c r="D28" s="62">
        <v>1.4899999999999999E-12</v>
      </c>
      <c r="E28" s="59" t="str">
        <f t="shared" si="0"/>
        <v>PASS</v>
      </c>
    </row>
    <row r="29" spans="1:5" s="61" customFormat="1" ht="27.6" customHeight="1" x14ac:dyDescent="0.25">
      <c r="A29" s="60">
        <v>214</v>
      </c>
      <c r="B29" s="62">
        <v>6.6399999999999998E-10</v>
      </c>
      <c r="C29" s="62">
        <v>2.1400000000000001E-10</v>
      </c>
      <c r="D29" s="62">
        <v>1.3499999999999999E-12</v>
      </c>
      <c r="E29" s="59" t="str">
        <f t="shared" si="0"/>
        <v>PASS</v>
      </c>
    </row>
    <row r="30" spans="1:5" s="61" customFormat="1" ht="27.6" customHeight="1" x14ac:dyDescent="0.25">
      <c r="A30" s="60">
        <v>237</v>
      </c>
      <c r="B30" s="62">
        <v>9.8500000000000001E-10</v>
      </c>
      <c r="C30" s="62">
        <v>2.1899999999999999E-10</v>
      </c>
      <c r="D30" s="62">
        <v>1.6E-12</v>
      </c>
      <c r="E30" s="59" t="str">
        <f t="shared" si="0"/>
        <v>PASS</v>
      </c>
    </row>
    <row r="31" spans="1:5" s="61" customFormat="1" ht="27.6" customHeight="1" x14ac:dyDescent="0.25">
      <c r="A31" s="60">
        <v>239</v>
      </c>
      <c r="B31" s="62">
        <v>6.4400000000000005E-10</v>
      </c>
      <c r="C31" s="62">
        <v>2.16E-10</v>
      </c>
      <c r="D31" s="62">
        <v>1.5500000000000001E-12</v>
      </c>
      <c r="E31" s="59" t="str">
        <f t="shared" si="0"/>
        <v>PASS</v>
      </c>
    </row>
    <row r="32" spans="1:5" s="61" customFormat="1" ht="27.6" hidden="1" customHeight="1" x14ac:dyDescent="0.25">
      <c r="A32" s="60"/>
      <c r="B32" s="62"/>
      <c r="C32" s="62"/>
      <c r="D32" s="62"/>
      <c r="E32" s="59"/>
    </row>
    <row r="33" spans="1:5" s="61" customFormat="1" ht="27.6" hidden="1" customHeight="1" x14ac:dyDescent="0.25">
      <c r="A33" s="60"/>
      <c r="B33" s="62"/>
      <c r="C33" s="62"/>
      <c r="D33" s="62"/>
      <c r="E33" s="59"/>
    </row>
    <row r="34" spans="1:5" s="61" customFormat="1" ht="27.6" hidden="1" customHeight="1" x14ac:dyDescent="0.25">
      <c r="A34" s="60"/>
      <c r="B34" s="62"/>
      <c r="C34" s="62"/>
      <c r="D34" s="62"/>
      <c r="E34" s="59"/>
    </row>
    <row r="35" spans="1:5" s="61" customFormat="1" ht="27.6" hidden="1" customHeight="1" x14ac:dyDescent="0.25">
      <c r="A35" s="60"/>
      <c r="B35" s="62"/>
      <c r="C35" s="62"/>
      <c r="D35" s="62"/>
      <c r="E35" s="59"/>
    </row>
    <row r="36" spans="1:5" s="61" customFormat="1" ht="27.6" hidden="1" customHeight="1" x14ac:dyDescent="0.25">
      <c r="A36" s="60"/>
      <c r="B36" s="62"/>
      <c r="C36" s="62"/>
      <c r="D36" s="62"/>
      <c r="E36" s="59"/>
    </row>
    <row r="37" spans="1:5" s="61" customFormat="1" ht="27.6" hidden="1" customHeight="1" x14ac:dyDescent="0.25">
      <c r="A37" s="60"/>
      <c r="B37" s="62"/>
      <c r="C37" s="62"/>
      <c r="D37" s="62"/>
      <c r="E37" s="59"/>
    </row>
    <row r="38" spans="1:5" s="61" customFormat="1" ht="27.6" hidden="1" customHeight="1" x14ac:dyDescent="0.25">
      <c r="A38" s="60"/>
      <c r="B38" s="62"/>
      <c r="C38" s="62"/>
      <c r="D38" s="62"/>
      <c r="E38" s="59"/>
    </row>
    <row r="39" spans="1:5" s="61" customFormat="1" ht="27.6" hidden="1" customHeight="1" x14ac:dyDescent="0.25">
      <c r="A39" s="60"/>
      <c r="B39" s="62"/>
      <c r="C39" s="62"/>
      <c r="D39" s="62"/>
      <c r="E39" s="59"/>
    </row>
    <row r="40" spans="1:5" s="61" customFormat="1" ht="27.6" hidden="1" customHeight="1" x14ac:dyDescent="0.25">
      <c r="A40" s="60"/>
      <c r="B40" s="62"/>
      <c r="C40" s="62"/>
      <c r="D40" s="62"/>
      <c r="E40" s="59"/>
    </row>
    <row r="41" spans="1:5" s="61" customFormat="1" ht="27.6" hidden="1" customHeight="1" x14ac:dyDescent="0.25">
      <c r="A41" s="60"/>
      <c r="B41" s="62"/>
      <c r="C41" s="62"/>
      <c r="D41" s="62"/>
      <c r="E41" s="59"/>
    </row>
    <row r="42" spans="1:5" s="61" customFormat="1" ht="27.6" hidden="1" customHeight="1" x14ac:dyDescent="0.25">
      <c r="A42" s="60"/>
      <c r="B42" s="62"/>
      <c r="C42" s="62"/>
      <c r="D42" s="62"/>
      <c r="E42" s="59"/>
    </row>
    <row r="43" spans="1:5" s="61" customFormat="1" ht="27.6" hidden="1" customHeight="1" x14ac:dyDescent="0.25">
      <c r="A43" s="60"/>
      <c r="B43" s="62"/>
      <c r="C43" s="62"/>
      <c r="D43" s="62"/>
      <c r="E43" s="59"/>
    </row>
    <row r="44" spans="1:5" s="61" customFormat="1" ht="27.6" hidden="1" customHeight="1" x14ac:dyDescent="0.25">
      <c r="A44" s="60"/>
      <c r="B44" s="62"/>
      <c r="C44" s="62"/>
      <c r="D44" s="62"/>
      <c r="E44" s="59"/>
    </row>
    <row r="45" spans="1:5" s="61" customFormat="1" ht="27.6" hidden="1" customHeight="1" x14ac:dyDescent="0.25">
      <c r="A45" s="60"/>
      <c r="B45" s="62"/>
      <c r="C45" s="62"/>
      <c r="D45" s="62"/>
      <c r="E45" s="59"/>
    </row>
    <row r="46" spans="1:5" s="61" customFormat="1" ht="27.6" hidden="1" customHeight="1" x14ac:dyDescent="0.25">
      <c r="A46" s="60"/>
      <c r="B46" s="62"/>
      <c r="C46" s="62"/>
      <c r="D46" s="62"/>
      <c r="E46" s="59"/>
    </row>
    <row r="47" spans="1:5" s="61" customFormat="1" ht="27.6" hidden="1" customHeight="1" x14ac:dyDescent="0.25">
      <c r="A47" s="60"/>
      <c r="B47" s="62"/>
      <c r="C47" s="62"/>
      <c r="D47" s="62"/>
      <c r="E47" s="59"/>
    </row>
    <row r="48" spans="1:5" s="61" customFormat="1" ht="27.6" hidden="1" customHeight="1" x14ac:dyDescent="0.25">
      <c r="A48" s="60"/>
      <c r="B48" s="62"/>
      <c r="C48" s="62"/>
      <c r="D48" s="62"/>
      <c r="E48" s="59"/>
    </row>
    <row r="49" spans="1:5" s="61" customFormat="1" ht="27.6" hidden="1" customHeight="1" x14ac:dyDescent="0.25">
      <c r="A49" s="60"/>
      <c r="B49" s="62"/>
      <c r="C49" s="62"/>
      <c r="D49" s="62"/>
      <c r="E49" s="59"/>
    </row>
    <row r="50" spans="1:5" s="61" customFormat="1" ht="27.6" hidden="1" customHeight="1" x14ac:dyDescent="0.25">
      <c r="A50" s="60"/>
      <c r="B50" s="62"/>
      <c r="C50" s="62"/>
      <c r="D50" s="62"/>
      <c r="E50" s="59"/>
    </row>
    <row r="51" spans="1:5" s="61" customFormat="1" ht="27.6" hidden="1" customHeight="1" x14ac:dyDescent="0.25">
      <c r="A51" s="60"/>
      <c r="B51" s="62"/>
      <c r="C51" s="62"/>
      <c r="D51" s="62"/>
      <c r="E51" s="59"/>
    </row>
    <row r="52" spans="1:5" s="61" customFormat="1" ht="27.6" hidden="1" customHeight="1" x14ac:dyDescent="0.25">
      <c r="A52" s="60"/>
      <c r="B52" s="62"/>
      <c r="C52" s="62"/>
      <c r="D52" s="62"/>
      <c r="E52" s="59"/>
    </row>
    <row r="53" spans="1:5" s="61" customFormat="1" ht="27.6" hidden="1" customHeight="1" x14ac:dyDescent="0.25">
      <c r="A53" s="60"/>
      <c r="B53" s="62"/>
      <c r="C53" s="62"/>
      <c r="D53" s="62"/>
      <c r="E53" s="59"/>
    </row>
    <row r="54" spans="1:5" s="61" customFormat="1" ht="27.6" hidden="1" customHeight="1" x14ac:dyDescent="0.25">
      <c r="A54" s="60"/>
      <c r="B54" s="62"/>
      <c r="C54" s="62"/>
      <c r="D54" s="62"/>
      <c r="E54" s="59"/>
    </row>
    <row r="55" spans="1:5" s="61" customFormat="1" ht="27.6" hidden="1" customHeight="1" x14ac:dyDescent="0.25">
      <c r="A55" s="63"/>
      <c r="B55" s="64"/>
      <c r="C55" s="64"/>
      <c r="D55" s="64"/>
      <c r="E55" s="59"/>
    </row>
    <row r="56" spans="1:5" s="65" customFormat="1" ht="27.6" hidden="1" customHeight="1" x14ac:dyDescent="0.25">
      <c r="A56" s="63"/>
      <c r="B56" s="64"/>
      <c r="C56" s="64"/>
      <c r="D56" s="64"/>
      <c r="E56" s="59"/>
    </row>
    <row r="57" spans="1:5" s="65" customFormat="1" ht="27.6" hidden="1" customHeight="1" x14ac:dyDescent="0.25">
      <c r="A57" s="63"/>
      <c r="B57" s="64"/>
      <c r="C57" s="64"/>
      <c r="D57" s="64"/>
      <c r="E57" s="59"/>
    </row>
    <row r="58" spans="1:5" s="65" customFormat="1" ht="27.6" hidden="1" customHeight="1" x14ac:dyDescent="0.25">
      <c r="A58" s="63"/>
      <c r="B58" s="64"/>
      <c r="C58" s="64"/>
      <c r="D58" s="64"/>
      <c r="E58" s="59"/>
    </row>
    <row r="59" spans="1:5" s="65" customFormat="1" ht="27.6" hidden="1" customHeight="1" x14ac:dyDescent="0.25">
      <c r="A59" s="63"/>
      <c r="B59" s="64"/>
      <c r="C59" s="64"/>
      <c r="D59" s="64"/>
      <c r="E59" s="59"/>
    </row>
    <row r="60" spans="1:5" s="65" customFormat="1" ht="27.6" hidden="1" customHeight="1" x14ac:dyDescent="0.25">
      <c r="A60" s="63"/>
      <c r="B60" s="64"/>
      <c r="C60" s="64"/>
      <c r="D60" s="64"/>
      <c r="E60" s="59"/>
    </row>
    <row r="61" spans="1:5" s="65" customFormat="1" ht="27.6" hidden="1" customHeight="1" x14ac:dyDescent="0.25">
      <c r="A61" s="63"/>
      <c r="B61" s="64"/>
      <c r="C61" s="64"/>
      <c r="D61" s="64"/>
      <c r="E61" s="59"/>
    </row>
    <row r="62" spans="1:5" s="65" customFormat="1" ht="27.6" hidden="1" customHeight="1" x14ac:dyDescent="0.25">
      <c r="A62" s="63"/>
      <c r="B62" s="64"/>
      <c r="C62" s="64"/>
      <c r="D62" s="64"/>
      <c r="E62" s="59"/>
    </row>
    <row r="63" spans="1:5" s="65" customFormat="1" ht="27.6" hidden="1" customHeight="1" x14ac:dyDescent="0.25">
      <c r="A63" s="63"/>
      <c r="B63" s="64"/>
      <c r="C63" s="64"/>
      <c r="D63" s="64"/>
      <c r="E63" s="59"/>
    </row>
    <row r="64" spans="1:5" s="65" customFormat="1" ht="27.6" hidden="1" customHeight="1" x14ac:dyDescent="0.25">
      <c r="A64" s="63"/>
      <c r="B64" s="64"/>
      <c r="C64" s="64"/>
      <c r="D64" s="64"/>
      <c r="E64" s="59"/>
    </row>
    <row r="65" spans="1:5" s="65" customFormat="1" ht="27.6" hidden="1" customHeight="1" x14ac:dyDescent="0.25">
      <c r="A65" s="63"/>
      <c r="B65" s="64"/>
      <c r="C65" s="64"/>
      <c r="D65" s="64"/>
      <c r="E65" s="59"/>
    </row>
    <row r="66" spans="1:5" s="65" customFormat="1" ht="27.6" hidden="1" customHeight="1" x14ac:dyDescent="0.25">
      <c r="A66" s="63"/>
      <c r="B66" s="64"/>
      <c r="C66" s="64"/>
      <c r="D66" s="64"/>
      <c r="E66" s="59"/>
    </row>
    <row r="67" spans="1:5" s="65" customFormat="1" ht="27.6" hidden="1" customHeight="1" x14ac:dyDescent="0.25">
      <c r="A67" s="63"/>
      <c r="B67" s="64"/>
      <c r="C67" s="64"/>
      <c r="D67" s="64"/>
      <c r="E67" s="59"/>
    </row>
    <row r="68" spans="1:5" s="65" customFormat="1" ht="27.6" hidden="1" customHeight="1" x14ac:dyDescent="0.25">
      <c r="A68" s="63"/>
      <c r="B68" s="64"/>
      <c r="C68" s="64"/>
      <c r="D68" s="64"/>
      <c r="E68" s="59"/>
    </row>
    <row r="69" spans="1:5" s="65" customFormat="1" ht="27.6" hidden="1" customHeight="1" x14ac:dyDescent="0.25">
      <c r="A69" s="63"/>
      <c r="B69" s="64"/>
      <c r="C69" s="64"/>
      <c r="D69" s="64"/>
      <c r="E69" s="59"/>
    </row>
    <row r="70" spans="1:5" s="65" customFormat="1" ht="27.6" hidden="1" customHeight="1" x14ac:dyDescent="0.25">
      <c r="A70" s="63"/>
      <c r="B70" s="64"/>
      <c r="C70" s="64"/>
      <c r="D70" s="64"/>
      <c r="E70" s="59"/>
    </row>
    <row r="71" spans="1:5" s="65" customFormat="1" ht="27.6" hidden="1" customHeight="1" x14ac:dyDescent="0.25">
      <c r="A71" s="63"/>
      <c r="B71" s="64"/>
      <c r="C71" s="64"/>
      <c r="D71" s="64"/>
      <c r="E71" s="59"/>
    </row>
    <row r="72" spans="1:5" s="65" customFormat="1" ht="27.6" hidden="1" customHeight="1" x14ac:dyDescent="0.25">
      <c r="A72" s="63"/>
      <c r="B72" s="64"/>
      <c r="C72" s="64"/>
      <c r="D72" s="64"/>
      <c r="E72" s="59"/>
    </row>
    <row r="73" spans="1:5" s="65" customFormat="1" ht="27.6" hidden="1" customHeight="1" x14ac:dyDescent="0.25">
      <c r="A73" s="63"/>
      <c r="B73" s="64"/>
      <c r="C73" s="64"/>
      <c r="D73" s="64"/>
      <c r="E73" s="59"/>
    </row>
    <row r="74" spans="1:5" s="65" customFormat="1" ht="27.6" hidden="1" customHeight="1" x14ac:dyDescent="0.25">
      <c r="A74" s="63"/>
      <c r="B74" s="64"/>
      <c r="C74" s="64"/>
      <c r="D74" s="64"/>
      <c r="E74" s="59"/>
    </row>
    <row r="75" spans="1:5" s="65" customFormat="1" ht="27.6" hidden="1" customHeight="1" x14ac:dyDescent="0.25">
      <c r="A75" s="63"/>
      <c r="B75" s="64"/>
      <c r="C75" s="64"/>
      <c r="D75" s="64"/>
      <c r="E75" s="59"/>
    </row>
    <row r="76" spans="1:5" s="65" customFormat="1" ht="27.6" hidden="1" customHeight="1" x14ac:dyDescent="0.25">
      <c r="A76" s="63"/>
      <c r="B76" s="64"/>
      <c r="C76" s="64"/>
      <c r="D76" s="64"/>
      <c r="E76" s="59"/>
    </row>
    <row r="77" spans="1:5" s="65" customFormat="1" ht="27.6" hidden="1" customHeight="1" x14ac:dyDescent="0.25">
      <c r="A77" s="63"/>
      <c r="B77" s="64"/>
      <c r="C77" s="64"/>
      <c r="D77" s="64"/>
      <c r="E77" s="59"/>
    </row>
    <row r="78" spans="1:5" s="65" customFormat="1" ht="27.6" hidden="1" customHeight="1" x14ac:dyDescent="0.25">
      <c r="A78" s="63"/>
      <c r="B78" s="64"/>
      <c r="C78" s="64"/>
      <c r="D78" s="64"/>
      <c r="E78" s="59"/>
    </row>
    <row r="79" spans="1:5" s="65" customFormat="1" ht="27.6" hidden="1" customHeight="1" x14ac:dyDescent="0.25">
      <c r="A79" s="63"/>
      <c r="B79" s="64"/>
      <c r="C79" s="64"/>
      <c r="D79" s="64"/>
      <c r="E79" s="59"/>
    </row>
    <row r="80" spans="1:5" s="65" customFormat="1" ht="27.6" hidden="1" customHeight="1" x14ac:dyDescent="0.25">
      <c r="A80" s="63"/>
      <c r="B80" s="64"/>
      <c r="C80" s="64"/>
      <c r="D80" s="64"/>
      <c r="E80" s="59"/>
    </row>
    <row r="81" spans="1:5" s="65" customFormat="1" ht="27.6" hidden="1" customHeight="1" x14ac:dyDescent="0.25">
      <c r="A81" s="63"/>
      <c r="B81" s="64"/>
      <c r="C81" s="64"/>
      <c r="D81" s="64"/>
      <c r="E81" s="59"/>
    </row>
    <row r="82" spans="1:5" s="65" customFormat="1" ht="27.6" hidden="1" customHeight="1" x14ac:dyDescent="0.25">
      <c r="A82" s="63"/>
      <c r="B82" s="64"/>
      <c r="C82" s="64"/>
      <c r="D82" s="64"/>
      <c r="E82" s="59"/>
    </row>
    <row r="83" spans="1:5" s="65" customFormat="1" ht="27.6" hidden="1" customHeight="1" x14ac:dyDescent="0.25">
      <c r="A83" s="63"/>
      <c r="B83" s="64"/>
      <c r="C83" s="64"/>
      <c r="D83" s="64"/>
      <c r="E83" s="59"/>
    </row>
    <row r="84" spans="1:5" s="65" customFormat="1" ht="27.6" hidden="1" customHeight="1" x14ac:dyDescent="0.25">
      <c r="A84" s="63"/>
      <c r="B84" s="64"/>
      <c r="C84" s="64"/>
      <c r="D84" s="64"/>
      <c r="E84" s="59"/>
    </row>
    <row r="85" spans="1:5" s="65" customFormat="1" ht="27.6" hidden="1" customHeight="1" x14ac:dyDescent="0.25">
      <c r="A85" s="63"/>
      <c r="B85" s="64"/>
      <c r="C85" s="64"/>
      <c r="D85" s="64"/>
      <c r="E85" s="59"/>
    </row>
    <row r="86" spans="1:5" s="65" customFormat="1" ht="27.6" hidden="1" customHeight="1" x14ac:dyDescent="0.25">
      <c r="A86" s="63"/>
      <c r="B86" s="64"/>
      <c r="C86" s="64"/>
      <c r="D86" s="64"/>
      <c r="E86" s="59"/>
    </row>
    <row r="87" spans="1:5" s="65" customFormat="1" ht="27.6" hidden="1" customHeight="1" x14ac:dyDescent="0.25">
      <c r="A87" s="63"/>
      <c r="B87" s="64"/>
      <c r="C87" s="64"/>
      <c r="D87" s="64"/>
      <c r="E87" s="59"/>
    </row>
    <row r="88" spans="1:5" s="65" customFormat="1" ht="27.6" hidden="1" customHeight="1" x14ac:dyDescent="0.25">
      <c r="A88" s="63"/>
      <c r="B88" s="64"/>
      <c r="C88" s="64"/>
      <c r="D88" s="64"/>
      <c r="E88" s="59"/>
    </row>
    <row r="89" spans="1:5" s="65" customFormat="1" ht="27.6" hidden="1" customHeight="1" x14ac:dyDescent="0.25">
      <c r="A89" s="63"/>
      <c r="B89" s="64"/>
      <c r="C89" s="64"/>
      <c r="D89" s="64"/>
      <c r="E89" s="59"/>
    </row>
    <row r="90" spans="1:5" s="65" customFormat="1" ht="27.6" hidden="1" customHeight="1" x14ac:dyDescent="0.25">
      <c r="A90" s="63"/>
      <c r="B90" s="64"/>
      <c r="C90" s="64"/>
      <c r="D90" s="64"/>
      <c r="E90" s="59"/>
    </row>
    <row r="91" spans="1:5" s="65" customFormat="1" ht="27.6" hidden="1" customHeight="1" x14ac:dyDescent="0.25">
      <c r="A91" s="63"/>
      <c r="B91" s="64"/>
      <c r="C91" s="64"/>
      <c r="D91" s="64"/>
      <c r="E91" s="59"/>
    </row>
    <row r="92" spans="1:5" s="65" customFormat="1" ht="27.6" hidden="1" customHeight="1" x14ac:dyDescent="0.25">
      <c r="A92" s="63"/>
      <c r="B92" s="64"/>
      <c r="C92" s="64"/>
      <c r="D92" s="64"/>
      <c r="E92" s="59"/>
    </row>
    <row r="93" spans="1:5" s="65" customFormat="1" ht="27.6" hidden="1" customHeight="1" x14ac:dyDescent="0.25">
      <c r="A93" s="63"/>
      <c r="B93" s="64"/>
      <c r="C93" s="64"/>
      <c r="D93" s="64"/>
      <c r="E93" s="59"/>
    </row>
    <row r="94" spans="1:5" s="65" customFormat="1" ht="27.6" hidden="1" customHeight="1" x14ac:dyDescent="0.25">
      <c r="A94" s="63"/>
      <c r="B94" s="64"/>
      <c r="C94" s="64"/>
      <c r="D94" s="64"/>
      <c r="E94" s="59"/>
    </row>
    <row r="95" spans="1:5" s="65" customFormat="1" ht="27.6" hidden="1" customHeight="1" x14ac:dyDescent="0.25">
      <c r="A95" s="63"/>
      <c r="B95" s="64"/>
      <c r="C95" s="64"/>
      <c r="D95" s="64"/>
      <c r="E95" s="59"/>
    </row>
    <row r="96" spans="1:5" s="65" customFormat="1" ht="27.6" hidden="1" customHeight="1" x14ac:dyDescent="0.25">
      <c r="A96" s="63"/>
      <c r="B96" s="64"/>
      <c r="C96" s="64"/>
      <c r="D96" s="64"/>
      <c r="E96" s="59"/>
    </row>
    <row r="97" spans="1:5" s="65" customFormat="1" ht="27.6" hidden="1" customHeight="1" x14ac:dyDescent="0.25">
      <c r="A97" s="63"/>
      <c r="B97" s="64"/>
      <c r="C97" s="64"/>
      <c r="D97" s="64"/>
      <c r="E97" s="59"/>
    </row>
    <row r="98" spans="1:5" s="65" customFormat="1" ht="27.6" hidden="1" customHeight="1" x14ac:dyDescent="0.25">
      <c r="A98" s="63"/>
      <c r="B98" s="64"/>
      <c r="C98" s="64"/>
      <c r="D98" s="64"/>
      <c r="E98" s="59"/>
    </row>
    <row r="99" spans="1:5" s="65" customFormat="1" ht="27.6" hidden="1" customHeight="1" x14ac:dyDescent="0.25">
      <c r="A99" s="63"/>
      <c r="B99" s="64"/>
      <c r="C99" s="64"/>
      <c r="D99" s="64"/>
      <c r="E99" s="59"/>
    </row>
    <row r="100" spans="1:5" s="65" customFormat="1" ht="27.6" hidden="1" customHeight="1" x14ac:dyDescent="0.25">
      <c r="A100" s="63"/>
      <c r="B100" s="64"/>
      <c r="C100" s="64"/>
      <c r="D100" s="64"/>
      <c r="E100" s="59"/>
    </row>
    <row r="101" spans="1:5" s="65" customFormat="1" ht="27.6" hidden="1" customHeight="1" x14ac:dyDescent="0.25">
      <c r="A101" s="63"/>
      <c r="B101" s="64"/>
      <c r="C101" s="64"/>
      <c r="D101" s="64"/>
      <c r="E101" s="59"/>
    </row>
    <row r="102" spans="1:5" s="65" customFormat="1" ht="27.6" hidden="1" customHeight="1" x14ac:dyDescent="0.25">
      <c r="A102" s="63"/>
      <c r="B102" s="64"/>
      <c r="C102" s="64"/>
      <c r="D102" s="64"/>
      <c r="E102" s="59"/>
    </row>
    <row r="103" spans="1:5" s="65" customFormat="1" ht="27.6" hidden="1" customHeight="1" x14ac:dyDescent="0.25">
      <c r="A103" s="63"/>
      <c r="B103" s="64"/>
      <c r="C103" s="64"/>
      <c r="D103" s="64"/>
      <c r="E103" s="59"/>
    </row>
    <row r="104" spans="1:5" s="65" customFormat="1" ht="27.6" hidden="1" customHeight="1" x14ac:dyDescent="0.25">
      <c r="A104" s="63"/>
      <c r="B104" s="64"/>
      <c r="C104" s="64"/>
      <c r="D104" s="64"/>
      <c r="E104" s="59"/>
    </row>
    <row r="105" spans="1:5" s="65" customFormat="1" ht="27.6" hidden="1" customHeight="1" x14ac:dyDescent="0.25">
      <c r="A105" s="63"/>
      <c r="B105" s="64"/>
      <c r="C105" s="64"/>
      <c r="D105" s="64"/>
      <c r="E105" s="59"/>
    </row>
    <row r="106" spans="1:5" s="65" customFormat="1" ht="27.6" hidden="1" customHeight="1" x14ac:dyDescent="0.25">
      <c r="A106" s="63"/>
      <c r="B106" s="64"/>
      <c r="C106" s="64"/>
      <c r="D106" s="64"/>
      <c r="E106" s="59"/>
    </row>
    <row r="107" spans="1:5" s="65" customFormat="1" ht="27.6" hidden="1" customHeight="1" x14ac:dyDescent="0.25">
      <c r="A107" s="63"/>
      <c r="B107" s="64"/>
      <c r="C107" s="64"/>
      <c r="D107" s="64"/>
      <c r="E107" s="59"/>
    </row>
    <row r="108" spans="1:5" s="65" customFormat="1" ht="27.6" hidden="1" customHeight="1" x14ac:dyDescent="0.25">
      <c r="A108" s="63"/>
      <c r="B108" s="64"/>
      <c r="C108" s="64"/>
      <c r="D108" s="64"/>
      <c r="E108" s="59"/>
    </row>
    <row r="109" spans="1:5" s="65" customFormat="1" ht="27.6" hidden="1" customHeight="1" x14ac:dyDescent="0.25">
      <c r="A109" s="63"/>
      <c r="B109" s="64"/>
      <c r="C109" s="64"/>
      <c r="D109" s="64"/>
      <c r="E109" s="59"/>
    </row>
    <row r="110" spans="1:5" s="65" customFormat="1" ht="27.6" hidden="1" customHeight="1" x14ac:dyDescent="0.25">
      <c r="A110" s="63"/>
      <c r="B110" s="64"/>
      <c r="C110" s="64"/>
      <c r="D110" s="64"/>
      <c r="E110" s="59"/>
    </row>
    <row r="111" spans="1:5" s="65" customFormat="1" ht="27.6" hidden="1" customHeight="1" x14ac:dyDescent="0.25">
      <c r="A111" s="63"/>
      <c r="B111" s="64"/>
      <c r="C111" s="64"/>
      <c r="D111" s="64"/>
      <c r="E111" s="59"/>
    </row>
    <row r="112" spans="1:5" s="65" customFormat="1" ht="27.6" hidden="1" customHeight="1" x14ac:dyDescent="0.25">
      <c r="A112" s="63"/>
      <c r="B112" s="64"/>
      <c r="C112" s="64"/>
      <c r="D112" s="64"/>
      <c r="E112" s="59"/>
    </row>
    <row r="113" spans="1:5" s="65" customFormat="1" ht="27.6" hidden="1" customHeight="1" x14ac:dyDescent="0.25">
      <c r="A113" s="63"/>
      <c r="B113" s="64"/>
      <c r="C113" s="64"/>
      <c r="D113" s="64"/>
      <c r="E113" s="59"/>
    </row>
    <row r="114" spans="1:5" s="65" customFormat="1" ht="27.6" hidden="1" customHeight="1" x14ac:dyDescent="0.25">
      <c r="A114" s="63"/>
      <c r="B114" s="64"/>
      <c r="C114" s="64"/>
      <c r="D114" s="64"/>
      <c r="E114" s="59"/>
    </row>
    <row r="115" spans="1:5" s="65" customFormat="1" ht="27.6" hidden="1" customHeight="1" x14ac:dyDescent="0.25">
      <c r="A115" s="63"/>
      <c r="B115" s="64"/>
      <c r="C115" s="64"/>
      <c r="D115" s="64"/>
      <c r="E115" s="59"/>
    </row>
    <row r="116" spans="1:5" s="65" customFormat="1" ht="27.6" hidden="1" customHeight="1" x14ac:dyDescent="0.25">
      <c r="A116" s="63"/>
      <c r="B116" s="64"/>
      <c r="C116" s="64"/>
      <c r="D116" s="64"/>
      <c r="E116" s="59"/>
    </row>
    <row r="117" spans="1:5" s="65" customFormat="1" ht="27.6" hidden="1" customHeight="1" x14ac:dyDescent="0.25">
      <c r="A117" s="63"/>
      <c r="B117" s="64"/>
      <c r="C117" s="64"/>
      <c r="D117" s="64"/>
      <c r="E117" s="59"/>
    </row>
    <row r="118" spans="1:5" s="65" customFormat="1" ht="27.6" hidden="1" customHeight="1" x14ac:dyDescent="0.25">
      <c r="A118" s="63"/>
      <c r="B118" s="64"/>
      <c r="C118" s="64"/>
      <c r="D118" s="64"/>
      <c r="E118" s="59"/>
    </row>
    <row r="119" spans="1:5" s="65" customFormat="1" ht="27.6" hidden="1" customHeight="1" x14ac:dyDescent="0.25">
      <c r="A119" s="63"/>
      <c r="B119" s="64"/>
      <c r="C119" s="64"/>
      <c r="D119" s="64"/>
      <c r="E119" s="59"/>
    </row>
    <row r="120" spans="1:5" s="65" customFormat="1" ht="27.6" hidden="1" customHeight="1" x14ac:dyDescent="0.25">
      <c r="A120" s="63"/>
      <c r="B120" s="64"/>
      <c r="C120" s="64"/>
      <c r="D120" s="64"/>
      <c r="E120" s="59"/>
    </row>
    <row r="121" spans="1:5" s="65" customFormat="1" ht="27.6" hidden="1" customHeight="1" x14ac:dyDescent="0.25">
      <c r="A121" s="63"/>
      <c r="B121" s="64"/>
      <c r="C121" s="64"/>
      <c r="D121" s="64"/>
      <c r="E121" s="59"/>
    </row>
    <row r="122" spans="1:5" s="65" customFormat="1" ht="27.6" hidden="1" customHeight="1" x14ac:dyDescent="0.25">
      <c r="A122" s="63"/>
      <c r="B122" s="64"/>
      <c r="C122" s="64"/>
      <c r="D122" s="64"/>
      <c r="E122" s="59"/>
    </row>
    <row r="123" spans="1:5" s="65" customFormat="1" ht="27.6" hidden="1" customHeight="1" x14ac:dyDescent="0.25">
      <c r="A123" s="63"/>
      <c r="B123" s="64"/>
      <c r="C123" s="64"/>
      <c r="D123" s="64"/>
      <c r="E123" s="59"/>
    </row>
  </sheetData>
  <sheetProtection algorithmName="SHA-512" hashValue="EmVi434TV6ii+quqetm5C8Xr0aMz2XITk6hWxbYW2Ci0bSKI/oKATYisr7SKnzrTt9Qtf6i9h5jFUG40xsQe9w==" saltValue="h3SVu19VUlh01VJhY0PrQA==" spinCount="100000" sheet="1" objects="1" scenarios="1" sort="0" autoFilter="0"/>
  <mergeCells count="2">
    <mergeCell ref="B1:C1"/>
    <mergeCell ref="D1:E1"/>
  </mergeCells>
  <conditionalFormatting sqref="A10:A123">
    <cfRule type="duplicateValues" dxfId="11" priority="2"/>
  </conditionalFormatting>
  <conditionalFormatting sqref="A3:D3">
    <cfRule type="cellIs" dxfId="10" priority="1" operator="equal">
      <formula>0</formula>
    </cfRule>
  </conditionalFormatting>
  <conditionalFormatting sqref="E10:E123">
    <cfRule type="cellIs" dxfId="9" priority="3" operator="equal">
      <formula>"F"</formula>
    </cfRule>
    <cfRule type="cellIs" dxfId="8" priority="4" operator="equal">
      <formula>"FAIL"</formula>
    </cfRule>
    <cfRule type="cellIs" dxfId="7" priority="5" operator="equal">
      <formula>"P"</formula>
    </cfRule>
    <cfRule type="cellIs" dxfId="6" priority="6" operator="equal">
      <formula>"PASS"</formula>
    </cfRule>
  </conditionalFormatting>
  <hyperlinks>
    <hyperlink ref="B1" location="INDEX!A1" display="RETURN TO INDEX" xr:uid="{13D76FF6-FAE2-47C3-A91E-D3057D26A0CC}"/>
    <hyperlink ref="D1:E1" location="'QCI Sample Selection'!A1" display="QCI SAMPLE SELECTION" xr:uid="{F778A70F-1693-402F-93DC-927C1255A8C6}"/>
  </hyperlinks>
  <printOptions horizontalCentered="1" verticalCentered="1"/>
  <pageMargins left="0.25" right="0.25" top="0.75" bottom="0.75" header="0.3" footer="0.3"/>
  <pageSetup scale="27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7650-DEB0-4078-B885-26378A769F4D}">
  <sheetPr>
    <tabColor theme="4" tint="-0.249977111117893"/>
  </sheetPr>
  <dimension ref="A1:K31"/>
  <sheetViews>
    <sheetView workbookViewId="0">
      <pane ySplit="9" topLeftCell="A10" activePane="bottomLeft" state="frozen"/>
      <selection activeCell="D250" sqref="D250"/>
      <selection pane="bottomLeft" activeCell="B4" sqref="B4"/>
    </sheetView>
  </sheetViews>
  <sheetFormatPr defaultColWidth="0" defaultRowHeight="15" customHeight="1" zeroHeight="1" x14ac:dyDescent="0.25"/>
  <cols>
    <col min="1" max="1" width="27.5703125" customWidth="1"/>
    <col min="2" max="2" width="21.5703125" customWidth="1"/>
    <col min="3" max="3" width="17.7109375" customWidth="1"/>
    <col min="4" max="4" width="14.7109375" bestFit="1" customWidth="1"/>
    <col min="5" max="5" width="15" customWidth="1"/>
    <col min="6" max="6" width="9.140625" hidden="1" customWidth="1"/>
    <col min="7" max="11" width="0" hidden="1" customWidth="1"/>
    <col min="12" max="16384" width="9.140625" hidden="1"/>
  </cols>
  <sheetData>
    <row r="1" spans="1:5" s="67" customFormat="1" ht="27.75" customHeight="1" x14ac:dyDescent="0.25">
      <c r="A1" s="66" t="s">
        <v>86</v>
      </c>
      <c r="B1" s="73" t="s">
        <v>1</v>
      </c>
      <c r="C1" s="73"/>
      <c r="D1" s="73" t="s">
        <v>2</v>
      </c>
      <c r="E1" s="73"/>
    </row>
    <row r="2" spans="1:5" ht="15.75" x14ac:dyDescent="0.25">
      <c r="A2" s="37" t="s">
        <v>98</v>
      </c>
      <c r="B2" s="38" t="s">
        <v>99</v>
      </c>
      <c r="C2" s="38" t="s">
        <v>100</v>
      </c>
      <c r="D2" s="38" t="s">
        <v>101</v>
      </c>
      <c r="E2" s="7"/>
    </row>
    <row r="3" spans="1:5" ht="18.75" x14ac:dyDescent="0.25">
      <c r="A3" s="40" t="s">
        <v>97</v>
      </c>
      <c r="B3" s="40" t="s">
        <v>97</v>
      </c>
      <c r="C3" s="41"/>
      <c r="D3" s="41">
        <v>2351</v>
      </c>
      <c r="E3" s="41"/>
    </row>
    <row r="4" spans="1:5" ht="27.6" customHeight="1" x14ac:dyDescent="0.35">
      <c r="A4" s="42" t="str">
        <f>"N= " &amp; COUNT($A$10:$A$31)</f>
        <v>N= 22</v>
      </c>
      <c r="B4" s="43" t="s">
        <v>72</v>
      </c>
      <c r="C4" s="44" t="s">
        <v>73</v>
      </c>
      <c r="D4" s="68"/>
      <c r="E4" s="69"/>
    </row>
    <row r="5" spans="1:5" ht="27.6" customHeight="1" x14ac:dyDescent="0.4">
      <c r="A5" s="46" t="str">
        <f>IF(COUNT($A$11:$A$30)=COUNTIF($E$11:$E$30,"PASS"),"PASS","FAIL")</f>
        <v>PASS</v>
      </c>
      <c r="B5" s="43" t="s">
        <v>74</v>
      </c>
      <c r="C5" s="47">
        <v>45316.556944444441</v>
      </c>
      <c r="D5" s="68"/>
      <c r="E5" s="68"/>
    </row>
    <row r="6" spans="1:5" ht="27.6" customHeight="1" x14ac:dyDescent="0.25">
      <c r="A6" s="53"/>
      <c r="B6" s="53" t="s">
        <v>87</v>
      </c>
      <c r="C6" s="53" t="s">
        <v>88</v>
      </c>
      <c r="D6" s="53" t="s">
        <v>89</v>
      </c>
      <c r="E6" s="53" t="s">
        <v>90</v>
      </c>
    </row>
    <row r="7" spans="1:5" ht="27.6" customHeight="1" x14ac:dyDescent="0.25">
      <c r="A7" s="53"/>
      <c r="B7" s="53" t="s">
        <v>91</v>
      </c>
      <c r="C7" s="53" t="s">
        <v>92</v>
      </c>
      <c r="D7" s="53" t="s">
        <v>93</v>
      </c>
      <c r="E7" s="53" t="s">
        <v>85</v>
      </c>
    </row>
    <row r="8" spans="1:5" ht="27.6" customHeight="1" x14ac:dyDescent="0.25">
      <c r="A8" s="53" t="s">
        <v>94</v>
      </c>
      <c r="B8" s="53" t="s">
        <v>95</v>
      </c>
      <c r="C8" s="53" t="s">
        <v>95</v>
      </c>
      <c r="D8" s="53" t="s">
        <v>95</v>
      </c>
      <c r="E8" s="53"/>
    </row>
    <row r="9" spans="1:5" ht="27.6" customHeight="1" x14ac:dyDescent="0.25">
      <c r="A9" s="53" t="s">
        <v>96</v>
      </c>
      <c r="B9" s="70">
        <v>2.9</v>
      </c>
      <c r="C9" s="70">
        <v>3.2</v>
      </c>
      <c r="D9" s="70">
        <v>6.6</v>
      </c>
      <c r="E9" s="53"/>
    </row>
    <row r="10" spans="1:5" ht="27.6" customHeight="1" x14ac:dyDescent="0.25">
      <c r="A10" s="57">
        <v>2</v>
      </c>
      <c r="B10" s="71">
        <v>1.8592</v>
      </c>
      <c r="C10" s="71">
        <v>0.504</v>
      </c>
      <c r="D10" s="71">
        <v>4.9951999999999996</v>
      </c>
      <c r="E10" s="58" t="str">
        <f>IF(AND(B10&lt;&gt;"",B10&lt;=B$9,C10&lt;&gt;"",C10&lt;=C$9,D10&lt;&gt;"",D10&lt;=D$9),"PASS","FAIL")</f>
        <v>PASS</v>
      </c>
    </row>
    <row r="11" spans="1:5" ht="27.6" customHeight="1" x14ac:dyDescent="0.25">
      <c r="A11" s="57">
        <v>7</v>
      </c>
      <c r="B11" s="71">
        <v>1.4672000000000001</v>
      </c>
      <c r="C11" s="71">
        <v>3.1472000000000002</v>
      </c>
      <c r="D11" s="71">
        <v>5.1184000000000003</v>
      </c>
      <c r="E11" s="58" t="str">
        <f t="shared" ref="E11:E31" si="0">IF(AND(B11&lt;&gt;"",B11&lt;=B$9,C11&lt;&gt;"",C11&lt;=C$9,D11&lt;&gt;"",D11&lt;=D$9),"PASS","FAIL")</f>
        <v>PASS</v>
      </c>
    </row>
    <row r="12" spans="1:5" ht="27.6" customHeight="1" x14ac:dyDescent="0.25">
      <c r="A12" s="57">
        <v>12</v>
      </c>
      <c r="B12" s="71">
        <v>1.8815999999999999</v>
      </c>
      <c r="C12" s="71">
        <v>0.53759999999999997</v>
      </c>
      <c r="D12" s="71">
        <v>4.7824</v>
      </c>
      <c r="E12" s="58" t="str">
        <f t="shared" si="0"/>
        <v>PASS</v>
      </c>
    </row>
    <row r="13" spans="1:5" ht="27.6" customHeight="1" x14ac:dyDescent="0.25">
      <c r="A13" s="57">
        <v>13</v>
      </c>
      <c r="B13" s="71">
        <v>1.9712000000000001</v>
      </c>
      <c r="C13" s="71">
        <v>0.56000000000000005</v>
      </c>
      <c r="D13" s="71">
        <v>4.9728000000000003</v>
      </c>
      <c r="E13" s="58" t="str">
        <f t="shared" si="0"/>
        <v>PASS</v>
      </c>
    </row>
    <row r="14" spans="1:5" ht="27.6" customHeight="1" x14ac:dyDescent="0.25">
      <c r="A14" s="57">
        <v>19</v>
      </c>
      <c r="B14" s="71">
        <v>1.8480000000000001</v>
      </c>
      <c r="C14" s="71">
        <v>0.53759999999999997</v>
      </c>
      <c r="D14" s="71">
        <v>4.9391999999999996</v>
      </c>
      <c r="E14" s="58" t="str">
        <f t="shared" si="0"/>
        <v>PASS</v>
      </c>
    </row>
    <row r="15" spans="1:5" ht="27.6" customHeight="1" x14ac:dyDescent="0.25">
      <c r="A15" s="57">
        <v>24</v>
      </c>
      <c r="B15" s="71">
        <v>1.9488000000000001</v>
      </c>
      <c r="C15" s="71">
        <v>0.54879999999999995</v>
      </c>
      <c r="D15" s="71">
        <v>5.04</v>
      </c>
      <c r="E15" s="58" t="str">
        <f t="shared" si="0"/>
        <v>PASS</v>
      </c>
    </row>
    <row r="16" spans="1:5" ht="27.6" customHeight="1" x14ac:dyDescent="0.25">
      <c r="A16" s="57">
        <v>26</v>
      </c>
      <c r="B16" s="71">
        <v>1.8928</v>
      </c>
      <c r="C16" s="71">
        <v>0.52639999999999998</v>
      </c>
      <c r="D16" s="71">
        <v>4.8719999999999999</v>
      </c>
      <c r="E16" s="58" t="str">
        <f t="shared" si="0"/>
        <v>PASS</v>
      </c>
    </row>
    <row r="17" spans="1:5" ht="27.6" customHeight="1" x14ac:dyDescent="0.25">
      <c r="A17" s="57">
        <v>29</v>
      </c>
      <c r="B17" s="71">
        <v>1.9488000000000001</v>
      </c>
      <c r="C17" s="71">
        <v>0.56000000000000005</v>
      </c>
      <c r="D17" s="71">
        <v>4.8944000000000001</v>
      </c>
      <c r="E17" s="58" t="str">
        <f t="shared" si="0"/>
        <v>PASS</v>
      </c>
    </row>
    <row r="18" spans="1:5" ht="27.6" customHeight="1" x14ac:dyDescent="0.25">
      <c r="A18" s="57">
        <v>30</v>
      </c>
      <c r="B18" s="71">
        <v>1.9488000000000001</v>
      </c>
      <c r="C18" s="71">
        <v>0.56000000000000005</v>
      </c>
      <c r="D18" s="71">
        <v>4.8719999999999999</v>
      </c>
      <c r="E18" s="58" t="str">
        <f t="shared" si="0"/>
        <v>PASS</v>
      </c>
    </row>
    <row r="19" spans="1:5" ht="27.6" customHeight="1" x14ac:dyDescent="0.25">
      <c r="A19" s="57">
        <v>39</v>
      </c>
      <c r="B19" s="71">
        <v>1.8928</v>
      </c>
      <c r="C19" s="71">
        <v>0.53759999999999997</v>
      </c>
      <c r="D19" s="71">
        <v>4.9615999999999998</v>
      </c>
      <c r="E19" s="58" t="str">
        <f t="shared" si="0"/>
        <v>PASS</v>
      </c>
    </row>
    <row r="20" spans="1:5" ht="27.6" customHeight="1" x14ac:dyDescent="0.25">
      <c r="A20" s="57">
        <v>41</v>
      </c>
      <c r="B20" s="71">
        <v>1.8480000000000001</v>
      </c>
      <c r="C20" s="71">
        <v>0.51519999999999999</v>
      </c>
      <c r="D20" s="71">
        <v>5.0288000000000004</v>
      </c>
      <c r="E20" s="58" t="str">
        <f t="shared" si="0"/>
        <v>PASS</v>
      </c>
    </row>
    <row r="21" spans="1:5" ht="27.6" customHeight="1" x14ac:dyDescent="0.25">
      <c r="A21" s="57">
        <v>47</v>
      </c>
      <c r="B21" s="71">
        <v>1.8592</v>
      </c>
      <c r="C21" s="71">
        <v>0.52639999999999998</v>
      </c>
      <c r="D21" s="71">
        <v>5.0064000000000002</v>
      </c>
      <c r="E21" s="58" t="str">
        <f t="shared" si="0"/>
        <v>PASS</v>
      </c>
    </row>
    <row r="22" spans="1:5" ht="27.6" customHeight="1" x14ac:dyDescent="0.25">
      <c r="A22" s="57">
        <v>81</v>
      </c>
      <c r="B22" s="71">
        <v>1.9488000000000001</v>
      </c>
      <c r="C22" s="71">
        <v>0.54879999999999995</v>
      </c>
      <c r="D22" s="71">
        <v>4.9055999999999997</v>
      </c>
      <c r="E22" s="58" t="str">
        <f t="shared" si="0"/>
        <v>PASS</v>
      </c>
    </row>
    <row r="23" spans="1:5" ht="27.6" customHeight="1" x14ac:dyDescent="0.25">
      <c r="A23" s="57">
        <v>118</v>
      </c>
      <c r="B23" s="71">
        <v>1.5344</v>
      </c>
      <c r="C23" s="71">
        <v>3.1135999999999999</v>
      </c>
      <c r="D23" s="71">
        <v>4.8944000000000001</v>
      </c>
      <c r="E23" s="58" t="str">
        <f t="shared" si="0"/>
        <v>PASS</v>
      </c>
    </row>
    <row r="24" spans="1:5" ht="27.6" customHeight="1" x14ac:dyDescent="0.25">
      <c r="A24" s="57">
        <v>133</v>
      </c>
      <c r="B24" s="71">
        <v>2.0047999999999999</v>
      </c>
      <c r="C24" s="71">
        <v>0.52639999999999998</v>
      </c>
      <c r="D24" s="71">
        <v>4.9391999999999996</v>
      </c>
      <c r="E24" s="58" t="str">
        <f t="shared" si="0"/>
        <v>PASS</v>
      </c>
    </row>
    <row r="25" spans="1:5" ht="27.6" customHeight="1" x14ac:dyDescent="0.25">
      <c r="A25" s="57">
        <v>144</v>
      </c>
      <c r="B25" s="71">
        <v>1.9039999999999999</v>
      </c>
      <c r="C25" s="71">
        <v>0.53759999999999997</v>
      </c>
      <c r="D25" s="71">
        <v>4.984</v>
      </c>
      <c r="E25" s="58" t="str">
        <f t="shared" si="0"/>
        <v>PASS</v>
      </c>
    </row>
    <row r="26" spans="1:5" ht="27.6" customHeight="1" x14ac:dyDescent="0.25">
      <c r="A26" s="57">
        <v>150</v>
      </c>
      <c r="B26" s="71">
        <v>2.0272000000000001</v>
      </c>
      <c r="C26" s="71">
        <v>0.54879999999999995</v>
      </c>
      <c r="D26" s="71">
        <v>4.9728000000000003</v>
      </c>
      <c r="E26" s="58" t="str">
        <f t="shared" si="0"/>
        <v>PASS</v>
      </c>
    </row>
    <row r="27" spans="1:5" ht="27.6" customHeight="1" x14ac:dyDescent="0.25">
      <c r="A27" s="57">
        <v>157</v>
      </c>
      <c r="B27" s="71">
        <v>1.8480000000000001</v>
      </c>
      <c r="C27" s="71">
        <v>0.51519999999999999</v>
      </c>
      <c r="D27" s="71">
        <v>4.7824</v>
      </c>
      <c r="E27" s="58" t="str">
        <f t="shared" si="0"/>
        <v>PASS</v>
      </c>
    </row>
    <row r="28" spans="1:5" ht="27.6" customHeight="1" x14ac:dyDescent="0.25">
      <c r="A28" s="57">
        <v>191</v>
      </c>
      <c r="B28" s="71">
        <v>1.8704000000000001</v>
      </c>
      <c r="C28" s="71">
        <v>0.51519999999999999</v>
      </c>
      <c r="D28" s="71">
        <v>4.984</v>
      </c>
      <c r="E28" s="58" t="str">
        <f t="shared" si="0"/>
        <v>PASS</v>
      </c>
    </row>
    <row r="29" spans="1:5" ht="27.6" customHeight="1" x14ac:dyDescent="0.25">
      <c r="A29" s="57">
        <v>214</v>
      </c>
      <c r="B29" s="71">
        <v>2.0384000000000002</v>
      </c>
      <c r="C29" s="71">
        <v>0.53759999999999997</v>
      </c>
      <c r="D29" s="71">
        <v>4.8495999999999997</v>
      </c>
      <c r="E29" s="58" t="str">
        <f t="shared" si="0"/>
        <v>PASS</v>
      </c>
    </row>
    <row r="30" spans="1:5" ht="27.6" customHeight="1" x14ac:dyDescent="0.25">
      <c r="A30" s="57">
        <v>237</v>
      </c>
      <c r="B30" s="71">
        <v>1.8928</v>
      </c>
      <c r="C30" s="71">
        <v>0.53759999999999997</v>
      </c>
      <c r="D30" s="71">
        <v>4.7039999999999997</v>
      </c>
      <c r="E30" s="58" t="str">
        <f t="shared" si="0"/>
        <v>PASS</v>
      </c>
    </row>
    <row r="31" spans="1:5" ht="15.75" x14ac:dyDescent="0.25">
      <c r="A31" s="57">
        <v>239</v>
      </c>
      <c r="B31" s="71">
        <v>1.8815999999999999</v>
      </c>
      <c r="C31" s="71">
        <v>0.53759999999999997</v>
      </c>
      <c r="D31" s="71">
        <v>4.9951999999999996</v>
      </c>
      <c r="E31" s="58" t="str">
        <f t="shared" si="0"/>
        <v>PASS</v>
      </c>
    </row>
  </sheetData>
  <sheetProtection algorithmName="SHA-512" hashValue="XxMwxn7Vf2NrzwiQJ33p7t4XhZjzZh/WZ1JaDfX/Vjobrl/J+aMMdHOpZFBrfi3pOFHHBhomUhLOxYRHRQCHpA==" saltValue="9musfvifksW8Kjp4hLtzyg==" spinCount="100000" sheet="1" objects="1" scenarios="1" sort="0" autoFilter="0"/>
  <mergeCells count="2">
    <mergeCell ref="B1:C1"/>
    <mergeCell ref="D1:E1"/>
  </mergeCells>
  <conditionalFormatting sqref="A10:A31">
    <cfRule type="duplicateValues" dxfId="5" priority="7"/>
  </conditionalFormatting>
  <conditionalFormatting sqref="A3:D3">
    <cfRule type="cellIs" dxfId="4" priority="1" operator="equal">
      <formula>0</formula>
    </cfRule>
  </conditionalFormatting>
  <conditionalFormatting sqref="E10:E31">
    <cfRule type="cellIs" dxfId="3" priority="3" operator="equal">
      <formula>"F"</formula>
    </cfRule>
    <cfRule type="cellIs" dxfId="2" priority="4" operator="equal">
      <formula>"FAIL"</formula>
    </cfRule>
    <cfRule type="cellIs" dxfId="1" priority="5" operator="equal">
      <formula>"P"</formula>
    </cfRule>
    <cfRule type="cellIs" dxfId="0" priority="6" operator="equal">
      <formula>"PASS"</formula>
    </cfRule>
  </conditionalFormatting>
  <hyperlinks>
    <hyperlink ref="B1" location="INDEX!A1" display="RETURN TO INDEX" xr:uid="{BA6E2934-0B3E-4A91-B31B-25DE0B811537}"/>
    <hyperlink ref="D1:E1" location="'QCI Sample Selection'!A1" display="QCI SAMPLE SELECTION" xr:uid="{8C460598-62D4-42ED-B8F6-7C58106FF512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A Traveler</vt:lpstr>
      <vt:lpstr>GROUP A1</vt:lpstr>
      <vt:lpstr>GROUP A2 25C</vt:lpstr>
      <vt:lpstr>GROUP A3 125C</vt:lpstr>
      <vt:lpstr>GROUP A3 -55C</vt:lpstr>
      <vt:lpstr>GROUP A7 CAPACITANCE</vt:lpstr>
      <vt:lpstr>GROUP A7 GATE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2024-09-19T17:46:50Z</dcterms:created>
  <dcterms:modified xsi:type="dcterms:W3CDTF">2024-10-09T18:19:46Z</dcterms:modified>
</cp:coreProperties>
</file>