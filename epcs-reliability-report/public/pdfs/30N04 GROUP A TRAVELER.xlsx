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A\"/>
    </mc:Choice>
  </mc:AlternateContent>
  <xr:revisionPtr revIDLastSave="0" documentId="13_ncr:1_{D143365A-50CD-4757-876E-C7FD400A7C3A}" xr6:coauthVersionLast="47" xr6:coauthVersionMax="47" xr10:uidLastSave="{00000000-0000-0000-0000-000000000000}"/>
  <workbookProtection workbookAlgorithmName="SHA-512" workbookHashValue="wOR3mG9Yf9nfayLfysojCDnmx/FTcomCtKet0iEcHd92Pf4bFuGAC/SQNLNhj0yeaXN/KdmpMPuxkIF8sR+r3A==" workbookSaltValue="3Rs9fOF8CnyF69yWBdoZcQ==" workbookSpinCount="100000" lockStructure="1"/>
  <bookViews>
    <workbookView xWindow="28680" yWindow="-105" windowWidth="29040" windowHeight="16440" xr2:uid="{193E7433-DB48-40CD-B640-5A532E6A2388}"/>
  </bookViews>
  <sheets>
    <sheet name="Group A Traveler" sheetId="2" r:id="rId1"/>
    <sheet name="GROUP A1" sheetId="3" r:id="rId2"/>
    <sheet name="GROUP A2 25C" sheetId="4" r:id="rId3"/>
    <sheet name="GROUP A3 125C" sheetId="5" r:id="rId4"/>
    <sheet name="GROUP A3 -55C" sheetId="6" r:id="rId5"/>
    <sheet name="GROUP A7 CAPACITANCE" sheetId="7" r:id="rId6"/>
    <sheet name="GROUP A7 GATE CHARGE" sheetId="8" r:id="rId7"/>
  </sheets>
  <definedNames>
    <definedName name="_xlnm._FilterDatabase" localSheetId="2" hidden="1">'GROUP A2 25C'!$A$10:$Q$126</definedName>
    <definedName name="_xlnm._FilterDatabase" localSheetId="3" hidden="1">'GROUP A3 125C'!$A$10:$N$126</definedName>
    <definedName name="_xlnm._FilterDatabase" localSheetId="4" hidden="1">'GROUP A3 -55C'!$A$13:$G$129</definedName>
    <definedName name="_xlnm._FilterDatabase" localSheetId="5" hidden="1">'GROUP A7 CAPACITANCE'!$A$10:$E$10</definedName>
    <definedName name="ASSEMBLY">#REF!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8" l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A5" i="8"/>
  <c r="A4" i="8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A5" i="7"/>
  <c r="A4" i="7"/>
  <c r="B10" i="6"/>
  <c r="B9" i="6"/>
  <c r="B8" i="6"/>
  <c r="B11" i="6" s="1"/>
  <c r="B7" i="5"/>
  <c r="B6" i="5"/>
  <c r="B5" i="5"/>
  <c r="B8" i="5" s="1"/>
  <c r="B7" i="4"/>
  <c r="B6" i="4"/>
  <c r="B5" i="4"/>
  <c r="B8" i="4" s="1"/>
  <c r="A4" i="4" l="1"/>
  <c r="A7" i="6"/>
  <c r="A4" i="5"/>
</calcChain>
</file>

<file path=xl/sharedStrings.xml><?xml version="1.0" encoding="utf-8"?>
<sst xmlns="http://schemas.openxmlformats.org/spreadsheetml/2006/main" count="652" uniqueCount="105">
  <si>
    <t>SUMMARY</t>
  </si>
  <si>
    <t>SCREENING STATUS</t>
  </si>
  <si>
    <t>GROUP A TRAVELER</t>
  </si>
  <si>
    <t>INDEX</t>
  </si>
  <si>
    <t>QCI SAMPLE SELECTION</t>
  </si>
  <si>
    <t>.</t>
  </si>
  <si>
    <t>GROUP A1 PHYSICAL</t>
  </si>
  <si>
    <t>GROUP A2 25C ELECTRICALS</t>
  </si>
  <si>
    <t>N=116 C=0</t>
  </si>
  <si>
    <t>TOTAL SUBMITTED</t>
  </si>
  <si>
    <t>TOTAL PASS</t>
  </si>
  <si>
    <t xml:space="preserve">  1) IDON      [&gt; 4.000MA]</t>
  </si>
  <si>
    <t xml:space="preserve">  2) IGSSF     [&lt; 500.1UA]</t>
  </si>
  <si>
    <t xml:space="preserve">  3) IDSS      [&lt; 100.1UA]</t>
  </si>
  <si>
    <t xml:space="preserve">  4) IGSSF     [&lt; 500.1UA]</t>
  </si>
  <si>
    <t xml:space="preserve">  5) IGSSR     [&lt; 100.1UA]</t>
  </si>
  <si>
    <t xml:space="preserve">  6) VGSTH     [&gt; 1.001 V]</t>
  </si>
  <si>
    <t xml:space="preserve">  7) VGSTH     [&lt; 2.500]</t>
  </si>
  <si>
    <t xml:space="preserve">  8) RDSON     [&lt;404.15M]</t>
  </si>
  <si>
    <t xml:space="preserve">  9) VSD       [&lt; 4.000 V]</t>
  </si>
  <si>
    <t xml:space="preserve"> 10) IDSS      [&lt; 100.1UA]</t>
  </si>
  <si>
    <t xml:space="preserve"> 11) IGSSF     [&lt; 500.1UA]</t>
  </si>
  <si>
    <t>TOTAL EMPTY</t>
  </si>
  <si>
    <t xml:space="preserve">   IDON &gt; 4.000MA</t>
  </si>
  <si>
    <t xml:space="preserve">  IGSSF &lt; 500.1UA</t>
  </si>
  <si>
    <t xml:space="preserve">   IDSS &lt; 100.1UA</t>
  </si>
  <si>
    <t xml:space="preserve">  IGSSR &lt; 100.1UA</t>
  </si>
  <si>
    <t xml:space="preserve">  VGSTH &gt; 1.001 V</t>
  </si>
  <si>
    <t xml:space="preserve">VGSTH &lt; 2.500 </t>
  </si>
  <si>
    <t xml:space="preserve">  RDSON &lt; 404.2M </t>
  </si>
  <si>
    <t xml:space="preserve">    VSD &lt; 4.000 V</t>
  </si>
  <si>
    <t>TOTAL REJECTS</t>
  </si>
  <si>
    <t xml:space="preserve">    VDS = 19.54MV</t>
  </si>
  <si>
    <t xml:space="preserve">   VGSF = 4.000 V</t>
  </si>
  <si>
    <t xml:space="preserve">    VDS = 10.01 V</t>
  </si>
  <si>
    <t xml:space="preserve">   VGSF = 6.000 V</t>
  </si>
  <si>
    <t xml:space="preserve">   VGSR = 4.000 V</t>
  </si>
  <si>
    <t xml:space="preserve">     ID = 600.0UA</t>
  </si>
  <si>
    <t>VGSTH = S6</t>
  </si>
  <si>
    <t xml:space="preserve">    VGS = 5.001 V</t>
  </si>
  <si>
    <t xml:space="preserve">     IS = 500.1MA</t>
  </si>
  <si>
    <t xml:space="preserve">    VDS = 300.1 V</t>
  </si>
  <si>
    <t xml:space="preserve">   VGSF = 5.499 V</t>
  </si>
  <si>
    <t>Card-Position</t>
  </si>
  <si>
    <t>Serial No</t>
  </si>
  <si>
    <t>Label</t>
  </si>
  <si>
    <t>Sort</t>
  </si>
  <si>
    <t>Bin</t>
  </si>
  <si>
    <t xml:space="preserve">     ID = 4.000 A</t>
  </si>
  <si>
    <t>All Pass</t>
  </si>
  <si>
    <t>GROUP A3 125C ELECTRICALS</t>
  </si>
  <si>
    <t xml:space="preserve">  2) IGSSF     [&lt; 1.001MA]</t>
  </si>
  <si>
    <t xml:space="preserve">  3) IGSSR     [&lt; 400.0UA]</t>
  </si>
  <si>
    <t xml:space="preserve">  4) VGSTH     [&gt;   800MV]</t>
  </si>
  <si>
    <t xml:space="preserve">  5) VGSTH     [&lt; 2.500]</t>
  </si>
  <si>
    <t xml:space="preserve">  6) RDSON     [&lt;719.78M]</t>
  </si>
  <si>
    <t xml:space="preserve">  7) VSD       [&lt; 4.000 V]</t>
  </si>
  <si>
    <t xml:space="preserve">  8) IDSS      [&lt; 400.0UA]</t>
  </si>
  <si>
    <t xml:space="preserve">  9) IGSSF     [&lt; 1.001MA]</t>
  </si>
  <si>
    <t xml:space="preserve">  IGSSF &lt; 1.001MA</t>
  </si>
  <si>
    <t xml:space="preserve">  IGSSR &lt; 400.0UA</t>
  </si>
  <si>
    <t xml:space="preserve">  VGSTH &gt; 801.0MV</t>
  </si>
  <si>
    <t xml:space="preserve">  RDSON &lt; 719.8M </t>
  </si>
  <si>
    <t xml:space="preserve">   IDSS &lt; 400.0UA</t>
  </si>
  <si>
    <t>VGSTH = S4</t>
  </si>
  <si>
    <t/>
  </si>
  <si>
    <t>GROUP A3 -55C ELECTRICALS</t>
  </si>
  <si>
    <t>GROUP A SUBGROUP 3</t>
  </si>
  <si>
    <t>DC ELECTRICALS -55C</t>
  </si>
  <si>
    <t xml:space="preserve">  2) VGSTH     [&lt; 3.001 V]</t>
  </si>
  <si>
    <t xml:space="preserve">  VGSTH &lt; 3.001 V</t>
  </si>
  <si>
    <t>A7 CAPACITANCE</t>
  </si>
  <si>
    <t>LMR</t>
  </si>
  <si>
    <t>Conditions:</t>
  </si>
  <si>
    <t>Frequency</t>
  </si>
  <si>
    <t>VDS</t>
  </si>
  <si>
    <t>1 MHz</t>
  </si>
  <si>
    <t>Volts</t>
  </si>
  <si>
    <t>Max Limit</t>
  </si>
  <si>
    <t>Serial #</t>
  </si>
  <si>
    <t>Ciss</t>
  </si>
  <si>
    <t>Coss</t>
  </si>
  <si>
    <t>Crss</t>
  </si>
  <si>
    <t>P/F</t>
  </si>
  <si>
    <t>A7 GATE CHARGE</t>
  </si>
  <si>
    <t>OPERATOR</t>
  </si>
  <si>
    <t>DATE</t>
  </si>
  <si>
    <t>GateCharge-3.0</t>
  </si>
  <si>
    <t>GateCharge-3.1</t>
  </si>
  <si>
    <t>GateCharge-3.2</t>
  </si>
  <si>
    <t>Description</t>
  </si>
  <si>
    <t>Qgs</t>
  </si>
  <si>
    <t>Qgd</t>
  </si>
  <si>
    <t>Qg_ 5.00V</t>
  </si>
  <si>
    <t>UNIT</t>
  </si>
  <si>
    <t>nC</t>
  </si>
  <si>
    <t>MAX LIMIT</t>
  </si>
  <si>
    <t>SCD PART NUMBER</t>
  </si>
  <si>
    <t>EPCS PART NUMBER</t>
  </si>
  <si>
    <t>LOT</t>
  </si>
  <si>
    <t>DATE CODE</t>
  </si>
  <si>
    <t>562R307H60</t>
  </si>
  <si>
    <t>70-009</t>
  </si>
  <si>
    <t>E4665.9</t>
  </si>
  <si>
    <t>FBG30N04CSH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</si>
</sst>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.0E+00"/>
    <numFmt numFmtId="165" formatCode="###.00E+00"/>
    <numFmt numFmtId="166" formatCode="###.000E+00"/>
    <numFmt numFmtId="167" formatCode="0.000"/>
  </numFmts>
  <fonts count="16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0" fontId="4" fillId="3" borderId="0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center" vertical="top"/>
    </xf>
    <xf numFmtId="0" fontId="8" fillId="2" borderId="10" xfId="0" applyFont="1" applyFill="1" applyBorder="1"/>
    <xf numFmtId="0" fontId="8" fillId="2" borderId="10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right"/>
    </xf>
    <xf numFmtId="0" fontId="8" fillId="2" borderId="2" xfId="0" applyFont="1" applyFill="1" applyBorder="1"/>
    <xf numFmtId="0" fontId="8" fillId="2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0" fillId="8" borderId="2" xfId="0" applyFill="1" applyBorder="1" applyAlignment="1">
      <alignment horizontal="left"/>
    </xf>
    <xf numFmtId="0" fontId="0" fillId="8" borderId="2" xfId="0" applyFill="1" applyBorder="1" applyAlignment="1">
      <alignment horizontal="right"/>
    </xf>
    <xf numFmtId="0" fontId="0" fillId="9" borderId="9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1" fontId="0" fillId="0" borderId="2" xfId="0" applyNumberFormat="1" applyBorder="1"/>
    <xf numFmtId="11" fontId="9" fillId="0" borderId="2" xfId="0" applyNumberFormat="1" applyFont="1" applyBorder="1"/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164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/>
    <xf numFmtId="164" fontId="0" fillId="10" borderId="9" xfId="0" applyNumberFormat="1" applyFill="1" applyBorder="1"/>
    <xf numFmtId="167" fontId="0" fillId="10" borderId="9" xfId="0" applyNumberFormat="1" applyFill="1" applyBorder="1"/>
    <xf numFmtId="166" fontId="0" fillId="10" borderId="9" xfId="0" applyNumberFormat="1" applyFill="1" applyBorder="1"/>
    <xf numFmtId="0" fontId="9" fillId="10" borderId="9" xfId="0" applyFont="1" applyFill="1" applyBorder="1"/>
    <xf numFmtId="0" fontId="5" fillId="5" borderId="2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vertical="top"/>
    </xf>
    <xf numFmtId="0" fontId="5" fillId="5" borderId="10" xfId="1" applyFont="1" applyFill="1" applyBorder="1" applyAlignment="1">
      <alignment horizontal="center" vertical="top"/>
    </xf>
    <xf numFmtId="0" fontId="3" fillId="11" borderId="0" xfId="1" quotePrefix="1" applyFill="1" applyBorder="1" applyAlignment="1">
      <alignment horizontal="left" vertical="top"/>
    </xf>
    <xf numFmtId="0" fontId="10" fillId="2" borderId="3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center" vertical="top"/>
    </xf>
    <xf numFmtId="0" fontId="11" fillId="12" borderId="2" xfId="0" applyFont="1" applyFill="1" applyBorder="1" applyAlignment="1">
      <alignment horizontal="center"/>
    </xf>
    <xf numFmtId="0" fontId="12" fillId="13" borderId="2" xfId="0" applyFont="1" applyFill="1" applyBorder="1" applyAlignment="1">
      <alignment horizontal="left"/>
    </xf>
    <xf numFmtId="0" fontId="12" fillId="13" borderId="2" xfId="0" applyFont="1" applyFill="1" applyBorder="1" applyAlignment="1">
      <alignment horizontal="center"/>
    </xf>
    <xf numFmtId="0" fontId="12" fillId="11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14" fontId="12" fillId="13" borderId="2" xfId="0" applyNumberFormat="1" applyFont="1" applyFill="1" applyBorder="1"/>
    <xf numFmtId="0" fontId="13" fillId="14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vertical="center"/>
    </xf>
    <xf numFmtId="0" fontId="12" fillId="11" borderId="0" xfId="0" applyFont="1" applyFill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0" fontId="15" fillId="15" borderId="8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0" fillId="0" borderId="7" xfId="0" applyBorder="1"/>
    <xf numFmtId="0" fontId="0" fillId="16" borderId="0" xfId="0" applyFill="1"/>
    <xf numFmtId="0" fontId="0" fillId="16" borderId="12" xfId="0" applyFill="1" applyBorder="1"/>
    <xf numFmtId="2" fontId="2" fillId="14" borderId="2" xfId="0" applyNumberFormat="1" applyFont="1" applyFill="1" applyBorder="1" applyAlignment="1">
      <alignment horizontal="center" vertical="center"/>
    </xf>
    <xf numFmtId="2" fontId="15" fillId="15" borderId="10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5" fillId="5" borderId="2" xfId="1" applyFont="1" applyFill="1" applyBorder="1" applyAlignment="1">
      <alignment horizontal="center" vertical="top"/>
    </xf>
    <xf numFmtId="0" fontId="6" fillId="6" borderId="11" xfId="1" applyFont="1" applyFill="1" applyBorder="1" applyAlignment="1">
      <alignment horizontal="center" vertical="top"/>
    </xf>
    <xf numFmtId="0" fontId="6" fillId="6" borderId="0" xfId="1" applyFont="1" applyFill="1" applyBorder="1" applyAlignment="1">
      <alignment horizontal="center" vertical="top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6" fillId="6" borderId="6" xfId="1" applyFont="1" applyFill="1" applyBorder="1" applyAlignment="1">
      <alignment horizontal="center" vertical="top"/>
    </xf>
    <xf numFmtId="0" fontId="6" fillId="6" borderId="7" xfId="1" applyFont="1" applyFill="1" applyBorder="1" applyAlignment="1">
      <alignment horizontal="center" vertical="top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123444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33B203-611E-3CA3-CE63-F0FABF609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4325"/>
          <a:ext cx="7229475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123444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FF6FDA-F00C-D9C6-895C-311265533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39325"/>
          <a:ext cx="7229475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67056</xdr:rowOff>
    </xdr:from>
    <xdr:to>
      <xdr:col>11</xdr:col>
      <xdr:colOff>0</xdr:colOff>
      <xdr:row>155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522331-F816-3C82-D515-68630737E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812381"/>
          <a:ext cx="6705600" cy="9838944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74</xdr:row>
      <xdr:rowOff>104775</xdr:rowOff>
    </xdr:from>
    <xdr:to>
      <xdr:col>5</xdr:col>
      <xdr:colOff>228600</xdr:colOff>
      <xdr:row>75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D6470AB-2D08-BEC8-A547-CF0DA4FA1E0B}"/>
            </a:ext>
          </a:extLst>
        </xdr:cNvPr>
        <xdr:cNvSpPr/>
      </xdr:nvSpPr>
      <xdr:spPr>
        <a:xfrm>
          <a:off x="2438400" y="14325600"/>
          <a:ext cx="838200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476249</xdr:colOff>
      <xdr:row>83</xdr:row>
      <xdr:rowOff>171450</xdr:rowOff>
    </xdr:from>
    <xdr:to>
      <xdr:col>5</xdr:col>
      <xdr:colOff>352424</xdr:colOff>
      <xdr:row>85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33A80CB-F060-44F2-9121-5AA727E95E50}"/>
            </a:ext>
          </a:extLst>
        </xdr:cNvPr>
        <xdr:cNvSpPr/>
      </xdr:nvSpPr>
      <xdr:spPr>
        <a:xfrm>
          <a:off x="2305049" y="16106775"/>
          <a:ext cx="1095375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438150</xdr:colOff>
      <xdr:row>94</xdr:row>
      <xdr:rowOff>47625</xdr:rowOff>
    </xdr:from>
    <xdr:to>
      <xdr:col>5</xdr:col>
      <xdr:colOff>123825</xdr:colOff>
      <xdr:row>95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FF44154-77E2-4569-8B00-9B3011DC4CEF}"/>
            </a:ext>
          </a:extLst>
        </xdr:cNvPr>
        <xdr:cNvSpPr/>
      </xdr:nvSpPr>
      <xdr:spPr>
        <a:xfrm>
          <a:off x="2266950" y="18078450"/>
          <a:ext cx="904875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542925</xdr:colOff>
      <xdr:row>130</xdr:row>
      <xdr:rowOff>9525</xdr:rowOff>
    </xdr:from>
    <xdr:to>
      <xdr:col>5</xdr:col>
      <xdr:colOff>419100</xdr:colOff>
      <xdr:row>131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0E855F2-1129-4451-85AA-A9EE5895277D}"/>
            </a:ext>
          </a:extLst>
        </xdr:cNvPr>
        <xdr:cNvSpPr/>
      </xdr:nvSpPr>
      <xdr:spPr>
        <a:xfrm>
          <a:off x="2371725" y="24898350"/>
          <a:ext cx="1095375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121</xdr:row>
      <xdr:rowOff>104775</xdr:rowOff>
    </xdr:from>
    <xdr:to>
      <xdr:col>5</xdr:col>
      <xdr:colOff>104775</xdr:colOff>
      <xdr:row>122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15D217F-17EE-42B2-AB2B-F7839FC5BCB6}"/>
            </a:ext>
          </a:extLst>
        </xdr:cNvPr>
        <xdr:cNvSpPr/>
      </xdr:nvSpPr>
      <xdr:spPr>
        <a:xfrm>
          <a:off x="2438400" y="23279100"/>
          <a:ext cx="714375" cy="2190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304799</xdr:rowOff>
    </xdr:from>
    <xdr:to>
      <xdr:col>10</xdr:col>
      <xdr:colOff>204334</xdr:colOff>
      <xdr:row>20</xdr:row>
      <xdr:rowOff>180974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D8C81F-1DBB-B601-A857-D94B518A9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799"/>
          <a:ext cx="6300334" cy="3609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BCB1-086A-4E42-8A7F-F1B919D3B6CB}">
  <sheetPr>
    <tabColor theme="4" tint="-0.249977111117893"/>
  </sheetPr>
  <dimension ref="A1:K155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.75" customHeight="1" x14ac:dyDescent="0.25">
      <c r="A1" s="73" t="s">
        <v>2</v>
      </c>
      <c r="B1" s="73"/>
      <c r="C1" s="73"/>
      <c r="D1" s="73"/>
      <c r="E1" s="3" t="s">
        <v>3</v>
      </c>
      <c r="F1" s="3"/>
      <c r="G1" s="3"/>
      <c r="H1" s="3"/>
      <c r="I1" s="74" t="s">
        <v>4</v>
      </c>
      <c r="J1" s="74"/>
      <c r="K1" s="74"/>
    </row>
    <row r="2" spans="1:11" x14ac:dyDescent="0.25">
      <c r="A2" t="s">
        <v>5</v>
      </c>
    </row>
    <row r="3" spans="1:11" ht="15" customHeight="1" x14ac:dyDescent="0.25"/>
    <row r="4" spans="1:11" ht="15" customHeight="1" x14ac:dyDescent="0.25"/>
    <row r="5" spans="1:11" ht="15" customHeight="1" x14ac:dyDescent="0.25"/>
    <row r="6" spans="1:11" ht="15" customHeight="1" x14ac:dyDescent="0.25"/>
    <row r="7" spans="1:11" ht="15" customHeight="1" x14ac:dyDescent="0.25"/>
    <row r="8" spans="1:11" ht="15" customHeight="1" x14ac:dyDescent="0.25"/>
    <row r="9" spans="1:11" ht="15" customHeight="1" x14ac:dyDescent="0.25"/>
    <row r="10" spans="1:11" ht="15" customHeight="1" x14ac:dyDescent="0.25"/>
    <row r="11" spans="1:11" ht="15" customHeight="1" x14ac:dyDescent="0.25"/>
    <row r="12" spans="1:11" ht="15" customHeight="1" x14ac:dyDescent="0.25"/>
    <row r="13" spans="1:11" ht="15" customHeight="1" x14ac:dyDescent="0.25"/>
    <row r="14" spans="1:11" ht="15" customHeight="1" x14ac:dyDescent="0.25"/>
    <row r="15" spans="1:11" ht="15" customHeight="1" x14ac:dyDescent="0.25"/>
    <row r="16" spans="1:1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</sheetData>
  <sheetProtection algorithmName="SHA-512" hashValue="GtIrHrHCQCFtiV29cke0E8H6vHE6bZvJBzL48n5tWDu4QrAOU2si+hYv6azsEqy21mr+isjFQV6vwzhoGQhS3Q==" saltValue="N3J5nd1+NyR6Ihl6bSNK+A==" spinCount="100000" sheet="1" objects="1" scenarios="1" sort="0" autoFilter="0"/>
  <mergeCells count="2">
    <mergeCell ref="A1:D1"/>
    <mergeCell ref="I1:K1"/>
  </mergeCells>
  <hyperlinks>
    <hyperlink ref="E1" location="INDEX!A1" display="RETURN TO INDEX" xr:uid="{79E70A32-0607-4515-A44B-0B6A9307CA18}"/>
    <hyperlink ref="E1:F1" location="INDEX!A1" display="RETURN TO INDEX" xr:uid="{0F523A0F-4D01-494A-B848-E2814FD4EF17}"/>
    <hyperlink ref="I1:K1" location="'QCI Sample Selection'!A1" display="QCI SAMPLE SELECTION" xr:uid="{17E61123-3020-4038-902E-8C8E6C4F0A7F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6685-1DB2-43B4-A1E2-9BCA5BF49172}">
  <sheetPr>
    <tabColor theme="4" tint="-0.249977111117893"/>
  </sheetPr>
  <dimension ref="A1:K21"/>
  <sheetViews>
    <sheetView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73" t="s">
        <v>6</v>
      </c>
      <c r="B1" s="73"/>
      <c r="C1" s="73"/>
      <c r="D1" s="73"/>
      <c r="E1" s="3" t="s">
        <v>3</v>
      </c>
      <c r="F1" s="3"/>
      <c r="G1" s="3"/>
      <c r="H1" s="4"/>
      <c r="I1" s="74" t="s">
        <v>4</v>
      </c>
      <c r="J1" s="74"/>
      <c r="K1" s="74"/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</sheetData>
  <sheetProtection algorithmName="SHA-512" hashValue="2otNE0+aJbSYN/QtshzqIhKjCEQFTYgxVEcEXbHBcrPgUoPyF4A46rq0D5lDyeIfFoA4LVp7h+SwggBY0bvZnA==" saltValue="VSRuIlta29EfjTm00j1mkA==" spinCount="100000" sheet="1" objects="1" scenarios="1" sort="0" autoFilter="0"/>
  <mergeCells count="2">
    <mergeCell ref="A1:D1"/>
    <mergeCell ref="I1:K1"/>
  </mergeCells>
  <hyperlinks>
    <hyperlink ref="E1" location="INDEX!A1" display="RETURN TO INDEX" xr:uid="{62BE40D5-56A7-48B3-AFA0-87DED6B6477B}"/>
    <hyperlink ref="I1:K1" location="'QCI Sample Selection'!A1" display="QCI SAMPLE SELECTION" xr:uid="{7E5D24CC-FA47-4C3F-823E-364400366FB7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386C-CFED-4542-8C4C-BE28A7ED8438}">
  <sheetPr>
    <tabColor theme="4" tint="-0.249977111117893"/>
  </sheetPr>
  <dimension ref="A1:Q126"/>
  <sheetViews>
    <sheetView zoomScale="95" zoomScaleNormal="95" workbookViewId="0">
      <pane xSplit="3" ySplit="10" topLeftCell="D11" activePane="bottomRight" state="frozen"/>
      <selection activeCell="B4" sqref="B4:E4"/>
      <selection pane="topRight" activeCell="B4" sqref="B4:E4"/>
      <selection pane="bottomLeft" activeCell="B4" sqref="B4:E4"/>
      <selection pane="bottomRight" activeCell="A3" sqref="A3:B3"/>
    </sheetView>
  </sheetViews>
  <sheetFormatPr defaultColWidth="0" defaultRowHeight="15" zeroHeight="1" x14ac:dyDescent="0.25"/>
  <cols>
    <col min="1" max="1" width="18.85546875" style="22" customWidth="1"/>
    <col min="2" max="2" width="12.28515625" style="22" customWidth="1"/>
    <col min="3" max="3" width="13.5703125" style="22" customWidth="1"/>
    <col min="4" max="4" width="5.5703125" style="22" customWidth="1"/>
    <col min="5" max="5" width="3.85546875" style="22" customWidth="1"/>
    <col min="6" max="14" width="18.7109375" customWidth="1"/>
    <col min="15" max="15" width="21.42578125" bestFit="1" customWidth="1"/>
    <col min="16" max="16" width="22" bestFit="1" customWidth="1"/>
    <col min="17" max="17" width="9.140625" hidden="1"/>
  </cols>
  <sheetData>
    <row r="1" spans="1:17" ht="24" x14ac:dyDescent="0.25">
      <c r="A1" s="75" t="s">
        <v>7</v>
      </c>
      <c r="B1" s="75"/>
      <c r="C1" s="75"/>
      <c r="D1" s="75"/>
      <c r="E1" s="75"/>
      <c r="F1" s="75"/>
      <c r="G1" s="5"/>
      <c r="H1" s="3" t="s">
        <v>3</v>
      </c>
      <c r="I1" s="3"/>
      <c r="J1" s="6" t="s">
        <v>0</v>
      </c>
      <c r="K1" s="74" t="s">
        <v>1</v>
      </c>
      <c r="L1" s="74"/>
      <c r="M1" s="74" t="s">
        <v>4</v>
      </c>
      <c r="N1" s="74"/>
      <c r="O1" s="76"/>
      <c r="P1" s="76"/>
    </row>
    <row r="2" spans="1:17" ht="24" x14ac:dyDescent="0.25">
      <c r="A2" s="77" t="s">
        <v>97</v>
      </c>
      <c r="B2" s="77"/>
      <c r="C2" s="77" t="s">
        <v>98</v>
      </c>
      <c r="D2" s="77"/>
      <c r="E2" s="77" t="s">
        <v>99</v>
      </c>
      <c r="F2" s="77"/>
      <c r="G2" s="7" t="s">
        <v>100</v>
      </c>
      <c r="H2" s="78" t="s">
        <v>8</v>
      </c>
      <c r="I2" s="79"/>
      <c r="J2" s="79"/>
      <c r="K2" s="79"/>
      <c r="L2" s="79"/>
      <c r="M2" s="79"/>
      <c r="N2" s="79"/>
      <c r="O2" s="79"/>
      <c r="P2" s="79"/>
      <c r="Q2" s="79"/>
    </row>
    <row r="3" spans="1:17" ht="24" x14ac:dyDescent="0.25">
      <c r="A3" s="77" t="s">
        <v>104</v>
      </c>
      <c r="B3" s="77"/>
      <c r="C3" s="77" t="s">
        <v>104</v>
      </c>
      <c r="D3" s="77"/>
      <c r="E3" s="77"/>
      <c r="F3" s="77"/>
      <c r="G3" s="7">
        <v>2418</v>
      </c>
      <c r="H3" s="78"/>
      <c r="I3" s="79"/>
      <c r="J3" s="79"/>
      <c r="K3" s="79"/>
      <c r="L3" s="79"/>
      <c r="M3" s="79"/>
      <c r="N3" s="79"/>
      <c r="O3" s="79"/>
      <c r="P3" s="79"/>
      <c r="Q3" s="79"/>
    </row>
    <row r="4" spans="1:17" ht="24" x14ac:dyDescent="0.4">
      <c r="A4" s="80" t="str">
        <f>IF($B$5=$B$6,"PASS","FAIL")</f>
        <v>PASS</v>
      </c>
      <c r="B4" s="81"/>
      <c r="C4" s="81"/>
      <c r="D4" s="81"/>
      <c r="E4" s="81"/>
      <c r="F4" s="81"/>
      <c r="G4" s="81"/>
      <c r="H4" s="79"/>
      <c r="I4" s="79"/>
      <c r="J4" s="79"/>
      <c r="K4" s="79"/>
      <c r="L4" s="79"/>
      <c r="M4" s="79"/>
      <c r="N4" s="79"/>
      <c r="O4" s="79"/>
      <c r="P4" s="79"/>
      <c r="Q4" s="79"/>
    </row>
    <row r="5" spans="1:17" x14ac:dyDescent="0.25">
      <c r="A5" s="8" t="s">
        <v>9</v>
      </c>
      <c r="B5" s="9">
        <f>COUNTA(C$11:C$2000)-COUNTIF(C11:C$2000,"ND")</f>
        <v>116</v>
      </c>
      <c r="C5" s="10"/>
      <c r="D5" s="11"/>
      <c r="E5" s="11"/>
      <c r="F5" s="12"/>
      <c r="G5" s="12"/>
      <c r="H5" s="13"/>
      <c r="I5" s="12"/>
      <c r="J5" s="12"/>
      <c r="K5" s="12"/>
      <c r="L5" s="12"/>
      <c r="M5" s="12"/>
      <c r="N5" s="12"/>
      <c r="O5" s="12"/>
      <c r="P5" s="12"/>
    </row>
    <row r="6" spans="1:17" x14ac:dyDescent="0.25">
      <c r="A6" s="14" t="s">
        <v>10</v>
      </c>
      <c r="B6" s="15">
        <f>COUNTIF(C11:C$2000,"All Pass")</f>
        <v>116</v>
      </c>
      <c r="C6" s="16"/>
      <c r="D6" s="16"/>
      <c r="E6" s="16"/>
      <c r="F6" s="16" t="s">
        <v>11</v>
      </c>
      <c r="G6" s="17" t="s">
        <v>12</v>
      </c>
      <c r="H6" s="18" t="s">
        <v>13</v>
      </c>
      <c r="I6" s="17" t="s">
        <v>14</v>
      </c>
      <c r="J6" s="17" t="s">
        <v>15</v>
      </c>
      <c r="K6" s="17" t="s">
        <v>16</v>
      </c>
      <c r="L6" s="17" t="s">
        <v>17</v>
      </c>
      <c r="M6" s="17" t="s">
        <v>18</v>
      </c>
      <c r="N6" s="17" t="s">
        <v>19</v>
      </c>
      <c r="O6" s="17" t="s">
        <v>20</v>
      </c>
      <c r="P6" s="17" t="s">
        <v>21</v>
      </c>
    </row>
    <row r="7" spans="1:17" x14ac:dyDescent="0.25">
      <c r="A7" s="14" t="s">
        <v>22</v>
      </c>
      <c r="B7" s="15">
        <f>COUNTIF(C11:C$2000,"ND")</f>
        <v>0</v>
      </c>
      <c r="C7" s="16"/>
      <c r="D7" s="16"/>
      <c r="E7" s="16"/>
      <c r="F7" s="16" t="s">
        <v>23</v>
      </c>
      <c r="G7" s="17" t="s">
        <v>24</v>
      </c>
      <c r="H7" s="18" t="s">
        <v>25</v>
      </c>
      <c r="I7" s="17" t="s">
        <v>24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25</v>
      </c>
      <c r="P7" s="17" t="s">
        <v>24</v>
      </c>
    </row>
    <row r="8" spans="1:17" x14ac:dyDescent="0.25">
      <c r="A8" s="14" t="s">
        <v>31</v>
      </c>
      <c r="B8" s="15">
        <f>B5-B6</f>
        <v>0</v>
      </c>
      <c r="C8" s="16"/>
      <c r="D8" s="16"/>
      <c r="E8" s="16"/>
      <c r="F8" s="16" t="s">
        <v>32</v>
      </c>
      <c r="G8" s="17" t="s">
        <v>33</v>
      </c>
      <c r="H8" s="18" t="s">
        <v>34</v>
      </c>
      <c r="I8" s="17" t="s">
        <v>35</v>
      </c>
      <c r="J8" s="17" t="s">
        <v>36</v>
      </c>
      <c r="K8" s="17" t="s">
        <v>37</v>
      </c>
      <c r="L8" s="17" t="s">
        <v>38</v>
      </c>
      <c r="M8" s="17" t="s">
        <v>39</v>
      </c>
      <c r="N8" s="17" t="s">
        <v>40</v>
      </c>
      <c r="O8" s="17" t="s">
        <v>41</v>
      </c>
      <c r="P8" s="17" t="s">
        <v>42</v>
      </c>
    </row>
    <row r="9" spans="1:17" x14ac:dyDescent="0.25">
      <c r="A9" s="16" t="s">
        <v>43</v>
      </c>
      <c r="B9" s="16" t="s">
        <v>44</v>
      </c>
      <c r="C9" s="16" t="s">
        <v>45</v>
      </c>
      <c r="D9" s="16" t="s">
        <v>46</v>
      </c>
      <c r="E9" s="16" t="s">
        <v>47</v>
      </c>
      <c r="F9" s="16" t="s">
        <v>39</v>
      </c>
      <c r="G9" s="17"/>
      <c r="H9" s="19"/>
      <c r="I9" s="17"/>
      <c r="J9" s="17"/>
      <c r="K9" s="17"/>
      <c r="L9" s="17"/>
      <c r="M9" s="17" t="s">
        <v>48</v>
      </c>
      <c r="N9" s="17"/>
      <c r="O9" s="17"/>
      <c r="P9" s="17"/>
    </row>
    <row r="10" spans="1:17" s="21" customForma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17" s="21" customFormat="1" x14ac:dyDescent="0.25">
      <c r="A11" s="22"/>
      <c r="B11" s="23">
        <v>11</v>
      </c>
      <c r="C11" s="24" t="s">
        <v>49</v>
      </c>
      <c r="D11" s="24"/>
      <c r="E11" s="23">
        <v>1</v>
      </c>
      <c r="F11" s="23">
        <v>0</v>
      </c>
      <c r="G11" s="25">
        <v>1.583E-9</v>
      </c>
      <c r="H11" s="25">
        <v>1.427E-8</v>
      </c>
      <c r="I11" s="25">
        <v>5.6739999999999996E-7</v>
      </c>
      <c r="J11" s="25">
        <v>7.977E-7</v>
      </c>
      <c r="K11" s="25">
        <v>1.7130000000000001</v>
      </c>
      <c r="L11" s="25">
        <v>1.7130000000000001</v>
      </c>
      <c r="M11" s="25">
        <v>0.253</v>
      </c>
      <c r="N11" s="26">
        <v>2.4820000000000002</v>
      </c>
      <c r="O11" s="26">
        <v>6.5720000000000004E-7</v>
      </c>
      <c r="P11" s="26">
        <v>1.437E-7</v>
      </c>
    </row>
    <row r="12" spans="1:17" s="21" customFormat="1" x14ac:dyDescent="0.25">
      <c r="A12" s="22"/>
      <c r="B12" s="23">
        <v>12</v>
      </c>
      <c r="C12" s="24" t="s">
        <v>49</v>
      </c>
      <c r="D12" s="24"/>
      <c r="E12" s="23">
        <v>1</v>
      </c>
      <c r="F12" s="23">
        <v>0</v>
      </c>
      <c r="G12" s="25">
        <v>1.674E-9</v>
      </c>
      <c r="H12" s="25">
        <v>1.455E-8</v>
      </c>
      <c r="I12" s="25">
        <v>5.7650000000000001E-7</v>
      </c>
      <c r="J12" s="25">
        <v>7.9110000000000004E-7</v>
      </c>
      <c r="K12" s="25">
        <v>1.6930000000000001</v>
      </c>
      <c r="L12" s="25">
        <v>1.6930000000000001</v>
      </c>
      <c r="M12" s="25">
        <v>0.2462</v>
      </c>
      <c r="N12" s="26">
        <v>2.4660000000000002</v>
      </c>
      <c r="O12" s="26">
        <v>6.1419999999999998E-7</v>
      </c>
      <c r="P12" s="26">
        <v>1.2319999999999999E-7</v>
      </c>
    </row>
    <row r="13" spans="1:17" x14ac:dyDescent="0.25">
      <c r="B13" s="23">
        <v>16</v>
      </c>
      <c r="C13" s="24" t="s">
        <v>49</v>
      </c>
      <c r="D13" s="27"/>
      <c r="E13" s="23">
        <v>1</v>
      </c>
      <c r="F13" s="23">
        <v>0</v>
      </c>
      <c r="G13" s="25">
        <v>1.6629999999999999E-9</v>
      </c>
      <c r="H13" s="25">
        <v>1.472E-8</v>
      </c>
      <c r="I13" s="25">
        <v>1.687E-7</v>
      </c>
      <c r="J13" s="25">
        <v>7.7580000000000005E-7</v>
      </c>
      <c r="K13" s="25">
        <v>1.7909999999999999</v>
      </c>
      <c r="L13" s="25">
        <v>1.7909999999999999</v>
      </c>
      <c r="M13" s="25">
        <v>0.249</v>
      </c>
      <c r="N13" s="25">
        <v>2.6379999999999999</v>
      </c>
      <c r="O13" s="25">
        <v>5.2259999999999998E-7</v>
      </c>
      <c r="P13" s="25">
        <v>2.4060000000000002E-9</v>
      </c>
    </row>
    <row r="14" spans="1:17" s="21" customFormat="1" x14ac:dyDescent="0.25">
      <c r="A14" s="22"/>
      <c r="B14" s="23">
        <v>19</v>
      </c>
      <c r="C14" s="24" t="s">
        <v>49</v>
      </c>
      <c r="D14" s="24"/>
      <c r="E14" s="23">
        <v>1</v>
      </c>
      <c r="F14" s="23">
        <v>0</v>
      </c>
      <c r="G14" s="25">
        <v>1.579E-9</v>
      </c>
      <c r="H14" s="25">
        <v>1.479E-8</v>
      </c>
      <c r="I14" s="25">
        <v>1.164E-8</v>
      </c>
      <c r="J14" s="25">
        <v>8.2249999999999996E-7</v>
      </c>
      <c r="K14" s="25">
        <v>1.772</v>
      </c>
      <c r="L14" s="25">
        <v>1.772</v>
      </c>
      <c r="M14" s="25">
        <v>0.25900000000000001</v>
      </c>
      <c r="N14" s="26">
        <v>2.5590000000000002</v>
      </c>
      <c r="O14" s="26">
        <v>7.554E-7</v>
      </c>
      <c r="P14" s="26">
        <v>1.9840000000000002E-9</v>
      </c>
    </row>
    <row r="15" spans="1:17" s="21" customFormat="1" x14ac:dyDescent="0.25">
      <c r="A15" s="22"/>
      <c r="B15" s="23">
        <v>25</v>
      </c>
      <c r="C15" s="24" t="s">
        <v>49</v>
      </c>
      <c r="D15" s="27"/>
      <c r="E15" s="23">
        <v>1</v>
      </c>
      <c r="F15" s="23">
        <v>0</v>
      </c>
      <c r="G15" s="25">
        <v>1.678E-9</v>
      </c>
      <c r="H15" s="25">
        <v>1.459E-8</v>
      </c>
      <c r="I15" s="25">
        <v>1.1549999999999999E-8</v>
      </c>
      <c r="J15" s="25">
        <v>7.7440000000000005E-7</v>
      </c>
      <c r="K15" s="25">
        <v>1.714</v>
      </c>
      <c r="L15" s="25">
        <v>1.714</v>
      </c>
      <c r="M15" s="25">
        <v>0.2505</v>
      </c>
      <c r="N15" s="26">
        <v>2.5089999999999999</v>
      </c>
      <c r="O15" s="26">
        <v>4.707E-7</v>
      </c>
      <c r="P15" s="26">
        <v>2.0409999999999999E-9</v>
      </c>
    </row>
    <row r="16" spans="1:17" s="21" customFormat="1" x14ac:dyDescent="0.25">
      <c r="A16" s="22"/>
      <c r="B16" s="23">
        <v>26</v>
      </c>
      <c r="C16" s="24" t="s">
        <v>49</v>
      </c>
      <c r="D16" s="24"/>
      <c r="E16" s="23">
        <v>1</v>
      </c>
      <c r="F16" s="23">
        <v>0</v>
      </c>
      <c r="G16" s="25">
        <v>1.697E-9</v>
      </c>
      <c r="H16" s="25">
        <v>2.493E-9</v>
      </c>
      <c r="I16" s="25">
        <v>1.1249999999999999E-7</v>
      </c>
      <c r="J16" s="25">
        <v>8.0800000000000004E-7</v>
      </c>
      <c r="K16" s="25">
        <v>1.7110000000000001</v>
      </c>
      <c r="L16" s="25">
        <v>1.7110000000000001</v>
      </c>
      <c r="M16" s="25">
        <v>0.25569999999999998</v>
      </c>
      <c r="N16" s="26">
        <v>2.52</v>
      </c>
      <c r="O16" s="26">
        <v>6.4000000000000001E-7</v>
      </c>
      <c r="P16" s="26">
        <v>2.2170000000000001E-9</v>
      </c>
    </row>
    <row r="17" spans="1:16" s="21" customFormat="1" x14ac:dyDescent="0.25">
      <c r="A17" s="22"/>
      <c r="B17" s="23">
        <v>31</v>
      </c>
      <c r="C17" s="24" t="s">
        <v>49</v>
      </c>
      <c r="D17" s="24"/>
      <c r="E17" s="23">
        <v>1</v>
      </c>
      <c r="F17" s="23">
        <v>0</v>
      </c>
      <c r="G17" s="25">
        <v>1.7019999999999999E-9</v>
      </c>
      <c r="H17" s="25">
        <v>1.222E-8</v>
      </c>
      <c r="I17" s="25">
        <v>1.1810000000000001E-7</v>
      </c>
      <c r="J17" s="25">
        <v>8.5750000000000005E-7</v>
      </c>
      <c r="K17" s="25">
        <v>1.6539999999999999</v>
      </c>
      <c r="L17" s="25">
        <v>1.6539999999999999</v>
      </c>
      <c r="M17" s="25">
        <v>0.26850000000000002</v>
      </c>
      <c r="N17" s="26">
        <v>2.4079999999999999</v>
      </c>
      <c r="O17" s="26">
        <v>8.6700000000000002E-7</v>
      </c>
      <c r="P17" s="26">
        <v>2.2860000000000002E-9</v>
      </c>
    </row>
    <row r="18" spans="1:16" s="21" customFormat="1" x14ac:dyDescent="0.25">
      <c r="A18" s="22"/>
      <c r="B18" s="23">
        <v>32</v>
      </c>
      <c r="C18" s="24" t="s">
        <v>49</v>
      </c>
      <c r="D18" s="24"/>
      <c r="E18" s="23">
        <v>1</v>
      </c>
      <c r="F18" s="23">
        <v>0</v>
      </c>
      <c r="G18" s="25">
        <v>1.815E-9</v>
      </c>
      <c r="H18" s="25">
        <v>1.5239999999999999E-8</v>
      </c>
      <c r="I18" s="25">
        <v>2.9890000000000002E-10</v>
      </c>
      <c r="J18" s="25">
        <v>8.4359999999999996E-7</v>
      </c>
      <c r="K18" s="25">
        <v>1.776</v>
      </c>
      <c r="L18" s="25">
        <v>1.776</v>
      </c>
      <c r="M18" s="25">
        <v>0.2545</v>
      </c>
      <c r="N18" s="26">
        <v>2.5259999999999998</v>
      </c>
      <c r="O18" s="26">
        <v>9.9199999999999999E-7</v>
      </c>
      <c r="P18" s="26">
        <v>2.0249999999999999E-9</v>
      </c>
    </row>
    <row r="19" spans="1:16" s="21" customFormat="1" x14ac:dyDescent="0.25">
      <c r="A19" s="22"/>
      <c r="B19" s="23">
        <v>36</v>
      </c>
      <c r="C19" s="24" t="s">
        <v>49</v>
      </c>
      <c r="D19" s="27"/>
      <c r="E19" s="23">
        <v>1</v>
      </c>
      <c r="F19" s="23">
        <v>0</v>
      </c>
      <c r="G19" s="25">
        <v>1.761E-9</v>
      </c>
      <c r="H19" s="25">
        <v>1.424E-8</v>
      </c>
      <c r="I19" s="25">
        <v>2.7809999999999998E-9</v>
      </c>
      <c r="J19" s="25">
        <v>8.0259999999999995E-7</v>
      </c>
      <c r="K19" s="25">
        <v>1.952</v>
      </c>
      <c r="L19" s="25">
        <v>1.952</v>
      </c>
      <c r="M19" s="25">
        <v>0.2797</v>
      </c>
      <c r="N19" s="26">
        <v>2.8769999999999998</v>
      </c>
      <c r="O19" s="26">
        <v>6.2600000000000002E-7</v>
      </c>
      <c r="P19" s="26">
        <v>2.0639999999999999E-9</v>
      </c>
    </row>
    <row r="20" spans="1:16" s="21" customFormat="1" x14ac:dyDescent="0.25">
      <c r="A20" s="22"/>
      <c r="B20" s="23">
        <v>38</v>
      </c>
      <c r="C20" s="24" t="s">
        <v>49</v>
      </c>
      <c r="D20" s="24"/>
      <c r="E20" s="23">
        <v>1</v>
      </c>
      <c r="F20" s="23">
        <v>0</v>
      </c>
      <c r="G20" s="25">
        <v>1.5549999999999999E-9</v>
      </c>
      <c r="H20" s="25">
        <v>1.27E-8</v>
      </c>
      <c r="I20" s="25">
        <v>2.9509999999999998E-9</v>
      </c>
      <c r="J20" s="25">
        <v>8.4620000000000005E-7</v>
      </c>
      <c r="K20" s="25">
        <v>1.766</v>
      </c>
      <c r="L20" s="25">
        <v>1.766</v>
      </c>
      <c r="M20" s="25">
        <v>0.2712</v>
      </c>
      <c r="N20" s="26">
        <v>2.5259999999999998</v>
      </c>
      <c r="O20" s="26">
        <v>9.9600000000000008E-7</v>
      </c>
      <c r="P20" s="26">
        <v>2.0519999999999999E-9</v>
      </c>
    </row>
    <row r="21" spans="1:16" s="21" customFormat="1" x14ac:dyDescent="0.25">
      <c r="A21" s="22"/>
      <c r="B21" s="23">
        <v>40</v>
      </c>
      <c r="C21" s="24" t="s">
        <v>49</v>
      </c>
      <c r="D21" s="24"/>
      <c r="E21" s="23">
        <v>1</v>
      </c>
      <c r="F21" s="23">
        <v>0</v>
      </c>
      <c r="G21" s="25">
        <v>1.6339999999999999E-9</v>
      </c>
      <c r="H21" s="25">
        <v>1.5259999999999999E-8</v>
      </c>
      <c r="I21" s="25">
        <v>1.8090000000000001E-7</v>
      </c>
      <c r="J21" s="25">
        <v>7.8569999999999995E-7</v>
      </c>
      <c r="K21" s="25">
        <v>1.7030000000000001</v>
      </c>
      <c r="L21" s="25">
        <v>1.7030000000000001</v>
      </c>
      <c r="M21" s="25">
        <v>0.25769999999999998</v>
      </c>
      <c r="N21" s="26">
        <v>2.4900000000000002</v>
      </c>
      <c r="O21" s="26">
        <v>5.4170000000000004E-7</v>
      </c>
      <c r="P21" s="26">
        <v>2.5760000000000002E-9</v>
      </c>
    </row>
    <row r="22" spans="1:16" s="21" customFormat="1" x14ac:dyDescent="0.25">
      <c r="A22" s="22"/>
      <c r="B22" s="23">
        <v>43</v>
      </c>
      <c r="C22" s="24" t="s">
        <v>49</v>
      </c>
      <c r="D22" s="24"/>
      <c r="E22" s="23">
        <v>1</v>
      </c>
      <c r="F22" s="23">
        <v>0</v>
      </c>
      <c r="G22" s="25">
        <v>1.773E-9</v>
      </c>
      <c r="H22" s="25">
        <v>1.2590000000000001E-8</v>
      </c>
      <c r="I22" s="25">
        <v>1.5979999999999999E-7</v>
      </c>
      <c r="J22" s="25">
        <v>8.3799999999999996E-7</v>
      </c>
      <c r="K22" s="25">
        <v>1.669</v>
      </c>
      <c r="L22" s="25">
        <v>1.669</v>
      </c>
      <c r="M22" s="25">
        <v>0.25619999999999998</v>
      </c>
      <c r="N22" s="26">
        <v>2.4140000000000001</v>
      </c>
      <c r="O22" s="26">
        <v>8.4720000000000002E-7</v>
      </c>
      <c r="P22" s="26">
        <v>2.8400000000000001E-9</v>
      </c>
    </row>
    <row r="23" spans="1:16" s="21" customFormat="1" x14ac:dyDescent="0.25">
      <c r="A23" s="22"/>
      <c r="B23" s="23">
        <v>46</v>
      </c>
      <c r="C23" s="24" t="s">
        <v>49</v>
      </c>
      <c r="D23" s="24"/>
      <c r="E23" s="23">
        <v>1</v>
      </c>
      <c r="F23" s="23">
        <v>0</v>
      </c>
      <c r="G23" s="25">
        <v>1.6709999999999999E-9</v>
      </c>
      <c r="H23" s="25">
        <v>1.4829999999999999E-8</v>
      </c>
      <c r="I23" s="25">
        <v>2.251E-7</v>
      </c>
      <c r="J23" s="25">
        <v>8.4119999999999999E-7</v>
      </c>
      <c r="K23" s="25">
        <v>1.75</v>
      </c>
      <c r="L23" s="25">
        <v>1.75</v>
      </c>
      <c r="M23" s="25">
        <v>0.25619999999999998</v>
      </c>
      <c r="N23" s="26">
        <v>2.508</v>
      </c>
      <c r="O23" s="26">
        <v>8.6580000000000004E-7</v>
      </c>
      <c r="P23" s="26">
        <v>2.5679999999999998E-10</v>
      </c>
    </row>
    <row r="24" spans="1:16" s="21" customFormat="1" x14ac:dyDescent="0.25">
      <c r="A24" s="22"/>
      <c r="B24" s="23">
        <v>51</v>
      </c>
      <c r="C24" s="24" t="s">
        <v>49</v>
      </c>
      <c r="D24" s="27"/>
      <c r="E24" s="23">
        <v>1</v>
      </c>
      <c r="F24" s="23">
        <v>0</v>
      </c>
      <c r="G24" s="25">
        <v>1.6749999999999999E-9</v>
      </c>
      <c r="H24" s="25">
        <v>1.529E-8</v>
      </c>
      <c r="I24" s="25">
        <v>7.0500000000000003E-7</v>
      </c>
      <c r="J24" s="25">
        <v>7.7800000000000001E-7</v>
      </c>
      <c r="K24" s="25">
        <v>1.7010000000000001</v>
      </c>
      <c r="L24" s="25">
        <v>1.7010000000000001</v>
      </c>
      <c r="M24" s="25">
        <v>0.24060000000000001</v>
      </c>
      <c r="N24" s="26">
        <v>2.492</v>
      </c>
      <c r="O24" s="26">
        <v>5.6629999999999998E-7</v>
      </c>
      <c r="P24" s="26">
        <v>2.0660000000000001E-7</v>
      </c>
    </row>
    <row r="25" spans="1:16" x14ac:dyDescent="0.25">
      <c r="B25" s="23">
        <v>54</v>
      </c>
      <c r="C25" s="24" t="s">
        <v>49</v>
      </c>
      <c r="D25" s="24"/>
      <c r="E25" s="23">
        <v>1</v>
      </c>
      <c r="F25" s="23">
        <v>0</v>
      </c>
      <c r="G25" s="25">
        <v>1.5759999999999999E-9</v>
      </c>
      <c r="H25" s="25">
        <v>9.8500000000000005E-9</v>
      </c>
      <c r="I25" s="25">
        <v>1.23E-7</v>
      </c>
      <c r="J25" s="25">
        <v>7.7260000000000002E-7</v>
      </c>
      <c r="K25" s="25">
        <v>1.72</v>
      </c>
      <c r="L25" s="25">
        <v>1.72</v>
      </c>
      <c r="M25" s="25">
        <v>0.24340000000000001</v>
      </c>
      <c r="N25" s="25">
        <v>2.5859999999999999</v>
      </c>
      <c r="O25" s="25">
        <v>5.4649999999999998E-7</v>
      </c>
      <c r="P25" s="25">
        <v>2.4290000000000002E-9</v>
      </c>
    </row>
    <row r="26" spans="1:16" x14ac:dyDescent="0.25">
      <c r="B26" s="23">
        <v>56</v>
      </c>
      <c r="C26" s="24" t="s">
        <v>49</v>
      </c>
      <c r="D26" s="27"/>
      <c r="E26" s="23">
        <v>1</v>
      </c>
      <c r="F26" s="23">
        <v>0</v>
      </c>
      <c r="G26" s="25">
        <v>1.637E-9</v>
      </c>
      <c r="H26" s="25">
        <v>1.421E-8</v>
      </c>
      <c r="I26" s="25">
        <v>2.6770000000000002E-10</v>
      </c>
      <c r="J26" s="25">
        <v>8.0490000000000001E-7</v>
      </c>
      <c r="K26" s="25">
        <v>1.694</v>
      </c>
      <c r="L26" s="25">
        <v>1.694</v>
      </c>
      <c r="M26" s="25">
        <v>0.26219999999999999</v>
      </c>
      <c r="N26" s="25">
        <v>2.48</v>
      </c>
      <c r="O26" s="25">
        <v>8.78E-7</v>
      </c>
      <c r="P26" s="25">
        <v>1.827E-9</v>
      </c>
    </row>
    <row r="27" spans="1:16" x14ac:dyDescent="0.25">
      <c r="B27" s="23">
        <v>59</v>
      </c>
      <c r="C27" s="24" t="s">
        <v>49</v>
      </c>
      <c r="D27" s="24"/>
      <c r="E27" s="23">
        <v>1</v>
      </c>
      <c r="F27" s="23">
        <v>0</v>
      </c>
      <c r="G27" s="25">
        <v>1.608E-9</v>
      </c>
      <c r="H27" s="25">
        <v>1.4149999999999999E-8</v>
      </c>
      <c r="I27" s="25">
        <v>3.3569999999999999E-10</v>
      </c>
      <c r="J27" s="25">
        <v>8.414E-7</v>
      </c>
      <c r="K27" s="25">
        <v>1.73</v>
      </c>
      <c r="L27" s="25">
        <v>1.73</v>
      </c>
      <c r="M27" s="25">
        <v>0.2487</v>
      </c>
      <c r="N27" s="25">
        <v>2.4670000000000001</v>
      </c>
      <c r="O27" s="25">
        <v>1.0380000000000001E-6</v>
      </c>
      <c r="P27" s="25">
        <v>1.9500000000000001E-9</v>
      </c>
    </row>
    <row r="28" spans="1:16" x14ac:dyDescent="0.25">
      <c r="B28" s="23">
        <v>61</v>
      </c>
      <c r="C28" s="24" t="s">
        <v>49</v>
      </c>
      <c r="D28" s="24"/>
      <c r="E28" s="23">
        <v>1</v>
      </c>
      <c r="F28" s="23">
        <v>0</v>
      </c>
      <c r="G28" s="25">
        <v>1.566E-9</v>
      </c>
      <c r="H28" s="25">
        <v>1.282E-8</v>
      </c>
      <c r="I28" s="25">
        <v>2.5919999999999999E-10</v>
      </c>
      <c r="J28" s="25">
        <v>8.5850000000000002E-7</v>
      </c>
      <c r="K28" s="25">
        <v>1.673</v>
      </c>
      <c r="L28" s="25">
        <v>1.673</v>
      </c>
      <c r="M28" s="25">
        <v>0.26550000000000001</v>
      </c>
      <c r="N28" s="25">
        <v>2.4249999999999998</v>
      </c>
      <c r="O28" s="25">
        <v>1.0219999999999999E-6</v>
      </c>
      <c r="P28" s="25">
        <v>1.8690000000000001E-9</v>
      </c>
    </row>
    <row r="29" spans="1:16" x14ac:dyDescent="0.25">
      <c r="B29" s="23">
        <v>67</v>
      </c>
      <c r="C29" s="24" t="s">
        <v>49</v>
      </c>
      <c r="D29" s="27"/>
      <c r="E29" s="23">
        <v>1</v>
      </c>
      <c r="F29" s="23">
        <v>0</v>
      </c>
      <c r="G29" s="25">
        <v>1.8899999999999999E-9</v>
      </c>
      <c r="H29" s="25">
        <v>1.48E-8</v>
      </c>
      <c r="I29" s="25">
        <v>2.22E-7</v>
      </c>
      <c r="J29" s="25">
        <v>7.9999999999999996E-7</v>
      </c>
      <c r="K29" s="25">
        <v>1.44</v>
      </c>
      <c r="L29" s="25">
        <v>1.44</v>
      </c>
      <c r="M29" s="25">
        <v>0.23</v>
      </c>
      <c r="N29" s="25">
        <v>2.2599999999999998</v>
      </c>
      <c r="O29" s="25">
        <v>6.92E-7</v>
      </c>
      <c r="P29" s="25">
        <v>2.5999999999999998E-10</v>
      </c>
    </row>
    <row r="30" spans="1:16" x14ac:dyDescent="0.25">
      <c r="B30" s="23">
        <v>74</v>
      </c>
      <c r="C30" s="24" t="s">
        <v>49</v>
      </c>
      <c r="D30" s="24"/>
      <c r="E30" s="23">
        <v>1</v>
      </c>
      <c r="F30" s="23">
        <v>0</v>
      </c>
      <c r="G30" s="25">
        <v>1.897E-9</v>
      </c>
      <c r="H30" s="25">
        <v>1.118E-8</v>
      </c>
      <c r="I30" s="25">
        <v>1.185E-8</v>
      </c>
      <c r="J30" s="25">
        <v>7.7380000000000001E-7</v>
      </c>
      <c r="K30" s="25">
        <v>1.663</v>
      </c>
      <c r="L30" s="25">
        <v>1.663</v>
      </c>
      <c r="M30" s="25">
        <v>0.2402</v>
      </c>
      <c r="N30" s="25">
        <v>2.4369999999999998</v>
      </c>
      <c r="O30" s="25">
        <v>5.665E-7</v>
      </c>
      <c r="P30" s="25">
        <v>2.0730000000000002E-9</v>
      </c>
    </row>
    <row r="31" spans="1:16" x14ac:dyDescent="0.25">
      <c r="B31" s="23">
        <v>75</v>
      </c>
      <c r="C31" s="24" t="s">
        <v>49</v>
      </c>
      <c r="D31" s="24"/>
      <c r="E31" s="23">
        <v>1</v>
      </c>
      <c r="F31" s="23">
        <v>0</v>
      </c>
      <c r="G31" s="25">
        <v>1.759E-9</v>
      </c>
      <c r="H31" s="25">
        <v>2.6390000000000001E-9</v>
      </c>
      <c r="I31" s="25">
        <v>1.2520000000000001E-7</v>
      </c>
      <c r="J31" s="25">
        <v>8.4900000000000005E-7</v>
      </c>
      <c r="K31" s="25">
        <v>1.7370000000000001</v>
      </c>
      <c r="L31" s="25">
        <v>1.7370000000000001</v>
      </c>
      <c r="M31" s="25">
        <v>0.25519999999999998</v>
      </c>
      <c r="N31" s="25">
        <v>2.492</v>
      </c>
      <c r="O31" s="25">
        <v>9.9000000000000005E-7</v>
      </c>
      <c r="P31" s="25">
        <v>2.3009999999999998E-9</v>
      </c>
    </row>
    <row r="32" spans="1:16" x14ac:dyDescent="0.25">
      <c r="B32" s="23">
        <v>76</v>
      </c>
      <c r="C32" s="24" t="s">
        <v>49</v>
      </c>
      <c r="D32" s="24"/>
      <c r="E32" s="23">
        <v>1</v>
      </c>
      <c r="F32" s="23">
        <v>0</v>
      </c>
      <c r="G32" s="25">
        <v>2.0339999999999998E-9</v>
      </c>
      <c r="H32" s="25">
        <v>1.4020000000000001E-8</v>
      </c>
      <c r="I32" s="25">
        <v>1.8640000000000001E-6</v>
      </c>
      <c r="J32" s="25">
        <v>7.7100000000000001E-7</v>
      </c>
      <c r="K32" s="25">
        <v>1.679</v>
      </c>
      <c r="L32" s="25">
        <v>1.679</v>
      </c>
      <c r="M32" s="25">
        <v>0.2366</v>
      </c>
      <c r="N32" s="25">
        <v>2.5089999999999999</v>
      </c>
      <c r="O32" s="25">
        <v>5.8559999999999995E-7</v>
      </c>
      <c r="P32" s="25">
        <v>9.6879999999999994E-7</v>
      </c>
    </row>
    <row r="33" spans="2:16" x14ac:dyDescent="0.25">
      <c r="B33" s="23">
        <v>78</v>
      </c>
      <c r="C33" s="24" t="s">
        <v>49</v>
      </c>
      <c r="D33" s="24"/>
      <c r="E33" s="23">
        <v>1</v>
      </c>
      <c r="F33" s="23">
        <v>0</v>
      </c>
      <c r="G33" s="25">
        <v>1.641E-9</v>
      </c>
      <c r="H33" s="25">
        <v>1.4990000000000001E-8</v>
      </c>
      <c r="I33" s="25">
        <v>3.8249999999999999E-7</v>
      </c>
      <c r="J33" s="25">
        <v>8.7769999999999998E-7</v>
      </c>
      <c r="K33" s="25">
        <v>1.714</v>
      </c>
      <c r="L33" s="25">
        <v>1.714</v>
      </c>
      <c r="M33" s="25">
        <v>0.26850000000000002</v>
      </c>
      <c r="N33" s="25">
        <v>2.476</v>
      </c>
      <c r="O33" s="25">
        <v>1.0550000000000001E-6</v>
      </c>
      <c r="P33" s="25">
        <v>1.038E-7</v>
      </c>
    </row>
    <row r="34" spans="2:16" x14ac:dyDescent="0.25">
      <c r="B34" s="23">
        <v>79</v>
      </c>
      <c r="C34" s="24" t="s">
        <v>49</v>
      </c>
      <c r="D34" s="24"/>
      <c r="E34" s="23">
        <v>1</v>
      </c>
      <c r="F34" s="23">
        <v>0</v>
      </c>
      <c r="G34" s="25">
        <v>1.5610000000000001E-9</v>
      </c>
      <c r="H34" s="25">
        <v>1.0120000000000001E-8</v>
      </c>
      <c r="I34" s="25">
        <v>1.98E-7</v>
      </c>
      <c r="J34" s="25">
        <v>8.0620000000000001E-7</v>
      </c>
      <c r="K34" s="25">
        <v>1.5620000000000001</v>
      </c>
      <c r="L34" s="25">
        <v>1.5620000000000001</v>
      </c>
      <c r="M34" s="25">
        <v>0.2346</v>
      </c>
      <c r="N34" s="25">
        <v>2.31</v>
      </c>
      <c r="O34" s="25">
        <v>8.582E-7</v>
      </c>
      <c r="P34" s="25">
        <v>2.454E-9</v>
      </c>
    </row>
    <row r="35" spans="2:16" x14ac:dyDescent="0.25">
      <c r="B35" s="23">
        <v>80</v>
      </c>
      <c r="C35" s="24" t="s">
        <v>49</v>
      </c>
      <c r="D35" s="27"/>
      <c r="E35" s="23">
        <v>1</v>
      </c>
      <c r="F35" s="23">
        <v>0</v>
      </c>
      <c r="G35" s="25">
        <v>1.595E-9</v>
      </c>
      <c r="H35" s="25">
        <v>1.4289999999999999E-8</v>
      </c>
      <c r="I35" s="25">
        <v>1.7039999999999999E-6</v>
      </c>
      <c r="J35" s="25">
        <v>7.7980000000000003E-7</v>
      </c>
      <c r="K35" s="25">
        <v>1.742</v>
      </c>
      <c r="L35" s="25">
        <v>1.742</v>
      </c>
      <c r="M35" s="25">
        <v>0.26519999999999999</v>
      </c>
      <c r="N35" s="25">
        <v>2.5880000000000001</v>
      </c>
      <c r="O35" s="25">
        <v>4.4270000000000001E-7</v>
      </c>
      <c r="P35" s="25">
        <v>4.7010000000000001E-7</v>
      </c>
    </row>
    <row r="36" spans="2:16" x14ac:dyDescent="0.25">
      <c r="B36" s="23">
        <v>84</v>
      </c>
      <c r="C36" s="24" t="s">
        <v>49</v>
      </c>
      <c r="D36" s="24"/>
      <c r="E36" s="23">
        <v>1</v>
      </c>
      <c r="F36" s="23">
        <v>0</v>
      </c>
      <c r="G36" s="25">
        <v>1.7140000000000001E-9</v>
      </c>
      <c r="H36" s="25">
        <v>1.1490000000000001E-8</v>
      </c>
      <c r="I36" s="25">
        <v>1.7560000000000001E-7</v>
      </c>
      <c r="J36" s="25">
        <v>7.6860000000000004E-7</v>
      </c>
      <c r="K36" s="25">
        <v>1.7410000000000001</v>
      </c>
      <c r="L36" s="25">
        <v>1.7410000000000001</v>
      </c>
      <c r="M36" s="25">
        <v>0.23769999999999999</v>
      </c>
      <c r="N36" s="25">
        <v>2.6179999999999999</v>
      </c>
      <c r="O36" s="25">
        <v>5.397E-7</v>
      </c>
      <c r="P36" s="25">
        <v>2.4469999999999999E-9</v>
      </c>
    </row>
    <row r="37" spans="2:16" x14ac:dyDescent="0.25">
      <c r="B37" s="23">
        <v>85</v>
      </c>
      <c r="C37" s="24" t="s">
        <v>49</v>
      </c>
      <c r="D37" s="24"/>
      <c r="E37" s="23">
        <v>1</v>
      </c>
      <c r="F37" s="23">
        <v>0</v>
      </c>
      <c r="G37" s="25">
        <v>1.7599999999999999E-9</v>
      </c>
      <c r="H37" s="25">
        <v>1.2520000000000001E-8</v>
      </c>
      <c r="I37" s="25">
        <v>2.7809999999999998E-9</v>
      </c>
      <c r="J37" s="25">
        <v>8.2910000000000003E-7</v>
      </c>
      <c r="K37" s="25">
        <v>1.698</v>
      </c>
      <c r="L37" s="25">
        <v>1.698</v>
      </c>
      <c r="M37" s="25">
        <v>0.26450000000000001</v>
      </c>
      <c r="N37" s="25">
        <v>2.484</v>
      </c>
      <c r="O37" s="25">
        <v>7.0399999999999995E-7</v>
      </c>
      <c r="P37" s="25">
        <v>1.9540000000000001E-9</v>
      </c>
    </row>
    <row r="38" spans="2:16" x14ac:dyDescent="0.25">
      <c r="B38" s="23">
        <v>88</v>
      </c>
      <c r="C38" s="24" t="s">
        <v>49</v>
      </c>
      <c r="D38" s="27"/>
      <c r="E38" s="23">
        <v>1</v>
      </c>
      <c r="F38" s="23">
        <v>0</v>
      </c>
      <c r="G38" s="25">
        <v>1.771E-9</v>
      </c>
      <c r="H38" s="25">
        <v>2.601E-9</v>
      </c>
      <c r="I38" s="25">
        <v>1.0789999999999999E-8</v>
      </c>
      <c r="J38" s="25">
        <v>8.5509999999999997E-7</v>
      </c>
      <c r="K38" s="25">
        <v>1.6759999999999999</v>
      </c>
      <c r="L38" s="25">
        <v>1.6759999999999999</v>
      </c>
      <c r="M38" s="25">
        <v>0.26400000000000001</v>
      </c>
      <c r="N38" s="25">
        <v>2.4279999999999999</v>
      </c>
      <c r="O38" s="25">
        <v>9.9000000000000005E-7</v>
      </c>
      <c r="P38" s="25">
        <v>2.0930000000000001E-9</v>
      </c>
    </row>
    <row r="39" spans="2:16" x14ac:dyDescent="0.25">
      <c r="B39" s="23">
        <v>89</v>
      </c>
      <c r="C39" s="24" t="s">
        <v>49</v>
      </c>
      <c r="D39" s="24"/>
      <c r="E39" s="23">
        <v>1</v>
      </c>
      <c r="F39" s="23">
        <v>0</v>
      </c>
      <c r="G39" s="25">
        <v>1.527E-9</v>
      </c>
      <c r="H39" s="25">
        <v>1.179E-8</v>
      </c>
      <c r="I39" s="25">
        <v>1.139E-8</v>
      </c>
      <c r="J39" s="25">
        <v>8.4340000000000005E-7</v>
      </c>
      <c r="K39" s="25">
        <v>1.679</v>
      </c>
      <c r="L39" s="25">
        <v>1.679</v>
      </c>
      <c r="M39" s="25">
        <v>0.25169999999999998</v>
      </c>
      <c r="N39" s="25">
        <v>2.448</v>
      </c>
      <c r="O39" s="25">
        <v>7.92E-7</v>
      </c>
      <c r="P39" s="25">
        <v>1.9919999999999999E-10</v>
      </c>
    </row>
    <row r="40" spans="2:16" x14ac:dyDescent="0.25">
      <c r="B40" s="23">
        <v>90</v>
      </c>
      <c r="C40" s="24" t="s">
        <v>49</v>
      </c>
      <c r="D40" s="27"/>
      <c r="E40" s="23">
        <v>1</v>
      </c>
      <c r="F40" s="23">
        <v>0</v>
      </c>
      <c r="G40" s="25">
        <v>1.7659999999999999E-9</v>
      </c>
      <c r="H40" s="25">
        <v>1.0670000000000001E-8</v>
      </c>
      <c r="I40" s="25">
        <v>1.3260000000000001E-7</v>
      </c>
      <c r="J40" s="25">
        <v>7.1200000000000002E-10</v>
      </c>
      <c r="K40" s="25">
        <v>1.7430000000000001</v>
      </c>
      <c r="L40" s="25">
        <v>1.7430000000000001</v>
      </c>
      <c r="M40" s="25">
        <v>0.2495</v>
      </c>
      <c r="N40" s="25">
        <v>2.6120000000000001</v>
      </c>
      <c r="O40" s="25">
        <v>4.4330000000000001E-7</v>
      </c>
      <c r="P40" s="25">
        <v>2.2459999999999999E-9</v>
      </c>
    </row>
    <row r="41" spans="2:16" x14ac:dyDescent="0.25">
      <c r="B41" s="23">
        <v>91</v>
      </c>
      <c r="C41" s="24" t="s">
        <v>49</v>
      </c>
      <c r="D41" s="24"/>
      <c r="E41" s="23">
        <v>1</v>
      </c>
      <c r="F41" s="23">
        <v>0</v>
      </c>
      <c r="G41" s="25">
        <v>1.616E-9</v>
      </c>
      <c r="H41" s="25">
        <v>1.3550000000000001E-8</v>
      </c>
      <c r="I41" s="25">
        <v>1.3150000000000001E-7</v>
      </c>
      <c r="J41" s="25">
        <v>7.9080000000000001E-7</v>
      </c>
      <c r="K41" s="25">
        <v>1.778</v>
      </c>
      <c r="L41" s="25">
        <v>1.778</v>
      </c>
      <c r="M41" s="25">
        <v>0.26450000000000001</v>
      </c>
      <c r="N41" s="25">
        <v>2.6059999999999999</v>
      </c>
      <c r="O41" s="25">
        <v>4.9709999999999997E-7</v>
      </c>
      <c r="P41" s="25">
        <v>2.2889999999999999E-9</v>
      </c>
    </row>
    <row r="42" spans="2:16" x14ac:dyDescent="0.25">
      <c r="B42" s="23">
        <v>92</v>
      </c>
      <c r="C42" s="24" t="s">
        <v>49</v>
      </c>
      <c r="D42" s="24"/>
      <c r="E42" s="23">
        <v>1</v>
      </c>
      <c r="F42" s="23">
        <v>0</v>
      </c>
      <c r="G42" s="25">
        <v>1.734E-9</v>
      </c>
      <c r="H42" s="25">
        <v>1.5329999999999999E-8</v>
      </c>
      <c r="I42" s="25">
        <v>2.8239999999999999E-7</v>
      </c>
      <c r="J42" s="25">
        <v>7.9019999999999997E-7</v>
      </c>
      <c r="K42" s="25">
        <v>1.5529999999999999</v>
      </c>
      <c r="L42" s="25">
        <v>1.5529999999999999</v>
      </c>
      <c r="M42" s="25">
        <v>0.2326</v>
      </c>
      <c r="N42" s="25">
        <v>2.2839999999999998</v>
      </c>
      <c r="O42" s="25">
        <v>1.046E-6</v>
      </c>
      <c r="P42" s="25">
        <v>1.2660000000000001E-7</v>
      </c>
    </row>
    <row r="43" spans="2:16" x14ac:dyDescent="0.25">
      <c r="B43" s="23">
        <v>97</v>
      </c>
      <c r="C43" s="24" t="s">
        <v>49</v>
      </c>
      <c r="D43" s="27"/>
      <c r="E43" s="23">
        <v>1</v>
      </c>
      <c r="F43" s="23">
        <v>0</v>
      </c>
      <c r="G43" s="25">
        <v>1.8739999999999999E-9</v>
      </c>
      <c r="H43" s="25">
        <v>1.4160000000000001E-8</v>
      </c>
      <c r="I43" s="25">
        <v>1.6500000000000001E-7</v>
      </c>
      <c r="J43" s="25">
        <v>7.7079999999999999E-7</v>
      </c>
      <c r="K43" s="25">
        <v>1.7549999999999999</v>
      </c>
      <c r="L43" s="25">
        <v>1.7549999999999999</v>
      </c>
      <c r="M43" s="25">
        <v>0.2515</v>
      </c>
      <c r="N43" s="25">
        <v>2.6080000000000001</v>
      </c>
      <c r="O43" s="25">
        <v>4.1119999999999998E-7</v>
      </c>
      <c r="P43" s="25">
        <v>2.4939999999999999E-9</v>
      </c>
    </row>
    <row r="44" spans="2:16" x14ac:dyDescent="0.25">
      <c r="B44" s="23">
        <v>100</v>
      </c>
      <c r="C44" s="24" t="s">
        <v>49</v>
      </c>
      <c r="D44" s="24"/>
      <c r="E44" s="23">
        <v>1</v>
      </c>
      <c r="F44" s="23">
        <v>0</v>
      </c>
      <c r="G44" s="25">
        <v>1.666E-9</v>
      </c>
      <c r="H44" s="25">
        <v>1.44E-8</v>
      </c>
      <c r="I44" s="25">
        <v>1.3E-6</v>
      </c>
      <c r="J44" s="25">
        <v>8.3060000000000004E-7</v>
      </c>
      <c r="K44" s="25">
        <v>1.708</v>
      </c>
      <c r="L44" s="25">
        <v>1.708</v>
      </c>
      <c r="M44" s="25">
        <v>0.25069999999999998</v>
      </c>
      <c r="N44" s="25">
        <v>2.4609999999999999</v>
      </c>
      <c r="O44" s="25">
        <v>8.8420000000000004E-7</v>
      </c>
      <c r="P44" s="25">
        <v>3.6539999999999998E-7</v>
      </c>
    </row>
    <row r="45" spans="2:16" x14ac:dyDescent="0.25">
      <c r="B45" s="23">
        <v>104</v>
      </c>
      <c r="C45" s="24" t="s">
        <v>49</v>
      </c>
      <c r="D45" s="24"/>
      <c r="E45" s="23">
        <v>1</v>
      </c>
      <c r="F45" s="23">
        <v>0</v>
      </c>
      <c r="G45" s="25">
        <v>2.0500000000000002E-9</v>
      </c>
      <c r="H45" s="25">
        <v>1.529E-8</v>
      </c>
      <c r="I45" s="25">
        <v>4.0779999999999999E-7</v>
      </c>
      <c r="J45" s="25">
        <v>7.7240000000000001E-7</v>
      </c>
      <c r="K45" s="25">
        <v>1.756</v>
      </c>
      <c r="L45" s="25">
        <v>1.756</v>
      </c>
      <c r="M45" s="25">
        <v>0.24049999999999999</v>
      </c>
      <c r="N45" s="25">
        <v>2.5680000000000001</v>
      </c>
      <c r="O45" s="25">
        <v>6.483E-7</v>
      </c>
      <c r="P45" s="25">
        <v>1.7170000000000001E-7</v>
      </c>
    </row>
    <row r="46" spans="2:16" x14ac:dyDescent="0.25">
      <c r="B46" s="23">
        <v>105</v>
      </c>
      <c r="C46" s="24" t="s">
        <v>49</v>
      </c>
      <c r="D46" s="24"/>
      <c r="E46" s="23">
        <v>1</v>
      </c>
      <c r="F46" s="23">
        <v>0</v>
      </c>
      <c r="G46" s="25">
        <v>1.8880000000000001E-9</v>
      </c>
      <c r="H46" s="25">
        <v>9.8799999999999998E-9</v>
      </c>
      <c r="I46" s="25">
        <v>2.931E-7</v>
      </c>
      <c r="J46" s="25">
        <v>8.2510000000000005E-7</v>
      </c>
      <c r="K46" s="25">
        <v>1.7509999999999999</v>
      </c>
      <c r="L46" s="25">
        <v>1.7509999999999999</v>
      </c>
      <c r="M46" s="25">
        <v>0.25119999999999998</v>
      </c>
      <c r="N46" s="25">
        <v>2.5070000000000001</v>
      </c>
      <c r="O46" s="25">
        <v>8.5069999999999996E-7</v>
      </c>
      <c r="P46" s="25">
        <v>2.8790000000000001E-10</v>
      </c>
    </row>
    <row r="47" spans="2:16" x14ac:dyDescent="0.25">
      <c r="B47" s="23">
        <v>106</v>
      </c>
      <c r="C47" s="24" t="s">
        <v>49</v>
      </c>
      <c r="D47" s="24"/>
      <c r="E47" s="23">
        <v>1</v>
      </c>
      <c r="F47" s="23">
        <v>0</v>
      </c>
      <c r="G47" s="25">
        <v>1.9000000000000001E-9</v>
      </c>
      <c r="H47" s="25">
        <v>1.5250000000000001E-8</v>
      </c>
      <c r="I47" s="25">
        <v>6.9419999999999996E-7</v>
      </c>
      <c r="J47" s="25">
        <v>7.8339999999999999E-7</v>
      </c>
      <c r="K47" s="25">
        <v>1.581</v>
      </c>
      <c r="L47" s="25">
        <v>1.581</v>
      </c>
      <c r="M47" s="25">
        <v>0.22850000000000001</v>
      </c>
      <c r="N47" s="25">
        <v>2.3340000000000001</v>
      </c>
      <c r="O47" s="25">
        <v>7.3470000000000003E-7</v>
      </c>
      <c r="P47" s="25">
        <v>1.077E-7</v>
      </c>
    </row>
    <row r="48" spans="2:16" x14ac:dyDescent="0.25">
      <c r="B48" s="23">
        <v>108</v>
      </c>
      <c r="C48" s="24" t="s">
        <v>49</v>
      </c>
      <c r="D48" s="24"/>
      <c r="E48" s="23">
        <v>1</v>
      </c>
      <c r="F48" s="23">
        <v>0</v>
      </c>
      <c r="G48" s="25">
        <v>1.695E-9</v>
      </c>
      <c r="H48" s="25">
        <v>1.4699999999999999E-8</v>
      </c>
      <c r="I48" s="25">
        <v>2.7510000000000001E-10</v>
      </c>
      <c r="J48" s="25">
        <v>8.5229999999999998E-7</v>
      </c>
      <c r="K48" s="25">
        <v>1.68</v>
      </c>
      <c r="L48" s="25">
        <v>1.68</v>
      </c>
      <c r="M48" s="25">
        <v>0.26200000000000001</v>
      </c>
      <c r="N48" s="25">
        <v>2.4420000000000002</v>
      </c>
      <c r="O48" s="25">
        <v>8.3279999999999999E-7</v>
      </c>
      <c r="P48" s="25">
        <v>1.9850000000000001E-9</v>
      </c>
    </row>
    <row r="49" spans="2:16" x14ac:dyDescent="0.25">
      <c r="B49" s="23">
        <v>115</v>
      </c>
      <c r="C49" s="24" t="s">
        <v>49</v>
      </c>
      <c r="D49" s="24"/>
      <c r="E49" s="23">
        <v>1</v>
      </c>
      <c r="F49" s="23">
        <v>0</v>
      </c>
      <c r="G49" s="25">
        <v>1.645E-9</v>
      </c>
      <c r="H49" s="25">
        <v>1.2180000000000001E-8</v>
      </c>
      <c r="I49" s="25">
        <v>9.9099999999999994E-8</v>
      </c>
      <c r="J49" s="25">
        <v>7.6700000000000003E-7</v>
      </c>
      <c r="K49" s="25">
        <v>1.7450000000000001</v>
      </c>
      <c r="L49" s="25">
        <v>1.7450000000000001</v>
      </c>
      <c r="M49" s="25">
        <v>0.2472</v>
      </c>
      <c r="N49" s="25">
        <v>2.63</v>
      </c>
      <c r="O49" s="25">
        <v>4.905E-7</v>
      </c>
      <c r="P49" s="25">
        <v>2.1219999999999999E-9</v>
      </c>
    </row>
    <row r="50" spans="2:16" x14ac:dyDescent="0.25">
      <c r="B50" s="23">
        <v>116</v>
      </c>
      <c r="C50" s="24" t="s">
        <v>49</v>
      </c>
      <c r="D50" s="27"/>
      <c r="E50" s="23">
        <v>1</v>
      </c>
      <c r="F50" s="23">
        <v>0</v>
      </c>
      <c r="G50" s="25">
        <v>1.593E-9</v>
      </c>
      <c r="H50" s="25">
        <v>1.453E-8</v>
      </c>
      <c r="I50" s="25">
        <v>5.0780000000000003E-7</v>
      </c>
      <c r="J50" s="25">
        <v>7.7960000000000002E-7</v>
      </c>
      <c r="K50" s="25">
        <v>1.657</v>
      </c>
      <c r="L50" s="25">
        <v>1.657</v>
      </c>
      <c r="M50" s="25">
        <v>0.23280000000000001</v>
      </c>
      <c r="N50" s="25">
        <v>2.4460000000000002</v>
      </c>
      <c r="O50" s="25">
        <v>7.3929999999999996E-7</v>
      </c>
      <c r="P50" s="25">
        <v>2.4380000000000001E-9</v>
      </c>
    </row>
    <row r="51" spans="2:16" x14ac:dyDescent="0.25">
      <c r="B51" s="23">
        <v>118</v>
      </c>
      <c r="C51" s="24" t="s">
        <v>49</v>
      </c>
      <c r="D51" s="24"/>
      <c r="E51" s="23">
        <v>1</v>
      </c>
      <c r="F51" s="23">
        <v>0</v>
      </c>
      <c r="G51" s="25">
        <v>1.6520000000000001E-9</v>
      </c>
      <c r="H51" s="25">
        <v>1.424E-8</v>
      </c>
      <c r="I51" s="25">
        <v>7.0969999999999996E-7</v>
      </c>
      <c r="J51" s="25">
        <v>7.9370000000000002E-7</v>
      </c>
      <c r="K51" s="25">
        <v>1.7430000000000001</v>
      </c>
      <c r="L51" s="25">
        <v>1.7430000000000001</v>
      </c>
      <c r="M51" s="25">
        <v>0.2465</v>
      </c>
      <c r="N51" s="25">
        <v>2.5310000000000001</v>
      </c>
      <c r="O51" s="25">
        <v>6.3939999999999997E-7</v>
      </c>
      <c r="P51" s="25">
        <v>1.998E-7</v>
      </c>
    </row>
    <row r="52" spans="2:16" x14ac:dyDescent="0.25">
      <c r="B52" s="23">
        <v>120</v>
      </c>
      <c r="C52" s="24" t="s">
        <v>49</v>
      </c>
      <c r="D52" s="27"/>
      <c r="E52" s="23">
        <v>1</v>
      </c>
      <c r="F52" s="23">
        <v>0</v>
      </c>
      <c r="G52" s="25">
        <v>1.748E-9</v>
      </c>
      <c r="H52" s="25">
        <v>1.24E-8</v>
      </c>
      <c r="I52" s="25">
        <v>6.8299999999999996E-7</v>
      </c>
      <c r="J52" s="25">
        <v>7.7440000000000005E-7</v>
      </c>
      <c r="K52" s="25">
        <v>1.7370000000000001</v>
      </c>
      <c r="L52" s="25">
        <v>1.7370000000000001</v>
      </c>
      <c r="M52" s="25">
        <v>0.2482</v>
      </c>
      <c r="N52" s="25">
        <v>2.5350000000000001</v>
      </c>
      <c r="O52" s="25">
        <v>5.8640000000000001E-7</v>
      </c>
      <c r="P52" s="25">
        <v>1.2319999999999999E-7</v>
      </c>
    </row>
    <row r="53" spans="2:16" x14ac:dyDescent="0.25">
      <c r="B53" s="23">
        <v>128</v>
      </c>
      <c r="C53" s="24" t="s">
        <v>49</v>
      </c>
      <c r="D53" s="27"/>
      <c r="E53" s="23">
        <v>1</v>
      </c>
      <c r="F53" s="23">
        <v>0</v>
      </c>
      <c r="G53" s="25">
        <v>1.7849999999999999E-9</v>
      </c>
      <c r="H53" s="25">
        <v>9.8999999999999993E-9</v>
      </c>
      <c r="I53" s="25">
        <v>3.005E-10</v>
      </c>
      <c r="J53" s="25">
        <v>7.8319999999999997E-7</v>
      </c>
      <c r="K53" s="25">
        <v>1.7529999999999999</v>
      </c>
      <c r="L53" s="25">
        <v>1.7529999999999999</v>
      </c>
      <c r="M53" s="25">
        <v>0.25650000000000001</v>
      </c>
      <c r="N53" s="25">
        <v>2.5950000000000002</v>
      </c>
      <c r="O53" s="25">
        <v>4.7520000000000002E-7</v>
      </c>
      <c r="P53" s="25">
        <v>1.9679999999999998E-9</v>
      </c>
    </row>
    <row r="54" spans="2:16" x14ac:dyDescent="0.25">
      <c r="B54" s="23">
        <v>129</v>
      </c>
      <c r="C54" s="24" t="s">
        <v>49</v>
      </c>
      <c r="D54" s="24"/>
      <c r="E54" s="23">
        <v>1</v>
      </c>
      <c r="F54" s="23">
        <v>0</v>
      </c>
      <c r="G54" s="25">
        <v>1.6919999999999999E-9</v>
      </c>
      <c r="H54" s="25">
        <v>1.002E-8</v>
      </c>
      <c r="I54" s="25">
        <v>1.8260000000000001E-7</v>
      </c>
      <c r="J54" s="25">
        <v>7.709E-7</v>
      </c>
      <c r="K54" s="25">
        <v>1.7470000000000001</v>
      </c>
      <c r="L54" s="25">
        <v>1.7470000000000001</v>
      </c>
      <c r="M54" s="25">
        <v>0.2525</v>
      </c>
      <c r="N54" s="25">
        <v>2.6120000000000001</v>
      </c>
      <c r="O54" s="25">
        <v>4.4649999999999998E-7</v>
      </c>
      <c r="P54" s="25">
        <v>2.659E-9</v>
      </c>
    </row>
    <row r="55" spans="2:16" x14ac:dyDescent="0.25">
      <c r="B55" s="23">
        <v>130</v>
      </c>
      <c r="C55" s="24" t="s">
        <v>49</v>
      </c>
      <c r="D55" s="27"/>
      <c r="E55" s="23">
        <v>1</v>
      </c>
      <c r="F55" s="23">
        <v>0</v>
      </c>
      <c r="G55" s="25">
        <v>1.748E-9</v>
      </c>
      <c r="H55" s="25">
        <v>1.4699999999999999E-8</v>
      </c>
      <c r="I55" s="25">
        <v>2.776E-7</v>
      </c>
      <c r="J55" s="25">
        <v>7.6929999999999999E-7</v>
      </c>
      <c r="K55" s="25">
        <v>1.6819999999999999</v>
      </c>
      <c r="L55" s="25">
        <v>1.6819999999999999</v>
      </c>
      <c r="M55" s="25">
        <v>0.24079999999999999</v>
      </c>
      <c r="N55" s="25">
        <v>2.4769999999999999</v>
      </c>
      <c r="O55" s="25">
        <v>4.5219999999999999E-7</v>
      </c>
      <c r="P55" s="25">
        <v>1.1129999999999999E-8</v>
      </c>
    </row>
    <row r="56" spans="2:16" x14ac:dyDescent="0.25">
      <c r="B56" s="23">
        <v>134</v>
      </c>
      <c r="C56" s="24" t="s">
        <v>49</v>
      </c>
      <c r="D56" s="27"/>
      <c r="E56" s="23">
        <v>1</v>
      </c>
      <c r="F56" s="23">
        <v>0</v>
      </c>
      <c r="G56" s="25">
        <v>1.5650000000000001E-9</v>
      </c>
      <c r="H56" s="25">
        <v>1.427E-8</v>
      </c>
      <c r="I56" s="25">
        <v>2.353E-7</v>
      </c>
      <c r="J56" s="25">
        <v>7.8250000000000003E-7</v>
      </c>
      <c r="K56" s="25">
        <v>1.742</v>
      </c>
      <c r="L56" s="25">
        <v>1.742</v>
      </c>
      <c r="M56" s="25">
        <v>0.25419999999999998</v>
      </c>
      <c r="N56" s="25">
        <v>2.5859999999999999</v>
      </c>
      <c r="O56" s="25">
        <v>4.9869999999999999E-7</v>
      </c>
      <c r="P56" s="25">
        <v>2.4239999999999999E-9</v>
      </c>
    </row>
    <row r="57" spans="2:16" x14ac:dyDescent="0.25">
      <c r="B57" s="23">
        <v>136</v>
      </c>
      <c r="C57" s="24" t="s">
        <v>49</v>
      </c>
      <c r="D57" s="24"/>
      <c r="E57" s="23">
        <v>1</v>
      </c>
      <c r="F57" s="23">
        <v>0</v>
      </c>
      <c r="G57" s="25">
        <v>1.753E-9</v>
      </c>
      <c r="H57" s="25">
        <v>1.5279999999999999E-8</v>
      </c>
      <c r="I57" s="25">
        <v>1.157E-8</v>
      </c>
      <c r="J57" s="25">
        <v>7.765E-7</v>
      </c>
      <c r="K57" s="25">
        <v>1.724</v>
      </c>
      <c r="L57" s="25">
        <v>1.724</v>
      </c>
      <c r="M57" s="25">
        <v>0.2359</v>
      </c>
      <c r="N57" s="25">
        <v>2.5459999999999998</v>
      </c>
      <c r="O57" s="25">
        <v>7.4580000000000002E-7</v>
      </c>
      <c r="P57" s="25">
        <v>2.244E-10</v>
      </c>
    </row>
    <row r="58" spans="2:16" x14ac:dyDescent="0.25">
      <c r="B58" s="23">
        <v>137</v>
      </c>
      <c r="C58" s="24" t="s">
        <v>49</v>
      </c>
      <c r="D58" s="24"/>
      <c r="E58" s="23">
        <v>1</v>
      </c>
      <c r="F58" s="23">
        <v>0</v>
      </c>
      <c r="G58" s="25">
        <v>1.761E-9</v>
      </c>
      <c r="H58" s="25">
        <v>1.2590000000000001E-8</v>
      </c>
      <c r="I58" s="25">
        <v>1.708E-6</v>
      </c>
      <c r="J58" s="25">
        <v>8.0250000000000005E-7</v>
      </c>
      <c r="K58" s="25">
        <v>1.829</v>
      </c>
      <c r="L58" s="25">
        <v>1.829</v>
      </c>
      <c r="M58" s="25">
        <v>0.25650000000000001</v>
      </c>
      <c r="N58" s="25">
        <v>2.6259999999999999</v>
      </c>
      <c r="O58" s="25">
        <v>7.1330000000000001E-7</v>
      </c>
      <c r="P58" s="25">
        <v>8.2109999999999996E-7</v>
      </c>
    </row>
    <row r="59" spans="2:16" x14ac:dyDescent="0.25">
      <c r="B59" s="23">
        <v>139</v>
      </c>
      <c r="C59" s="24" t="s">
        <v>49</v>
      </c>
      <c r="D59" s="28"/>
      <c r="E59" s="23">
        <v>1</v>
      </c>
      <c r="F59" s="23">
        <v>0</v>
      </c>
      <c r="G59" s="25">
        <v>1.75E-9</v>
      </c>
      <c r="H59" s="25">
        <v>1.434E-8</v>
      </c>
      <c r="I59" s="25">
        <v>2.5150000000000001E-9</v>
      </c>
      <c r="J59" s="25">
        <v>7.7270000000000003E-7</v>
      </c>
      <c r="K59" s="25">
        <v>1.71</v>
      </c>
      <c r="L59" s="25">
        <v>1.71</v>
      </c>
      <c r="M59" s="25">
        <v>0.2457</v>
      </c>
      <c r="N59" s="25">
        <v>2.5070000000000001</v>
      </c>
      <c r="O59" s="25">
        <v>4.6520000000000001E-7</v>
      </c>
      <c r="P59" s="25">
        <v>1.8800000000000001E-9</v>
      </c>
    </row>
    <row r="60" spans="2:16" x14ac:dyDescent="0.25">
      <c r="B60" s="23">
        <v>140</v>
      </c>
      <c r="C60" s="24" t="s">
        <v>49</v>
      </c>
      <c r="D60" s="27"/>
      <c r="E60" s="23">
        <v>1</v>
      </c>
      <c r="F60" s="23">
        <v>0</v>
      </c>
      <c r="G60" s="25">
        <v>1.893E-9</v>
      </c>
      <c r="H60" s="25">
        <v>1.4629999999999999E-8</v>
      </c>
      <c r="I60" s="25">
        <v>2.2200000000000002E-9</v>
      </c>
      <c r="J60" s="25">
        <v>8.6379999999999999E-7</v>
      </c>
      <c r="K60" s="25">
        <v>1.71</v>
      </c>
      <c r="L60" s="25">
        <v>1.71</v>
      </c>
      <c r="M60" s="25">
        <v>0.25900000000000001</v>
      </c>
      <c r="N60" s="25">
        <v>2.4500000000000002</v>
      </c>
      <c r="O60" s="25">
        <v>1.0729999999999999E-6</v>
      </c>
      <c r="P60" s="25">
        <v>1.8E-9</v>
      </c>
    </row>
    <row r="61" spans="2:16" x14ac:dyDescent="0.25">
      <c r="B61" s="23">
        <v>145</v>
      </c>
      <c r="C61" s="24" t="s">
        <v>49</v>
      </c>
      <c r="D61" s="24"/>
      <c r="E61" s="23">
        <v>1</v>
      </c>
      <c r="F61" s="23">
        <v>0</v>
      </c>
      <c r="G61" s="25">
        <v>1.641E-9</v>
      </c>
      <c r="H61" s="25">
        <v>1.425E-8</v>
      </c>
      <c r="I61" s="25">
        <v>3.749E-7</v>
      </c>
      <c r="J61" s="25">
        <v>7.6690000000000002E-7</v>
      </c>
      <c r="K61" s="25">
        <v>1.73</v>
      </c>
      <c r="L61" s="25">
        <v>1.73</v>
      </c>
      <c r="M61" s="25">
        <v>0.2465</v>
      </c>
      <c r="N61" s="25">
        <v>2.6070000000000002</v>
      </c>
      <c r="O61" s="25">
        <v>4.622E-7</v>
      </c>
      <c r="P61" s="25">
        <v>1.172E-7</v>
      </c>
    </row>
    <row r="62" spans="2:16" x14ac:dyDescent="0.25">
      <c r="B62" s="23">
        <v>156</v>
      </c>
      <c r="C62" s="23" t="s">
        <v>49</v>
      </c>
      <c r="D62" s="23"/>
      <c r="E62" s="23">
        <v>1</v>
      </c>
      <c r="F62" s="23">
        <v>0</v>
      </c>
      <c r="G62" s="25">
        <v>1.705E-9</v>
      </c>
      <c r="H62" s="25">
        <v>1.441E-8</v>
      </c>
      <c r="I62" s="25">
        <v>1.344E-6</v>
      </c>
      <c r="J62" s="25">
        <v>7.9579999999999997E-7</v>
      </c>
      <c r="K62" s="25">
        <v>1.712</v>
      </c>
      <c r="L62" s="25">
        <v>1.712</v>
      </c>
      <c r="M62" s="25">
        <v>0.249</v>
      </c>
      <c r="N62" s="25">
        <v>2.5129999999999999</v>
      </c>
      <c r="O62" s="25">
        <v>6.4720000000000002E-7</v>
      </c>
      <c r="P62" s="25">
        <v>3.488E-7</v>
      </c>
    </row>
    <row r="63" spans="2:16" x14ac:dyDescent="0.25">
      <c r="B63" s="23">
        <v>170</v>
      </c>
      <c r="C63" s="23" t="s">
        <v>49</v>
      </c>
      <c r="D63" s="23"/>
      <c r="E63" s="23">
        <v>1</v>
      </c>
      <c r="F63" s="23">
        <v>0</v>
      </c>
      <c r="G63" s="25">
        <v>1.705E-9</v>
      </c>
      <c r="H63" s="25">
        <v>1.2499999999999999E-8</v>
      </c>
      <c r="I63" s="25">
        <v>8.7430000000000004E-7</v>
      </c>
      <c r="J63" s="25">
        <v>7.794E-7</v>
      </c>
      <c r="K63" s="25">
        <v>1.649</v>
      </c>
      <c r="L63" s="25">
        <v>1.649</v>
      </c>
      <c r="M63" s="25">
        <v>0.23549999999999999</v>
      </c>
      <c r="N63" s="25">
        <v>2.4260000000000002</v>
      </c>
      <c r="O63" s="25">
        <v>7.4300000000000002E-7</v>
      </c>
      <c r="P63" s="25">
        <v>1.9149999999999999E-7</v>
      </c>
    </row>
    <row r="64" spans="2:16" x14ac:dyDescent="0.25">
      <c r="B64" s="23">
        <v>172</v>
      </c>
      <c r="C64" s="23" t="s">
        <v>49</v>
      </c>
      <c r="D64" s="23"/>
      <c r="E64" s="23">
        <v>1</v>
      </c>
      <c r="F64" s="23">
        <v>0</v>
      </c>
      <c r="G64" s="25">
        <v>1.666E-9</v>
      </c>
      <c r="H64" s="25">
        <v>1.4440000000000001E-8</v>
      </c>
      <c r="I64" s="25">
        <v>2.5449999999999998E-9</v>
      </c>
      <c r="J64" s="25">
        <v>8.568E-7</v>
      </c>
      <c r="K64" s="25">
        <v>1.7310000000000001</v>
      </c>
      <c r="L64" s="25">
        <v>1.7310000000000001</v>
      </c>
      <c r="M64" s="25">
        <v>0.25950000000000001</v>
      </c>
      <c r="N64" s="25">
        <v>2.4689999999999999</v>
      </c>
      <c r="O64" s="25">
        <v>1.06E-6</v>
      </c>
      <c r="P64" s="25">
        <v>1.9300000000000002E-9</v>
      </c>
    </row>
    <row r="65" spans="2:16" x14ac:dyDescent="0.25">
      <c r="B65" s="23">
        <v>174</v>
      </c>
      <c r="C65" s="23" t="s">
        <v>49</v>
      </c>
      <c r="D65" s="23"/>
      <c r="E65" s="23">
        <v>1</v>
      </c>
      <c r="F65" s="23">
        <v>0</v>
      </c>
      <c r="G65" s="25">
        <v>1.703E-9</v>
      </c>
      <c r="H65" s="25">
        <v>1.0660000000000001E-8</v>
      </c>
      <c r="I65" s="25">
        <v>2.4749999999999998E-9</v>
      </c>
      <c r="J65" s="25">
        <v>7.8349999999999999E-7</v>
      </c>
      <c r="K65" s="25">
        <v>1.7589999999999999</v>
      </c>
      <c r="L65" s="25">
        <v>1.7589999999999999</v>
      </c>
      <c r="M65" s="25">
        <v>0.25119999999999998</v>
      </c>
      <c r="N65" s="25">
        <v>2.5990000000000002</v>
      </c>
      <c r="O65" s="25">
        <v>4.6279999999999999E-7</v>
      </c>
      <c r="P65" s="25">
        <v>1.831E-9</v>
      </c>
    </row>
    <row r="66" spans="2:16" x14ac:dyDescent="0.25">
      <c r="B66" s="23">
        <v>179</v>
      </c>
      <c r="C66" s="23" t="s">
        <v>49</v>
      </c>
      <c r="D66" s="23"/>
      <c r="E66" s="23">
        <v>1</v>
      </c>
      <c r="F66" s="23">
        <v>0</v>
      </c>
      <c r="G66" s="25">
        <v>1.521E-9</v>
      </c>
      <c r="H66" s="25">
        <v>1.4640000000000001E-8</v>
      </c>
      <c r="I66" s="25">
        <v>3.2449999999999997E-7</v>
      </c>
      <c r="J66" s="25">
        <v>8.442E-7</v>
      </c>
      <c r="K66" s="25">
        <v>1.6870000000000001</v>
      </c>
      <c r="L66" s="25">
        <v>1.6870000000000001</v>
      </c>
      <c r="M66" s="25">
        <v>0.26550000000000001</v>
      </c>
      <c r="N66" s="25">
        <v>2.4649999999999999</v>
      </c>
      <c r="O66" s="25">
        <v>8.0119999999999995E-7</v>
      </c>
      <c r="P66" s="25">
        <v>9.9799999999999994E-8</v>
      </c>
    </row>
    <row r="67" spans="2:16" x14ac:dyDescent="0.25">
      <c r="B67" s="23">
        <v>191</v>
      </c>
      <c r="C67" s="23" t="s">
        <v>49</v>
      </c>
      <c r="D67" s="23"/>
      <c r="E67" s="23">
        <v>1</v>
      </c>
      <c r="F67" s="23">
        <v>0</v>
      </c>
      <c r="G67" s="25">
        <v>1.8529999999999999E-9</v>
      </c>
      <c r="H67" s="25">
        <v>1.404E-8</v>
      </c>
      <c r="I67" s="25">
        <v>3.0520000000000001E-7</v>
      </c>
      <c r="J67" s="25">
        <v>7.7309999999999995E-7</v>
      </c>
      <c r="K67" s="25">
        <v>1.7809999999999999</v>
      </c>
      <c r="L67" s="25">
        <v>1.7809999999999999</v>
      </c>
      <c r="M67" s="25">
        <v>0.26650000000000001</v>
      </c>
      <c r="N67" s="25">
        <v>2.6150000000000002</v>
      </c>
      <c r="O67" s="25">
        <v>4.087E-7</v>
      </c>
      <c r="P67" s="25">
        <v>2.7449999999999999E-9</v>
      </c>
    </row>
    <row r="68" spans="2:16" x14ac:dyDescent="0.25">
      <c r="B68" s="23">
        <v>192</v>
      </c>
      <c r="C68" s="23" t="s">
        <v>49</v>
      </c>
      <c r="D68" s="23"/>
      <c r="E68" s="23">
        <v>1</v>
      </c>
      <c r="F68" s="23">
        <v>0</v>
      </c>
      <c r="G68" s="25">
        <v>1.8859999999999999E-9</v>
      </c>
      <c r="H68" s="25">
        <v>1.5069999999999999E-8</v>
      </c>
      <c r="I68" s="25">
        <v>1.1420000000000001E-8</v>
      </c>
      <c r="J68" s="25">
        <v>8.0820000000000005E-7</v>
      </c>
      <c r="K68" s="25">
        <v>1.849</v>
      </c>
      <c r="L68" s="25">
        <v>1.849</v>
      </c>
      <c r="M68" s="25">
        <v>0.26750000000000002</v>
      </c>
      <c r="N68" s="25">
        <v>2.66</v>
      </c>
      <c r="O68" s="25">
        <v>7.1470000000000001E-7</v>
      </c>
      <c r="P68" s="25">
        <v>2.1569999999999999E-9</v>
      </c>
    </row>
    <row r="69" spans="2:16" x14ac:dyDescent="0.25">
      <c r="B69" s="23">
        <v>196</v>
      </c>
      <c r="C69" s="23" t="s">
        <v>49</v>
      </c>
      <c r="D69" s="23"/>
      <c r="E69" s="23">
        <v>1</v>
      </c>
      <c r="F69" s="23">
        <v>0</v>
      </c>
      <c r="G69" s="25">
        <v>1.7080000000000001E-9</v>
      </c>
      <c r="H69" s="25">
        <v>1.4090000000000001E-8</v>
      </c>
      <c r="I69" s="25">
        <v>1.151E-8</v>
      </c>
      <c r="J69" s="25">
        <v>8.6379999999999999E-7</v>
      </c>
      <c r="K69" s="25">
        <v>1.6419999999999999</v>
      </c>
      <c r="L69" s="25">
        <v>1.6419999999999999</v>
      </c>
      <c r="M69" s="25">
        <v>0.26</v>
      </c>
      <c r="N69" s="25">
        <v>2.3839999999999999</v>
      </c>
      <c r="O69" s="25">
        <v>1.054E-6</v>
      </c>
      <c r="P69" s="25">
        <v>2.0380000000000002E-9</v>
      </c>
    </row>
    <row r="70" spans="2:16" x14ac:dyDescent="0.25">
      <c r="B70" s="23">
        <v>198</v>
      </c>
      <c r="C70" s="23" t="s">
        <v>49</v>
      </c>
      <c r="D70" s="23"/>
      <c r="E70" s="23">
        <v>1</v>
      </c>
      <c r="F70" s="23">
        <v>0</v>
      </c>
      <c r="G70" s="25">
        <v>1.6459999999999999E-9</v>
      </c>
      <c r="H70" s="25">
        <v>1.426E-8</v>
      </c>
      <c r="I70" s="25">
        <v>1.094E-7</v>
      </c>
      <c r="J70" s="25">
        <v>8.287E-7</v>
      </c>
      <c r="K70" s="25">
        <v>1.7270000000000001</v>
      </c>
      <c r="L70" s="25">
        <v>1.7270000000000001</v>
      </c>
      <c r="M70" s="25">
        <v>0.2752</v>
      </c>
      <c r="N70" s="25">
        <v>2.5209999999999999</v>
      </c>
      <c r="O70" s="25">
        <v>7.2480000000000003E-7</v>
      </c>
      <c r="P70" s="25">
        <v>2.098E-9</v>
      </c>
    </row>
    <row r="71" spans="2:16" x14ac:dyDescent="0.25">
      <c r="B71" s="23">
        <v>204</v>
      </c>
      <c r="C71" s="23" t="s">
        <v>49</v>
      </c>
      <c r="D71" s="23"/>
      <c r="E71" s="23">
        <v>1</v>
      </c>
      <c r="F71" s="23">
        <v>0</v>
      </c>
      <c r="G71" s="25">
        <v>1.75E-9</v>
      </c>
      <c r="H71" s="25">
        <v>1.392E-8</v>
      </c>
      <c r="I71" s="25">
        <v>4.7310000000000002E-7</v>
      </c>
      <c r="J71" s="25">
        <v>7.7019999999999995E-7</v>
      </c>
      <c r="K71" s="25">
        <v>1.708</v>
      </c>
      <c r="L71" s="25">
        <v>1.708</v>
      </c>
      <c r="M71" s="25">
        <v>0.2477</v>
      </c>
      <c r="N71" s="25">
        <v>2.597</v>
      </c>
      <c r="O71" s="25">
        <v>4.7989999999999995E-7</v>
      </c>
      <c r="P71" s="25">
        <v>2.1630000000000001E-9</v>
      </c>
    </row>
    <row r="72" spans="2:16" x14ac:dyDescent="0.25">
      <c r="B72" s="23">
        <v>207</v>
      </c>
      <c r="C72" s="23" t="s">
        <v>49</v>
      </c>
      <c r="D72" s="23"/>
      <c r="E72" s="23">
        <v>1</v>
      </c>
      <c r="F72" s="23">
        <v>0</v>
      </c>
      <c r="G72" s="25">
        <v>1.5960000000000001E-9</v>
      </c>
      <c r="H72" s="25">
        <v>1.4839999999999999E-8</v>
      </c>
      <c r="I72" s="25">
        <v>4.115E-7</v>
      </c>
      <c r="J72" s="25">
        <v>7.8960000000000003E-7</v>
      </c>
      <c r="K72" s="25">
        <v>1.552</v>
      </c>
      <c r="L72" s="25">
        <v>1.552</v>
      </c>
      <c r="M72" s="25">
        <v>0.2336</v>
      </c>
      <c r="N72" s="25">
        <v>2.29</v>
      </c>
      <c r="O72" s="25">
        <v>9.9000000000000005E-7</v>
      </c>
      <c r="P72" s="25">
        <v>2.7099999999999999E-9</v>
      </c>
    </row>
    <row r="73" spans="2:16" x14ac:dyDescent="0.25">
      <c r="B73" s="23">
        <v>212</v>
      </c>
      <c r="C73" s="23" t="s">
        <v>49</v>
      </c>
      <c r="D73" s="23"/>
      <c r="E73" s="23">
        <v>1</v>
      </c>
      <c r="F73" s="23">
        <v>0</v>
      </c>
      <c r="G73" s="25">
        <v>1.6520000000000001E-9</v>
      </c>
      <c r="H73" s="25">
        <v>2.427E-9</v>
      </c>
      <c r="I73" s="25">
        <v>2.227E-7</v>
      </c>
      <c r="J73" s="25">
        <v>7.7169999999999996E-7</v>
      </c>
      <c r="K73" s="25">
        <v>1.74</v>
      </c>
      <c r="L73" s="25">
        <v>1.74</v>
      </c>
      <c r="M73" s="25">
        <v>0.24340000000000001</v>
      </c>
      <c r="N73" s="25">
        <v>2.5920000000000001</v>
      </c>
      <c r="O73" s="25">
        <v>4.8599999999999998E-7</v>
      </c>
      <c r="P73" s="25">
        <v>2.512E-9</v>
      </c>
    </row>
    <row r="74" spans="2:16" x14ac:dyDescent="0.25">
      <c r="B74" s="23">
        <v>217</v>
      </c>
      <c r="C74" s="23" t="s">
        <v>49</v>
      </c>
      <c r="D74" s="23"/>
      <c r="E74" s="23">
        <v>1</v>
      </c>
      <c r="F74" s="23">
        <v>0</v>
      </c>
      <c r="G74" s="25">
        <v>1.8509999999999999E-9</v>
      </c>
      <c r="H74" s="25">
        <v>1.4909999999999999E-8</v>
      </c>
      <c r="I74" s="25">
        <v>2.294E-7</v>
      </c>
      <c r="J74" s="25">
        <v>7.7059999999999998E-7</v>
      </c>
      <c r="K74" s="25">
        <v>1.752</v>
      </c>
      <c r="L74" s="25">
        <v>1.752</v>
      </c>
      <c r="M74" s="25">
        <v>0.23980000000000001</v>
      </c>
      <c r="N74" s="25">
        <v>2.5539999999999998</v>
      </c>
      <c r="O74" s="25">
        <v>5.6380000000000001E-7</v>
      </c>
      <c r="P74" s="25">
        <v>1.1469999999999999E-8</v>
      </c>
    </row>
    <row r="75" spans="2:16" x14ac:dyDescent="0.25">
      <c r="B75" s="23">
        <v>219</v>
      </c>
      <c r="C75" s="23" t="s">
        <v>49</v>
      </c>
      <c r="D75" s="23"/>
      <c r="E75" s="23">
        <v>1</v>
      </c>
      <c r="F75" s="23">
        <v>0</v>
      </c>
      <c r="G75" s="25">
        <v>1.7080000000000001E-9</v>
      </c>
      <c r="H75" s="25">
        <v>1.405E-8</v>
      </c>
      <c r="I75" s="25">
        <v>1.192E-7</v>
      </c>
      <c r="J75" s="25">
        <v>8.3170000000000002E-7</v>
      </c>
      <c r="K75" s="25">
        <v>1.6930000000000001</v>
      </c>
      <c r="L75" s="25">
        <v>1.6930000000000001</v>
      </c>
      <c r="M75" s="25">
        <v>0.26419999999999999</v>
      </c>
      <c r="N75" s="25">
        <v>2.476</v>
      </c>
      <c r="O75" s="25">
        <v>7.5669999999999999E-7</v>
      </c>
      <c r="P75" s="25">
        <v>2.199E-9</v>
      </c>
    </row>
    <row r="76" spans="2:16" x14ac:dyDescent="0.25">
      <c r="B76" s="23">
        <v>221</v>
      </c>
      <c r="C76" s="23" t="s">
        <v>49</v>
      </c>
      <c r="D76" s="23"/>
      <c r="E76" s="23">
        <v>1</v>
      </c>
      <c r="F76" s="23">
        <v>0</v>
      </c>
      <c r="G76" s="25">
        <v>1.721E-9</v>
      </c>
      <c r="H76" s="25">
        <v>1.5980000000000001E-8</v>
      </c>
      <c r="I76" s="25">
        <v>1.2750000000000001E-6</v>
      </c>
      <c r="J76" s="25">
        <v>7.7209999999999999E-7</v>
      </c>
      <c r="K76" s="25">
        <v>1.6639999999999999</v>
      </c>
      <c r="L76" s="25">
        <v>1.6639999999999999</v>
      </c>
      <c r="M76" s="25">
        <v>0.2344</v>
      </c>
      <c r="N76" s="25">
        <v>2.48</v>
      </c>
      <c r="O76" s="25">
        <v>5.538E-7</v>
      </c>
      <c r="P76" s="25">
        <v>4.2669999999999998E-7</v>
      </c>
    </row>
    <row r="77" spans="2:16" x14ac:dyDescent="0.25">
      <c r="B77" s="23">
        <v>223</v>
      </c>
      <c r="C77" s="23" t="s">
        <v>49</v>
      </c>
      <c r="D77" s="23"/>
      <c r="E77" s="23">
        <v>1</v>
      </c>
      <c r="F77" s="23">
        <v>0</v>
      </c>
      <c r="G77" s="25">
        <v>1.7039999999999999E-9</v>
      </c>
      <c r="H77" s="25">
        <v>1.466E-8</v>
      </c>
      <c r="I77" s="25">
        <v>1.1810000000000001E-7</v>
      </c>
      <c r="J77" s="25">
        <v>7.8960000000000003E-7</v>
      </c>
      <c r="K77" s="25">
        <v>1.583</v>
      </c>
      <c r="L77" s="25">
        <v>1.583</v>
      </c>
      <c r="M77" s="25">
        <v>0.2399</v>
      </c>
      <c r="N77" s="25">
        <v>2.3220000000000001</v>
      </c>
      <c r="O77" s="25">
        <v>1.066E-6</v>
      </c>
      <c r="P77" s="25">
        <v>2.4760000000000001E-9</v>
      </c>
    </row>
    <row r="78" spans="2:16" x14ac:dyDescent="0.25">
      <c r="B78" s="23">
        <v>225</v>
      </c>
      <c r="C78" s="23" t="s">
        <v>49</v>
      </c>
      <c r="D78" s="23"/>
      <c r="E78" s="23">
        <v>1</v>
      </c>
      <c r="F78" s="23">
        <v>0</v>
      </c>
      <c r="G78" s="25">
        <v>1.6210000000000001E-9</v>
      </c>
      <c r="H78" s="25">
        <v>1.4920000000000001E-8</v>
      </c>
      <c r="I78" s="25">
        <v>2.6639999999999998E-10</v>
      </c>
      <c r="J78" s="25">
        <v>8.639E-7</v>
      </c>
      <c r="K78" s="25">
        <v>1.7130000000000001</v>
      </c>
      <c r="L78" s="25">
        <v>1.7130000000000001</v>
      </c>
      <c r="M78" s="25">
        <v>0.26469999999999999</v>
      </c>
      <c r="N78" s="25">
        <v>2.4430000000000001</v>
      </c>
      <c r="O78" s="25">
        <v>1.114E-6</v>
      </c>
      <c r="P78" s="25">
        <v>1.8800000000000001E-9</v>
      </c>
    </row>
    <row r="79" spans="2:16" x14ac:dyDescent="0.25">
      <c r="B79" s="23">
        <v>226</v>
      </c>
      <c r="C79" s="23" t="s">
        <v>49</v>
      </c>
      <c r="D79" s="23"/>
      <c r="E79" s="23">
        <v>1</v>
      </c>
      <c r="F79" s="23">
        <v>0</v>
      </c>
      <c r="G79" s="25">
        <v>1.699E-9</v>
      </c>
      <c r="H79" s="25">
        <v>1.46E-8</v>
      </c>
      <c r="I79" s="25">
        <v>2.1290000000000001E-7</v>
      </c>
      <c r="J79" s="25">
        <v>8.272E-7</v>
      </c>
      <c r="K79" s="25">
        <v>1.788</v>
      </c>
      <c r="L79" s="25">
        <v>1.788</v>
      </c>
      <c r="M79" s="25">
        <v>0.26500000000000001</v>
      </c>
      <c r="N79" s="25">
        <v>2.5870000000000002</v>
      </c>
      <c r="O79" s="25">
        <v>6.9540000000000005E-7</v>
      </c>
      <c r="P79" s="25">
        <v>2.1310000000000002E-9</v>
      </c>
    </row>
    <row r="80" spans="2:16" x14ac:dyDescent="0.25">
      <c r="B80" s="23">
        <v>237</v>
      </c>
      <c r="C80" s="23" t="s">
        <v>49</v>
      </c>
      <c r="D80" s="23"/>
      <c r="E80" s="23">
        <v>1</v>
      </c>
      <c r="F80" s="23">
        <v>0</v>
      </c>
      <c r="G80" s="25">
        <v>1.6459999999999999E-9</v>
      </c>
      <c r="H80" s="25">
        <v>1.4510000000000001E-8</v>
      </c>
      <c r="I80" s="25">
        <v>5.1529999999999996E-7</v>
      </c>
      <c r="J80" s="25">
        <v>8.4050000000000004E-7</v>
      </c>
      <c r="K80" s="25">
        <v>1.732</v>
      </c>
      <c r="L80" s="25">
        <v>1.732</v>
      </c>
      <c r="M80" s="25">
        <v>0.25219999999999998</v>
      </c>
      <c r="N80" s="25">
        <v>2.4860000000000002</v>
      </c>
      <c r="O80" s="25">
        <v>9.9999999999999995E-7</v>
      </c>
      <c r="P80" s="25">
        <v>1.275E-7</v>
      </c>
    </row>
    <row r="81" spans="2:16" x14ac:dyDescent="0.25">
      <c r="B81" s="23">
        <v>241</v>
      </c>
      <c r="C81" s="23" t="s">
        <v>49</v>
      </c>
      <c r="D81" s="23"/>
      <c r="E81" s="23">
        <v>1</v>
      </c>
      <c r="F81" s="23">
        <v>0</v>
      </c>
      <c r="G81" s="25">
        <v>1.647E-9</v>
      </c>
      <c r="H81" s="25">
        <v>1.13E-8</v>
      </c>
      <c r="I81" s="25">
        <v>1.218E-6</v>
      </c>
      <c r="J81" s="25">
        <v>8.329E-7</v>
      </c>
      <c r="K81" s="25">
        <v>1.6759999999999999</v>
      </c>
      <c r="L81" s="25">
        <v>1.6759999999999999</v>
      </c>
      <c r="M81" s="25">
        <v>0.25919999999999999</v>
      </c>
      <c r="N81" s="25">
        <v>2.4649999999999999</v>
      </c>
      <c r="O81" s="25">
        <v>7.6359999999999998E-7</v>
      </c>
      <c r="P81" s="25">
        <v>5.0900000000000002E-7</v>
      </c>
    </row>
    <row r="82" spans="2:16" x14ac:dyDescent="0.25">
      <c r="B82" s="23">
        <v>242</v>
      </c>
      <c r="C82" s="23" t="s">
        <v>49</v>
      </c>
      <c r="D82" s="23"/>
      <c r="E82" s="23">
        <v>1</v>
      </c>
      <c r="F82" s="23">
        <v>0</v>
      </c>
      <c r="G82" s="25">
        <v>2.0059999999999999E-9</v>
      </c>
      <c r="H82" s="25">
        <v>1.0530000000000001E-8</v>
      </c>
      <c r="I82" s="25">
        <v>1.6789999999999999E-7</v>
      </c>
      <c r="J82" s="25">
        <v>7.8520000000000002E-7</v>
      </c>
      <c r="K82" s="25">
        <v>1.617</v>
      </c>
      <c r="L82" s="25">
        <v>1.617</v>
      </c>
      <c r="M82" s="25">
        <v>0.23669999999999999</v>
      </c>
      <c r="N82" s="25">
        <v>2.3679999999999999</v>
      </c>
      <c r="O82" s="25">
        <v>1.035E-6</v>
      </c>
      <c r="P82" s="25">
        <v>2.9629999999999998E-9</v>
      </c>
    </row>
    <row r="83" spans="2:16" x14ac:dyDescent="0.25">
      <c r="B83" s="23">
        <v>243</v>
      </c>
      <c r="C83" s="23" t="s">
        <v>49</v>
      </c>
      <c r="D83" s="23"/>
      <c r="E83" s="23">
        <v>1</v>
      </c>
      <c r="F83" s="23">
        <v>0</v>
      </c>
      <c r="G83" s="25">
        <v>1.5630000000000001E-9</v>
      </c>
      <c r="H83" s="25">
        <v>1.324E-8</v>
      </c>
      <c r="I83" s="25">
        <v>1.119E-7</v>
      </c>
      <c r="J83" s="25">
        <v>7.8990000000000005E-7</v>
      </c>
      <c r="K83" s="25">
        <v>1.7270000000000001</v>
      </c>
      <c r="L83" s="25">
        <v>1.7270000000000001</v>
      </c>
      <c r="M83" s="25">
        <v>0.26</v>
      </c>
      <c r="N83" s="25">
        <v>2.5259999999999998</v>
      </c>
      <c r="O83" s="25">
        <v>5.1600000000000001E-7</v>
      </c>
      <c r="P83" s="25">
        <v>2.1569999999999999E-9</v>
      </c>
    </row>
    <row r="84" spans="2:16" x14ac:dyDescent="0.25">
      <c r="B84" s="23">
        <v>244</v>
      </c>
      <c r="C84" s="23" t="s">
        <v>49</v>
      </c>
      <c r="D84" s="23"/>
      <c r="E84" s="23">
        <v>1</v>
      </c>
      <c r="F84" s="23">
        <v>0</v>
      </c>
      <c r="G84" s="25">
        <v>1.5839999999999999E-9</v>
      </c>
      <c r="H84" s="25">
        <v>1.1069999999999999E-8</v>
      </c>
      <c r="I84" s="25">
        <v>3.1969999999999998E-7</v>
      </c>
      <c r="J84" s="25">
        <v>7.7359999999999999E-7</v>
      </c>
      <c r="K84" s="25">
        <v>1.7150000000000001</v>
      </c>
      <c r="L84" s="25">
        <v>1.7150000000000001</v>
      </c>
      <c r="M84" s="25">
        <v>0.2409</v>
      </c>
      <c r="N84" s="25">
        <v>2.5819999999999999</v>
      </c>
      <c r="O84" s="25">
        <v>6.0129999999999996E-7</v>
      </c>
      <c r="P84" s="25">
        <v>1.1830000000000001E-8</v>
      </c>
    </row>
    <row r="85" spans="2:16" x14ac:dyDescent="0.25">
      <c r="B85" s="23">
        <v>246</v>
      </c>
      <c r="C85" s="23" t="s">
        <v>49</v>
      </c>
      <c r="D85" s="23"/>
      <c r="E85" s="23">
        <v>1</v>
      </c>
      <c r="F85" s="23">
        <v>0</v>
      </c>
      <c r="G85" s="25">
        <v>1.6310000000000001E-9</v>
      </c>
      <c r="H85" s="25">
        <v>1.398E-8</v>
      </c>
      <c r="I85" s="25">
        <v>2.6380000000000001E-10</v>
      </c>
      <c r="J85" s="25">
        <v>7.7589999999999995E-7</v>
      </c>
      <c r="K85" s="25">
        <v>1.774</v>
      </c>
      <c r="L85" s="25">
        <v>1.774</v>
      </c>
      <c r="M85" s="25">
        <v>0.26</v>
      </c>
      <c r="N85" s="25">
        <v>2.63</v>
      </c>
      <c r="O85" s="25">
        <v>4.2749999999999998E-7</v>
      </c>
      <c r="P85" s="25">
        <v>1.8219999999999999E-9</v>
      </c>
    </row>
    <row r="86" spans="2:16" x14ac:dyDescent="0.25">
      <c r="B86" s="23">
        <v>248</v>
      </c>
      <c r="C86" s="23" t="s">
        <v>49</v>
      </c>
      <c r="D86" s="23"/>
      <c r="E86" s="23">
        <v>1</v>
      </c>
      <c r="F86" s="23">
        <v>0</v>
      </c>
      <c r="G86" s="25">
        <v>1.5960000000000001E-9</v>
      </c>
      <c r="H86" s="25">
        <v>1.037E-8</v>
      </c>
      <c r="I86" s="25">
        <v>2.7759999999999999E-9</v>
      </c>
      <c r="J86" s="25">
        <v>8.2070000000000004E-7</v>
      </c>
      <c r="K86" s="25">
        <v>1.786</v>
      </c>
      <c r="L86" s="25">
        <v>1.786</v>
      </c>
      <c r="M86" s="25">
        <v>0.251</v>
      </c>
      <c r="N86" s="25">
        <v>2.5379999999999998</v>
      </c>
      <c r="O86" s="25">
        <v>8.3320000000000002E-7</v>
      </c>
      <c r="P86" s="25">
        <v>2.0209999999999999E-9</v>
      </c>
    </row>
    <row r="87" spans="2:16" x14ac:dyDescent="0.25">
      <c r="B87" s="23">
        <v>251</v>
      </c>
      <c r="C87" s="23" t="s">
        <v>49</v>
      </c>
      <c r="D87" s="23"/>
      <c r="E87" s="23">
        <v>1</v>
      </c>
      <c r="F87" s="23">
        <v>0</v>
      </c>
      <c r="G87" s="25">
        <v>1.8030000000000001E-9</v>
      </c>
      <c r="H87" s="25">
        <v>1.289E-8</v>
      </c>
      <c r="I87" s="25">
        <v>6.7820000000000002E-7</v>
      </c>
      <c r="J87" s="25">
        <v>7.8520000000000002E-7</v>
      </c>
      <c r="K87" s="25">
        <v>1.56</v>
      </c>
      <c r="L87" s="25">
        <v>1.56</v>
      </c>
      <c r="M87" s="25">
        <v>0.22439999999999999</v>
      </c>
      <c r="N87" s="25">
        <v>2.294</v>
      </c>
      <c r="O87" s="25">
        <v>1.105E-6</v>
      </c>
      <c r="P87" s="25">
        <v>2.135E-7</v>
      </c>
    </row>
    <row r="88" spans="2:16" x14ac:dyDescent="0.25">
      <c r="B88" s="23">
        <v>252</v>
      </c>
      <c r="C88" s="23" t="s">
        <v>49</v>
      </c>
      <c r="D88" s="23"/>
      <c r="E88" s="23">
        <v>1</v>
      </c>
      <c r="F88" s="23">
        <v>0</v>
      </c>
      <c r="G88" s="25">
        <v>1.643E-9</v>
      </c>
      <c r="H88" s="25">
        <v>1.1959999999999999E-8</v>
      </c>
      <c r="I88" s="25">
        <v>1.157E-8</v>
      </c>
      <c r="J88" s="25">
        <v>8.582E-7</v>
      </c>
      <c r="K88" s="25">
        <v>1.6719999999999999</v>
      </c>
      <c r="L88" s="25">
        <v>1.6719999999999999</v>
      </c>
      <c r="M88" s="25">
        <v>0.26300000000000001</v>
      </c>
      <c r="N88" s="25">
        <v>2.4300000000000002</v>
      </c>
      <c r="O88" s="25">
        <v>9.033E-7</v>
      </c>
      <c r="P88" s="25">
        <v>2.1590000000000001E-9</v>
      </c>
    </row>
    <row r="89" spans="2:16" x14ac:dyDescent="0.25">
      <c r="B89" s="23">
        <v>253</v>
      </c>
      <c r="C89" s="23" t="s">
        <v>49</v>
      </c>
      <c r="D89" s="23"/>
      <c r="E89" s="23">
        <v>1</v>
      </c>
      <c r="F89" s="23">
        <v>0</v>
      </c>
      <c r="G89" s="25">
        <v>1.5569999999999999E-9</v>
      </c>
      <c r="H89" s="25">
        <v>1.274E-8</v>
      </c>
      <c r="I89" s="25">
        <v>2.2389999999999998E-9</v>
      </c>
      <c r="J89" s="25">
        <v>8.2259999999999997E-7</v>
      </c>
      <c r="K89" s="25">
        <v>1.7030000000000001</v>
      </c>
      <c r="L89" s="25">
        <v>1.7030000000000001</v>
      </c>
      <c r="M89" s="25">
        <v>0.247</v>
      </c>
      <c r="N89" s="25">
        <v>2.4630000000000001</v>
      </c>
      <c r="O89" s="25">
        <v>7.3389999999999997E-7</v>
      </c>
      <c r="P89" s="25">
        <v>1.822E-10</v>
      </c>
    </row>
    <row r="90" spans="2:16" x14ac:dyDescent="0.25">
      <c r="B90" s="23">
        <v>254</v>
      </c>
      <c r="C90" s="23" t="s">
        <v>49</v>
      </c>
      <c r="D90" s="23"/>
      <c r="E90" s="23">
        <v>1</v>
      </c>
      <c r="F90" s="23">
        <v>0</v>
      </c>
      <c r="G90" s="25">
        <v>1.5529999999999999E-9</v>
      </c>
      <c r="H90" s="25">
        <v>1.439E-8</v>
      </c>
      <c r="I90" s="25">
        <v>2.5540000000000002E-7</v>
      </c>
      <c r="J90" s="25">
        <v>8.2549999999999997E-7</v>
      </c>
      <c r="K90" s="25">
        <v>1.72</v>
      </c>
      <c r="L90" s="25">
        <v>1.72</v>
      </c>
      <c r="M90" s="25">
        <v>0.26119999999999999</v>
      </c>
      <c r="N90" s="25">
        <v>2.508</v>
      </c>
      <c r="O90" s="25">
        <v>7.5669999999999999E-7</v>
      </c>
      <c r="P90" s="25">
        <v>2.3380000000000001E-10</v>
      </c>
    </row>
    <row r="91" spans="2:16" x14ac:dyDescent="0.25">
      <c r="B91" s="23">
        <v>255</v>
      </c>
      <c r="C91" s="23" t="s">
        <v>49</v>
      </c>
      <c r="D91" s="23"/>
      <c r="E91" s="23">
        <v>1</v>
      </c>
      <c r="F91" s="23">
        <v>0</v>
      </c>
      <c r="G91" s="25">
        <v>1.684E-9</v>
      </c>
      <c r="H91" s="25">
        <v>1.4909999999999999E-8</v>
      </c>
      <c r="I91" s="25">
        <v>1.113E-6</v>
      </c>
      <c r="J91" s="25">
        <v>7.7619999999999998E-7</v>
      </c>
      <c r="K91" s="25">
        <v>1.772</v>
      </c>
      <c r="L91" s="25">
        <v>1.772</v>
      </c>
      <c r="M91" s="25">
        <v>0.2417</v>
      </c>
      <c r="N91" s="25">
        <v>2.573</v>
      </c>
      <c r="O91" s="25">
        <v>5.8260000000000004E-7</v>
      </c>
      <c r="P91" s="25">
        <v>2.185E-7</v>
      </c>
    </row>
    <row r="92" spans="2:16" x14ac:dyDescent="0.25">
      <c r="B92" s="23">
        <v>256</v>
      </c>
      <c r="C92" s="23" t="s">
        <v>49</v>
      </c>
      <c r="D92" s="23"/>
      <c r="E92" s="23">
        <v>1</v>
      </c>
      <c r="F92" s="23">
        <v>0</v>
      </c>
      <c r="G92" s="25">
        <v>1.703E-9</v>
      </c>
      <c r="H92" s="25">
        <v>1.5399999999999999E-8</v>
      </c>
      <c r="I92" s="25">
        <v>5.7280000000000005E-7</v>
      </c>
      <c r="J92" s="25">
        <v>7.7729999999999995E-7</v>
      </c>
      <c r="K92" s="25">
        <v>1.7549999999999999</v>
      </c>
      <c r="L92" s="25">
        <v>1.7549999999999999</v>
      </c>
      <c r="M92" s="25">
        <v>0.2424</v>
      </c>
      <c r="N92" s="25">
        <v>2.552</v>
      </c>
      <c r="O92" s="25">
        <v>5.9139999999999996E-7</v>
      </c>
      <c r="P92" s="25">
        <v>1.2170000000000001E-7</v>
      </c>
    </row>
    <row r="93" spans="2:16" x14ac:dyDescent="0.25">
      <c r="B93" s="23">
        <v>257</v>
      </c>
      <c r="C93" s="23" t="s">
        <v>49</v>
      </c>
      <c r="D93" s="23"/>
      <c r="E93" s="23">
        <v>1</v>
      </c>
      <c r="F93" s="23">
        <v>0</v>
      </c>
      <c r="G93" s="25">
        <v>1.8E-9</v>
      </c>
      <c r="H93" s="25">
        <v>1.4489999999999999E-8</v>
      </c>
      <c r="I93" s="25">
        <v>1.237E-7</v>
      </c>
      <c r="J93" s="25">
        <v>8.4099999999999997E-7</v>
      </c>
      <c r="K93" s="25">
        <v>1.69</v>
      </c>
      <c r="L93" s="25">
        <v>1.69</v>
      </c>
      <c r="M93" s="25">
        <v>0.26619999999999999</v>
      </c>
      <c r="N93" s="25">
        <v>2.4740000000000002</v>
      </c>
      <c r="O93" s="25">
        <v>7.6980000000000002E-7</v>
      </c>
      <c r="P93" s="25">
        <v>2.1040000000000002E-9</v>
      </c>
    </row>
    <row r="94" spans="2:16" x14ac:dyDescent="0.25">
      <c r="B94" s="23">
        <v>264</v>
      </c>
      <c r="C94" s="23" t="s">
        <v>49</v>
      </c>
      <c r="D94" s="23"/>
      <c r="E94" s="23">
        <v>1</v>
      </c>
      <c r="F94" s="23">
        <v>0</v>
      </c>
      <c r="G94" s="25">
        <v>1.7200000000000001E-9</v>
      </c>
      <c r="H94" s="25">
        <v>1.51E-8</v>
      </c>
      <c r="I94" s="25">
        <v>3.1909999999999999E-7</v>
      </c>
      <c r="J94" s="25">
        <v>7.7159999999999995E-7</v>
      </c>
      <c r="K94" s="25">
        <v>1.7170000000000001</v>
      </c>
      <c r="L94" s="25">
        <v>1.7170000000000001</v>
      </c>
      <c r="M94" s="25">
        <v>0.24970000000000001</v>
      </c>
      <c r="N94" s="25">
        <v>2.5249999999999999</v>
      </c>
      <c r="O94" s="25">
        <v>4.2780000000000001E-7</v>
      </c>
      <c r="P94" s="25">
        <v>1.1479999999999999E-8</v>
      </c>
    </row>
    <row r="95" spans="2:16" x14ac:dyDescent="0.25">
      <c r="B95" s="23">
        <v>266</v>
      </c>
      <c r="C95" s="23" t="s">
        <v>49</v>
      </c>
      <c r="D95" s="23"/>
      <c r="E95" s="23">
        <v>1</v>
      </c>
      <c r="F95" s="23">
        <v>0</v>
      </c>
      <c r="G95" s="25">
        <v>1.5839999999999999E-9</v>
      </c>
      <c r="H95" s="25">
        <v>1.372E-8</v>
      </c>
      <c r="I95" s="25">
        <v>2.9709999999999999E-10</v>
      </c>
      <c r="J95" s="25">
        <v>8.5229999999999998E-7</v>
      </c>
      <c r="K95" s="25">
        <v>1.7569999999999999</v>
      </c>
      <c r="L95" s="25">
        <v>1.7569999999999999</v>
      </c>
      <c r="M95" s="25">
        <v>0.26200000000000001</v>
      </c>
      <c r="N95" s="25">
        <v>2.5099999999999998</v>
      </c>
      <c r="O95" s="25">
        <v>9.0009999999999997E-7</v>
      </c>
      <c r="P95" s="25">
        <v>1.9679999999999998E-9</v>
      </c>
    </row>
    <row r="96" spans="2:16" x14ac:dyDescent="0.25">
      <c r="B96" s="23">
        <v>269</v>
      </c>
      <c r="C96" s="23" t="s">
        <v>49</v>
      </c>
      <c r="D96" s="23"/>
      <c r="E96" s="23">
        <v>1</v>
      </c>
      <c r="F96" s="23">
        <v>0</v>
      </c>
      <c r="G96" s="25">
        <v>1.7519999999999999E-9</v>
      </c>
      <c r="H96" s="25">
        <v>1.232E-8</v>
      </c>
      <c r="I96" s="25">
        <v>1.3120000000000001E-7</v>
      </c>
      <c r="J96" s="25">
        <v>8.554E-7</v>
      </c>
      <c r="K96" s="25">
        <v>1.6619999999999999</v>
      </c>
      <c r="L96" s="25">
        <v>1.6619999999999999</v>
      </c>
      <c r="M96" s="25">
        <v>0.26369999999999999</v>
      </c>
      <c r="N96" s="25">
        <v>2.4239999999999999</v>
      </c>
      <c r="O96" s="25">
        <v>8.6099999999999999E-7</v>
      </c>
      <c r="P96" s="25">
        <v>2.228E-10</v>
      </c>
    </row>
    <row r="97" spans="2:16" x14ac:dyDescent="0.25">
      <c r="B97" s="23">
        <v>270</v>
      </c>
      <c r="C97" s="23" t="s">
        <v>49</v>
      </c>
      <c r="D97" s="23"/>
      <c r="E97" s="23">
        <v>1</v>
      </c>
      <c r="F97" s="23">
        <v>0</v>
      </c>
      <c r="G97" s="25">
        <v>1.5779999999999999E-9</v>
      </c>
      <c r="H97" s="25">
        <v>1.091E-8</v>
      </c>
      <c r="I97" s="25">
        <v>2.4479999999999998E-9</v>
      </c>
      <c r="J97" s="25">
        <v>8.0269999999999995E-7</v>
      </c>
      <c r="K97" s="25">
        <v>1.71</v>
      </c>
      <c r="L97" s="25">
        <v>1.71</v>
      </c>
      <c r="M97" s="25">
        <v>0.25319999999999998</v>
      </c>
      <c r="N97" s="25">
        <v>2.4929999999999999</v>
      </c>
      <c r="O97" s="25">
        <v>5.8920000000000001E-7</v>
      </c>
      <c r="P97" s="25">
        <v>1.781E-9</v>
      </c>
    </row>
    <row r="98" spans="2:16" x14ac:dyDescent="0.25">
      <c r="B98" s="23">
        <v>272</v>
      </c>
      <c r="C98" s="23" t="s">
        <v>49</v>
      </c>
      <c r="D98" s="23"/>
      <c r="E98" s="23">
        <v>1</v>
      </c>
      <c r="F98" s="23">
        <v>0</v>
      </c>
      <c r="G98" s="25">
        <v>1.639E-9</v>
      </c>
      <c r="H98" s="25">
        <v>1.3809999999999999E-8</v>
      </c>
      <c r="I98" s="25">
        <v>2.4989999999999998E-7</v>
      </c>
      <c r="J98" s="25">
        <v>7.7550000000000003E-7</v>
      </c>
      <c r="K98" s="25">
        <v>1.738</v>
      </c>
      <c r="L98" s="25">
        <v>1.738</v>
      </c>
      <c r="M98" s="25">
        <v>0.25019999999999998</v>
      </c>
      <c r="N98" s="25">
        <v>2.5870000000000002</v>
      </c>
      <c r="O98" s="25">
        <v>6.6639999999999999E-7</v>
      </c>
      <c r="P98" s="25">
        <v>2.754E-10</v>
      </c>
    </row>
    <row r="99" spans="2:16" x14ac:dyDescent="0.25">
      <c r="B99" s="23">
        <v>275</v>
      </c>
      <c r="C99" s="23" t="s">
        <v>49</v>
      </c>
      <c r="D99" s="23"/>
      <c r="E99" s="23">
        <v>1</v>
      </c>
      <c r="F99" s="23">
        <v>0</v>
      </c>
      <c r="G99" s="25">
        <v>2.655E-9</v>
      </c>
      <c r="H99" s="25">
        <v>1.3879999999999999E-8</v>
      </c>
      <c r="I99" s="25">
        <v>1.454E-6</v>
      </c>
      <c r="J99" s="25">
        <v>1.0129999999999999E-9</v>
      </c>
      <c r="K99" s="25">
        <v>1.9019999999999999</v>
      </c>
      <c r="L99" s="25">
        <v>1.9019999999999999</v>
      </c>
      <c r="M99" s="25">
        <v>0.254</v>
      </c>
      <c r="N99" s="25">
        <v>2.8290000000000002</v>
      </c>
      <c r="O99" s="25">
        <v>4.8129999999999995E-7</v>
      </c>
      <c r="P99" s="25">
        <v>8.4740000000000003E-7</v>
      </c>
    </row>
    <row r="100" spans="2:16" x14ac:dyDescent="0.25">
      <c r="B100" s="23">
        <v>277</v>
      </c>
      <c r="C100" s="23" t="s">
        <v>49</v>
      </c>
      <c r="D100" s="23"/>
      <c r="E100" s="23">
        <v>1</v>
      </c>
      <c r="F100" s="23">
        <v>0</v>
      </c>
      <c r="G100" s="25">
        <v>1.9829999999999999E-9</v>
      </c>
      <c r="H100" s="25">
        <v>1.4079999999999999E-8</v>
      </c>
      <c r="I100" s="25">
        <v>1.2300000000000001E-6</v>
      </c>
      <c r="J100" s="25">
        <v>7.3500000000000005E-10</v>
      </c>
      <c r="K100" s="25">
        <v>1.66</v>
      </c>
      <c r="L100" s="25">
        <v>1.66</v>
      </c>
      <c r="M100" s="25">
        <v>0.2475</v>
      </c>
      <c r="N100" s="25">
        <v>2.6160000000000001</v>
      </c>
      <c r="O100" s="25">
        <v>4.8469999999999999E-7</v>
      </c>
      <c r="P100" s="25">
        <v>6.8250000000000003E-7</v>
      </c>
    </row>
    <row r="101" spans="2:16" x14ac:dyDescent="0.25">
      <c r="B101" s="23">
        <v>280</v>
      </c>
      <c r="C101" s="23" t="s">
        <v>49</v>
      </c>
      <c r="D101" s="23"/>
      <c r="E101" s="23">
        <v>1</v>
      </c>
      <c r="F101" s="23">
        <v>0</v>
      </c>
      <c r="G101" s="25">
        <v>1.757E-9</v>
      </c>
      <c r="H101" s="25">
        <v>1.438E-8</v>
      </c>
      <c r="I101" s="25">
        <v>6.6260000000000002E-7</v>
      </c>
      <c r="J101" s="25">
        <v>6.89E-10</v>
      </c>
      <c r="K101" s="25">
        <v>1.7689999999999999</v>
      </c>
      <c r="L101" s="25">
        <v>1.7689999999999999</v>
      </c>
      <c r="M101" s="25">
        <v>0.24229999999999999</v>
      </c>
      <c r="N101" s="25">
        <v>2.66</v>
      </c>
      <c r="O101" s="25">
        <v>4.7840000000000005E-7</v>
      </c>
      <c r="P101" s="25">
        <v>1.5440000000000001E-7</v>
      </c>
    </row>
    <row r="102" spans="2:16" x14ac:dyDescent="0.25">
      <c r="B102" s="23">
        <v>288</v>
      </c>
      <c r="C102" s="23" t="s">
        <v>49</v>
      </c>
      <c r="D102" s="23"/>
      <c r="E102" s="23">
        <v>1</v>
      </c>
      <c r="F102" s="23">
        <v>0</v>
      </c>
      <c r="G102" s="25">
        <v>1.585E-9</v>
      </c>
      <c r="H102" s="25">
        <v>1.448E-8</v>
      </c>
      <c r="I102" s="25">
        <v>2.3710000000000002E-9</v>
      </c>
      <c r="J102" s="25">
        <v>7.878E-7</v>
      </c>
      <c r="K102" s="25">
        <v>1.754</v>
      </c>
      <c r="L102" s="25">
        <v>1.754</v>
      </c>
      <c r="M102" s="25">
        <v>0.254</v>
      </c>
      <c r="N102" s="25">
        <v>2.5859999999999999</v>
      </c>
      <c r="O102" s="25">
        <v>5.1129999999999998E-7</v>
      </c>
      <c r="P102" s="25">
        <v>1.7970000000000001E-9</v>
      </c>
    </row>
    <row r="103" spans="2:16" x14ac:dyDescent="0.25">
      <c r="B103" s="23">
        <v>290</v>
      </c>
      <c r="C103" s="23" t="s">
        <v>49</v>
      </c>
      <c r="D103" s="23"/>
      <c r="E103" s="23">
        <v>1</v>
      </c>
      <c r="F103" s="23">
        <v>0</v>
      </c>
      <c r="G103" s="25">
        <v>1.6520000000000001E-9</v>
      </c>
      <c r="H103" s="25">
        <v>1.054E-8</v>
      </c>
      <c r="I103" s="25">
        <v>2.3369999999999998E-10</v>
      </c>
      <c r="J103" s="25">
        <v>7.8299999999999996E-7</v>
      </c>
      <c r="K103" s="25">
        <v>1.5840000000000001</v>
      </c>
      <c r="L103" s="25">
        <v>1.5840000000000001</v>
      </c>
      <c r="M103" s="25">
        <v>0.2321</v>
      </c>
      <c r="N103" s="25">
        <v>2.3380000000000001</v>
      </c>
      <c r="O103" s="25">
        <v>7.0800000000000004E-7</v>
      </c>
      <c r="P103" s="25">
        <v>1.918E-10</v>
      </c>
    </row>
    <row r="104" spans="2:16" x14ac:dyDescent="0.25">
      <c r="B104" s="23">
        <v>291</v>
      </c>
      <c r="C104" s="23" t="s">
        <v>49</v>
      </c>
      <c r="D104" s="23"/>
      <c r="E104" s="23">
        <v>1</v>
      </c>
      <c r="F104" s="23">
        <v>0</v>
      </c>
      <c r="G104" s="25">
        <v>1.67E-9</v>
      </c>
      <c r="H104" s="25">
        <v>1.138E-8</v>
      </c>
      <c r="I104" s="25">
        <v>7.2320000000000002E-7</v>
      </c>
      <c r="J104" s="25">
        <v>8.1800000000000005E-7</v>
      </c>
      <c r="K104" s="25">
        <v>1.728</v>
      </c>
      <c r="L104" s="25">
        <v>1.728</v>
      </c>
      <c r="M104" s="25">
        <v>0.27</v>
      </c>
      <c r="N104" s="25">
        <v>2.5470000000000002</v>
      </c>
      <c r="O104" s="25">
        <v>6.2699999999999999E-7</v>
      </c>
      <c r="P104" s="25">
        <v>2.572E-7</v>
      </c>
    </row>
    <row r="105" spans="2:16" x14ac:dyDescent="0.25">
      <c r="B105" s="23">
        <v>293</v>
      </c>
      <c r="C105" s="23" t="s">
        <v>49</v>
      </c>
      <c r="D105" s="23"/>
      <c r="E105" s="23">
        <v>1</v>
      </c>
      <c r="F105" s="23">
        <v>0</v>
      </c>
      <c r="G105" s="25">
        <v>1.7929999999999999E-9</v>
      </c>
      <c r="H105" s="25">
        <v>1.358E-8</v>
      </c>
      <c r="I105" s="25">
        <v>1.2569999999999999E-7</v>
      </c>
      <c r="J105" s="25">
        <v>8.132E-7</v>
      </c>
      <c r="K105" s="25">
        <v>1.8140000000000001</v>
      </c>
      <c r="L105" s="25">
        <v>1.8140000000000001</v>
      </c>
      <c r="M105" s="25">
        <v>0.26250000000000001</v>
      </c>
      <c r="N105" s="25">
        <v>2.617</v>
      </c>
      <c r="O105" s="25">
        <v>6.6469999999999996E-7</v>
      </c>
      <c r="P105" s="25">
        <v>2.4990000000000002E-9</v>
      </c>
    </row>
    <row r="106" spans="2:16" x14ac:dyDescent="0.25">
      <c r="B106" s="23">
        <v>294</v>
      </c>
      <c r="C106" s="23" t="s">
        <v>49</v>
      </c>
      <c r="D106" s="23"/>
      <c r="E106" s="23">
        <v>1</v>
      </c>
      <c r="F106" s="23">
        <v>0</v>
      </c>
      <c r="G106" s="25">
        <v>1.5670000000000001E-9</v>
      </c>
      <c r="H106" s="25">
        <v>1.4839999999999999E-8</v>
      </c>
      <c r="I106" s="25">
        <v>7.6150000000000004E-7</v>
      </c>
      <c r="J106" s="25">
        <v>6.3699999999999997E-10</v>
      </c>
      <c r="K106" s="25">
        <v>1.7350000000000001</v>
      </c>
      <c r="L106" s="25">
        <v>1.7350000000000001</v>
      </c>
      <c r="M106" s="25">
        <v>0.245</v>
      </c>
      <c r="N106" s="25">
        <v>2.6080000000000001</v>
      </c>
      <c r="O106" s="25">
        <v>4.439E-7</v>
      </c>
      <c r="P106" s="25">
        <v>1.3960000000000001E-7</v>
      </c>
    </row>
    <row r="107" spans="2:16" x14ac:dyDescent="0.25">
      <c r="B107" s="23">
        <v>296</v>
      </c>
      <c r="C107" s="23" t="s">
        <v>49</v>
      </c>
      <c r="D107" s="23"/>
      <c r="E107" s="23">
        <v>1</v>
      </c>
      <c r="F107" s="23">
        <v>0</v>
      </c>
      <c r="G107" s="25">
        <v>1.5259999999999999E-9</v>
      </c>
      <c r="H107" s="25">
        <v>1.411E-8</v>
      </c>
      <c r="I107" s="25">
        <v>2.7809999999999998E-9</v>
      </c>
      <c r="J107" s="25">
        <v>7.9520000000000003E-7</v>
      </c>
      <c r="K107" s="25">
        <v>1.756</v>
      </c>
      <c r="L107" s="25">
        <v>1.756</v>
      </c>
      <c r="M107" s="25">
        <v>0.25619999999999998</v>
      </c>
      <c r="N107" s="25">
        <v>2.581</v>
      </c>
      <c r="O107" s="25">
        <v>5.5089999999999999E-7</v>
      </c>
      <c r="P107" s="25">
        <v>1.9139999999999998E-9</v>
      </c>
    </row>
    <row r="108" spans="2:16" x14ac:dyDescent="0.25">
      <c r="B108" s="23">
        <v>300</v>
      </c>
      <c r="C108" s="23" t="s">
        <v>49</v>
      </c>
      <c r="D108" s="23"/>
      <c r="E108" s="23">
        <v>1</v>
      </c>
      <c r="F108" s="23">
        <v>0</v>
      </c>
      <c r="G108" s="25">
        <v>1.5529999999999999E-9</v>
      </c>
      <c r="H108" s="25">
        <v>1.432E-8</v>
      </c>
      <c r="I108" s="25">
        <v>1.9969999999999999E-7</v>
      </c>
      <c r="J108" s="25">
        <v>8.0429999999999997E-7</v>
      </c>
      <c r="K108" s="25">
        <v>1.7250000000000001</v>
      </c>
      <c r="L108" s="25">
        <v>1.7250000000000001</v>
      </c>
      <c r="M108" s="25">
        <v>0.26169999999999999</v>
      </c>
      <c r="N108" s="25">
        <v>2.5179999999999998</v>
      </c>
      <c r="O108" s="25">
        <v>5.8520000000000003E-7</v>
      </c>
      <c r="P108" s="25">
        <v>2.0060000000000001E-10</v>
      </c>
    </row>
    <row r="109" spans="2:16" x14ac:dyDescent="0.25">
      <c r="B109" s="23">
        <v>304</v>
      </c>
      <c r="C109" s="23" t="s">
        <v>49</v>
      </c>
      <c r="D109" s="23"/>
      <c r="E109" s="23">
        <v>1</v>
      </c>
      <c r="F109" s="23">
        <v>0</v>
      </c>
      <c r="G109" s="25">
        <v>1.771E-9</v>
      </c>
      <c r="H109" s="25">
        <v>2.4519999999999998E-9</v>
      </c>
      <c r="I109" s="25">
        <v>1.296E-7</v>
      </c>
      <c r="J109" s="25">
        <v>7.7599999999999996E-7</v>
      </c>
      <c r="K109" s="25">
        <v>1.736</v>
      </c>
      <c r="L109" s="25">
        <v>1.736</v>
      </c>
      <c r="M109" s="25">
        <v>0.2505</v>
      </c>
      <c r="N109" s="25">
        <v>2.5489999999999999</v>
      </c>
      <c r="O109" s="25">
        <v>4.3280000000000001E-7</v>
      </c>
      <c r="P109" s="25">
        <v>2.2159999999999999E-10</v>
      </c>
    </row>
    <row r="110" spans="2:16" x14ac:dyDescent="0.25">
      <c r="B110" s="23">
        <v>305</v>
      </c>
      <c r="C110" s="23" t="s">
        <v>49</v>
      </c>
      <c r="D110" s="23"/>
      <c r="E110" s="23">
        <v>1</v>
      </c>
      <c r="F110" s="23">
        <v>0</v>
      </c>
      <c r="G110" s="25">
        <v>1.5779999999999999E-9</v>
      </c>
      <c r="H110" s="25">
        <v>1.3189999999999999E-8</v>
      </c>
      <c r="I110" s="25">
        <v>2.5439999999999999E-9</v>
      </c>
      <c r="J110" s="25">
        <v>8.2480000000000003E-7</v>
      </c>
      <c r="K110" s="25">
        <v>1.7450000000000001</v>
      </c>
      <c r="L110" s="25">
        <v>1.7450000000000001</v>
      </c>
      <c r="M110" s="25">
        <v>0.26519999999999999</v>
      </c>
      <c r="N110" s="25">
        <v>2.52</v>
      </c>
      <c r="O110" s="25">
        <v>7.0999999999999998E-7</v>
      </c>
      <c r="P110" s="25">
        <v>1.7800000000000001E-9</v>
      </c>
    </row>
    <row r="111" spans="2:16" x14ac:dyDescent="0.25">
      <c r="B111" s="23">
        <v>307</v>
      </c>
      <c r="C111" s="23" t="s">
        <v>49</v>
      </c>
      <c r="D111" s="23"/>
      <c r="E111" s="23">
        <v>1</v>
      </c>
      <c r="F111" s="23">
        <v>0</v>
      </c>
      <c r="G111" s="25">
        <v>2.7099999999999999E-9</v>
      </c>
      <c r="H111" s="25">
        <v>1.166E-8</v>
      </c>
      <c r="I111" s="25">
        <v>4.7300000000000001E-7</v>
      </c>
      <c r="J111" s="25">
        <v>8.2780000000000004E-7</v>
      </c>
      <c r="K111" s="25">
        <v>1.694</v>
      </c>
      <c r="L111" s="25">
        <v>1.694</v>
      </c>
      <c r="M111" s="25">
        <v>0.26519999999999999</v>
      </c>
      <c r="N111" s="25">
        <v>2.4830000000000001</v>
      </c>
      <c r="O111" s="25">
        <v>7.2409999999999998E-7</v>
      </c>
      <c r="P111" s="25">
        <v>2.3069999999999999E-7</v>
      </c>
    </row>
    <row r="112" spans="2:16" x14ac:dyDescent="0.25">
      <c r="B112" s="23">
        <v>310</v>
      </c>
      <c r="C112" s="23" t="s">
        <v>49</v>
      </c>
      <c r="D112" s="23"/>
      <c r="E112" s="23">
        <v>1</v>
      </c>
      <c r="F112" s="23">
        <v>0</v>
      </c>
      <c r="G112" s="25">
        <v>1.535E-9</v>
      </c>
      <c r="H112" s="25">
        <v>1.4429999999999999E-8</v>
      </c>
      <c r="I112" s="25">
        <v>2.4070000000000001E-10</v>
      </c>
      <c r="J112" s="25">
        <v>8.5769999999999996E-7</v>
      </c>
      <c r="K112" s="25">
        <v>1.73</v>
      </c>
      <c r="L112" s="25">
        <v>1.73</v>
      </c>
      <c r="M112" s="25">
        <v>0.25819999999999999</v>
      </c>
      <c r="N112" s="25">
        <v>2.4660000000000002</v>
      </c>
      <c r="O112" s="25">
        <v>1.0759999999999999E-6</v>
      </c>
      <c r="P112" s="25">
        <v>1.9880000000000002E-9</v>
      </c>
    </row>
    <row r="113" spans="2:16" x14ac:dyDescent="0.25">
      <c r="B113" s="23">
        <v>312</v>
      </c>
      <c r="C113" s="23" t="s">
        <v>49</v>
      </c>
      <c r="D113" s="23"/>
      <c r="E113" s="23">
        <v>1</v>
      </c>
      <c r="F113" s="23">
        <v>0</v>
      </c>
      <c r="G113" s="25">
        <v>1.6439999999999999E-9</v>
      </c>
      <c r="H113" s="25">
        <v>1.206E-8</v>
      </c>
      <c r="I113" s="25">
        <v>1.313E-6</v>
      </c>
      <c r="J113" s="25">
        <v>7.6739999999999995E-7</v>
      </c>
      <c r="K113" s="25">
        <v>1.5820000000000001</v>
      </c>
      <c r="L113" s="25">
        <v>1.5820000000000001</v>
      </c>
      <c r="M113" s="25">
        <v>0.2389</v>
      </c>
      <c r="N113" s="25">
        <v>2.4489999999999998</v>
      </c>
      <c r="O113" s="25">
        <v>4.418E-7</v>
      </c>
      <c r="P113" s="25">
        <v>3.7259999999999999E-7</v>
      </c>
    </row>
    <row r="114" spans="2:16" x14ac:dyDescent="0.25">
      <c r="B114" s="23">
        <v>315</v>
      </c>
      <c r="C114" s="23" t="s">
        <v>49</v>
      </c>
      <c r="D114" s="23"/>
      <c r="E114" s="23">
        <v>1</v>
      </c>
      <c r="F114" s="23">
        <v>0</v>
      </c>
      <c r="G114" s="25">
        <v>1.624E-9</v>
      </c>
      <c r="H114" s="25">
        <v>1.2240000000000001E-8</v>
      </c>
      <c r="I114" s="25">
        <v>2.4670000000000001E-7</v>
      </c>
      <c r="J114" s="25">
        <v>7.7039999999999996E-7</v>
      </c>
      <c r="K114" s="25">
        <v>1.6930000000000001</v>
      </c>
      <c r="L114" s="25">
        <v>1.6930000000000001</v>
      </c>
      <c r="M114" s="25">
        <v>0.23619999999999999</v>
      </c>
      <c r="N114" s="25">
        <v>2.4849999999999999</v>
      </c>
      <c r="O114" s="25">
        <v>4.9360000000000003E-7</v>
      </c>
      <c r="P114" s="25">
        <v>2.7539999999999998E-9</v>
      </c>
    </row>
    <row r="115" spans="2:16" x14ac:dyDescent="0.25">
      <c r="B115" s="23">
        <v>316</v>
      </c>
      <c r="C115" s="23" t="s">
        <v>49</v>
      </c>
      <c r="D115" s="23"/>
      <c r="E115" s="23">
        <v>1</v>
      </c>
      <c r="F115" s="23">
        <v>0</v>
      </c>
      <c r="G115" s="25">
        <v>1.672E-9</v>
      </c>
      <c r="H115" s="25">
        <v>1.4829999999999999E-8</v>
      </c>
      <c r="I115" s="25">
        <v>2.346E-7</v>
      </c>
      <c r="J115" s="25">
        <v>7.7690000000000003E-7</v>
      </c>
      <c r="K115" s="25">
        <v>1.7629999999999999</v>
      </c>
      <c r="L115" s="25">
        <v>1.7629999999999999</v>
      </c>
      <c r="M115" s="25">
        <v>0.2487</v>
      </c>
      <c r="N115" s="25">
        <v>2.556</v>
      </c>
      <c r="O115" s="25">
        <v>5.5919999999999998E-7</v>
      </c>
      <c r="P115" s="25">
        <v>2.8769999999999999E-9</v>
      </c>
    </row>
    <row r="116" spans="2:16" x14ac:dyDescent="0.25">
      <c r="B116" s="23">
        <v>317</v>
      </c>
      <c r="C116" s="23" t="s">
        <v>49</v>
      </c>
      <c r="D116" s="23"/>
      <c r="E116" s="23">
        <v>1</v>
      </c>
      <c r="F116" s="23">
        <v>0</v>
      </c>
      <c r="G116" s="25">
        <v>1.6770000000000001E-9</v>
      </c>
      <c r="H116" s="25">
        <v>1.4230000000000001E-8</v>
      </c>
      <c r="I116" s="25">
        <v>2.1409999999999999E-7</v>
      </c>
      <c r="J116" s="25">
        <v>7.7250000000000002E-7</v>
      </c>
      <c r="K116" s="25">
        <v>1.76</v>
      </c>
      <c r="L116" s="25">
        <v>1.76</v>
      </c>
      <c r="M116" s="25">
        <v>0.255</v>
      </c>
      <c r="N116" s="25">
        <v>2.63</v>
      </c>
      <c r="O116" s="25">
        <v>4.6530000000000002E-7</v>
      </c>
      <c r="P116" s="25">
        <v>2.4629999999999999E-9</v>
      </c>
    </row>
    <row r="117" spans="2:16" x14ac:dyDescent="0.25">
      <c r="B117" s="23">
        <v>320</v>
      </c>
      <c r="C117" s="23" t="s">
        <v>49</v>
      </c>
      <c r="D117" s="23"/>
      <c r="E117" s="23">
        <v>1</v>
      </c>
      <c r="F117" s="23">
        <v>0</v>
      </c>
      <c r="G117" s="25">
        <v>1.5549999999999999E-9</v>
      </c>
      <c r="H117" s="25">
        <v>1.377E-8</v>
      </c>
      <c r="I117" s="25">
        <v>1.142E-7</v>
      </c>
      <c r="J117" s="25">
        <v>8.2650000000000005E-7</v>
      </c>
      <c r="K117" s="25">
        <v>1.704</v>
      </c>
      <c r="L117" s="25">
        <v>1.704</v>
      </c>
      <c r="M117" s="25">
        <v>0.26469999999999999</v>
      </c>
      <c r="N117" s="25">
        <v>2.4980000000000002</v>
      </c>
      <c r="O117" s="25">
        <v>7.1419999999999998E-7</v>
      </c>
      <c r="P117" s="25">
        <v>2.262E-10</v>
      </c>
    </row>
    <row r="118" spans="2:16" x14ac:dyDescent="0.25">
      <c r="B118" s="23">
        <v>324</v>
      </c>
      <c r="C118" s="23" t="s">
        <v>49</v>
      </c>
      <c r="D118" s="23"/>
      <c r="E118" s="23">
        <v>1</v>
      </c>
      <c r="F118" s="23">
        <v>0</v>
      </c>
      <c r="G118" s="25">
        <v>1.68E-9</v>
      </c>
      <c r="H118" s="25">
        <v>1.1080000000000001E-8</v>
      </c>
      <c r="I118" s="25">
        <v>1.045E-7</v>
      </c>
      <c r="J118" s="25">
        <v>7.7840000000000004E-7</v>
      </c>
      <c r="K118" s="25">
        <v>1.6930000000000001</v>
      </c>
      <c r="L118" s="25">
        <v>1.6930000000000001</v>
      </c>
      <c r="M118" s="25">
        <v>0.23039999999999999</v>
      </c>
      <c r="N118" s="25">
        <v>2.456</v>
      </c>
      <c r="O118" s="25">
        <v>7.2089999999999995E-7</v>
      </c>
      <c r="P118" s="25">
        <v>2.33E-9</v>
      </c>
    </row>
    <row r="119" spans="2:16" x14ac:dyDescent="0.25">
      <c r="B119" s="23">
        <v>327</v>
      </c>
      <c r="C119" s="23" t="s">
        <v>49</v>
      </c>
      <c r="D119" s="23"/>
      <c r="E119" s="23">
        <v>1</v>
      </c>
      <c r="F119" s="23">
        <v>0</v>
      </c>
      <c r="G119" s="25">
        <v>1.5110000000000001E-9</v>
      </c>
      <c r="H119" s="25">
        <v>1.4230000000000001E-8</v>
      </c>
      <c r="I119" s="25">
        <v>2.5610000000000002E-9</v>
      </c>
      <c r="J119" s="25">
        <v>8.2040000000000001E-7</v>
      </c>
      <c r="K119" s="25">
        <v>1.7629999999999999</v>
      </c>
      <c r="L119" s="25">
        <v>1.7629999999999999</v>
      </c>
      <c r="M119" s="25">
        <v>0.26350000000000001</v>
      </c>
      <c r="N119" s="25">
        <v>2.544</v>
      </c>
      <c r="O119" s="25">
        <v>6.8530000000000003E-7</v>
      </c>
      <c r="P119" s="25">
        <v>1.8179999999999999E-9</v>
      </c>
    </row>
    <row r="120" spans="2:16" x14ac:dyDescent="0.25">
      <c r="B120" s="23">
        <v>328</v>
      </c>
      <c r="C120" s="23" t="s">
        <v>49</v>
      </c>
      <c r="D120" s="23"/>
      <c r="E120" s="23">
        <v>1</v>
      </c>
      <c r="F120" s="23">
        <v>0</v>
      </c>
      <c r="G120" s="25">
        <v>1.6439999999999999E-9</v>
      </c>
      <c r="H120" s="25">
        <v>1.146E-8</v>
      </c>
      <c r="I120" s="25">
        <v>2.52E-9</v>
      </c>
      <c r="J120" s="25">
        <v>7.7420000000000004E-7</v>
      </c>
      <c r="K120" s="25">
        <v>1.7869999999999999</v>
      </c>
      <c r="L120" s="25">
        <v>1.7869999999999999</v>
      </c>
      <c r="M120" s="25">
        <v>0.25850000000000001</v>
      </c>
      <c r="N120" s="25">
        <v>2.6459999999999999</v>
      </c>
      <c r="O120" s="25">
        <v>4.1020000000000001E-7</v>
      </c>
      <c r="P120" s="25">
        <v>1.8680000000000002E-9</v>
      </c>
    </row>
    <row r="121" spans="2:16" x14ac:dyDescent="0.25">
      <c r="B121" s="23">
        <v>329</v>
      </c>
      <c r="C121" s="23" t="s">
        <v>49</v>
      </c>
      <c r="D121" s="23"/>
      <c r="E121" s="23">
        <v>1</v>
      </c>
      <c r="F121" s="23">
        <v>0</v>
      </c>
      <c r="G121" s="25">
        <v>1.5489999999999999E-9</v>
      </c>
      <c r="H121" s="25">
        <v>1.023E-8</v>
      </c>
      <c r="I121" s="25">
        <v>1.289E-7</v>
      </c>
      <c r="J121" s="25">
        <v>8.0390000000000005E-7</v>
      </c>
      <c r="K121" s="25">
        <v>1.802</v>
      </c>
      <c r="L121" s="25">
        <v>1.802</v>
      </c>
      <c r="M121" s="25">
        <v>0.26919999999999999</v>
      </c>
      <c r="N121" s="25">
        <v>2.6389999999999998</v>
      </c>
      <c r="O121" s="25">
        <v>5.6889999999999997E-7</v>
      </c>
      <c r="P121" s="25">
        <v>2.2130000000000001E-9</v>
      </c>
    </row>
    <row r="122" spans="2:16" x14ac:dyDescent="0.25">
      <c r="B122" s="23">
        <v>330</v>
      </c>
      <c r="C122" s="23" t="s">
        <v>49</v>
      </c>
      <c r="D122" s="23"/>
      <c r="E122" s="23">
        <v>1</v>
      </c>
      <c r="F122" s="23">
        <v>0</v>
      </c>
      <c r="G122" s="25">
        <v>1.6910000000000001E-9</v>
      </c>
      <c r="H122" s="25">
        <v>1.5300000000000001E-8</v>
      </c>
      <c r="I122" s="25">
        <v>1.2499999999999999E-7</v>
      </c>
      <c r="J122" s="25">
        <v>7.8820000000000003E-7</v>
      </c>
      <c r="K122" s="25">
        <v>1.546</v>
      </c>
      <c r="L122" s="25">
        <v>1.546</v>
      </c>
      <c r="M122" s="25">
        <v>0.2298</v>
      </c>
      <c r="N122" s="25">
        <v>2.2709999999999999</v>
      </c>
      <c r="O122" s="25">
        <v>1.161E-6</v>
      </c>
      <c r="P122" s="25">
        <v>2.6019999999999999E-9</v>
      </c>
    </row>
    <row r="123" spans="2:16" x14ac:dyDescent="0.25">
      <c r="B123" s="23">
        <v>331</v>
      </c>
      <c r="C123" s="23" t="s">
        <v>49</v>
      </c>
      <c r="D123" s="23"/>
      <c r="E123" s="23">
        <v>1</v>
      </c>
      <c r="F123" s="23">
        <v>0</v>
      </c>
      <c r="G123" s="25">
        <v>1.7680000000000001E-9</v>
      </c>
      <c r="H123" s="25">
        <v>1.1620000000000001E-8</v>
      </c>
      <c r="I123" s="25">
        <v>1.0580000000000001E-6</v>
      </c>
      <c r="J123" s="25">
        <v>7.7599999999999996E-7</v>
      </c>
      <c r="K123" s="25">
        <v>1.7869999999999999</v>
      </c>
      <c r="L123" s="25">
        <v>1.7869999999999999</v>
      </c>
      <c r="M123" s="25">
        <v>0.24970000000000001</v>
      </c>
      <c r="N123" s="25">
        <v>2.5960000000000001</v>
      </c>
      <c r="O123" s="25">
        <v>5.6520000000000001E-7</v>
      </c>
      <c r="P123" s="25">
        <v>4.2650000000000001E-7</v>
      </c>
    </row>
    <row r="124" spans="2:16" x14ac:dyDescent="0.25">
      <c r="B124" s="23">
        <v>336</v>
      </c>
      <c r="C124" s="23" t="s">
        <v>49</v>
      </c>
      <c r="D124" s="23"/>
      <c r="E124" s="23">
        <v>1</v>
      </c>
      <c r="F124" s="23">
        <v>0</v>
      </c>
      <c r="G124" s="25">
        <v>1.5300000000000001E-9</v>
      </c>
      <c r="H124" s="25">
        <v>1.14E-8</v>
      </c>
      <c r="I124" s="25">
        <v>2.5530000000000002E-9</v>
      </c>
      <c r="J124" s="25">
        <v>3.2180000000000001E-8</v>
      </c>
      <c r="K124" s="25">
        <v>1.677</v>
      </c>
      <c r="L124" s="25">
        <v>1.677</v>
      </c>
      <c r="M124" s="25">
        <v>0.2389</v>
      </c>
      <c r="N124" s="25">
        <v>2.476</v>
      </c>
      <c r="O124" s="25">
        <v>4.6069999999999999E-7</v>
      </c>
      <c r="P124" s="25">
        <v>1.817E-10</v>
      </c>
    </row>
    <row r="125" spans="2:16" x14ac:dyDescent="0.25">
      <c r="B125" s="23">
        <v>337</v>
      </c>
      <c r="C125" s="23" t="s">
        <v>49</v>
      </c>
      <c r="D125" s="23"/>
      <c r="E125" s="23">
        <v>1</v>
      </c>
      <c r="F125" s="23">
        <v>0</v>
      </c>
      <c r="G125" s="25">
        <v>1.63E-9</v>
      </c>
      <c r="H125" s="25">
        <v>1.1420000000000001E-8</v>
      </c>
      <c r="I125" s="25">
        <v>1.8300000000000001E-7</v>
      </c>
      <c r="J125" s="25">
        <v>6.5700000000000001E-10</v>
      </c>
      <c r="K125" s="25">
        <v>1.7470000000000001</v>
      </c>
      <c r="L125" s="25">
        <v>1.7470000000000001</v>
      </c>
      <c r="M125" s="25">
        <v>0.2409</v>
      </c>
      <c r="N125" s="25">
        <v>2.6019999999999999</v>
      </c>
      <c r="O125" s="25">
        <v>4.7399999999999998E-7</v>
      </c>
      <c r="P125" s="25">
        <v>2.8999999999999999E-9</v>
      </c>
    </row>
    <row r="126" spans="2:16" x14ac:dyDescent="0.25">
      <c r="B126" s="23">
        <v>339</v>
      </c>
      <c r="C126" s="23" t="s">
        <v>49</v>
      </c>
      <c r="D126" s="23"/>
      <c r="E126" s="23">
        <v>1</v>
      </c>
      <c r="F126" s="23">
        <v>0</v>
      </c>
      <c r="G126" s="25">
        <v>1.6979999999999999E-9</v>
      </c>
      <c r="H126" s="25">
        <v>1.4629999999999999E-8</v>
      </c>
      <c r="I126" s="25">
        <v>9.6579999999999993E-7</v>
      </c>
      <c r="J126" s="25">
        <v>8.1650000000000004E-7</v>
      </c>
      <c r="K126" s="25">
        <v>1.8180000000000001</v>
      </c>
      <c r="L126" s="25">
        <v>1.8180000000000001</v>
      </c>
      <c r="M126" s="25">
        <v>0.27150000000000002</v>
      </c>
      <c r="N126" s="25">
        <v>2.6440000000000001</v>
      </c>
      <c r="O126" s="25">
        <v>7.3539999999999998E-7</v>
      </c>
      <c r="P126" s="25">
        <v>2.382E-7</v>
      </c>
    </row>
  </sheetData>
  <sheetProtection algorithmName="SHA-512" hashValue="t/VyP5JORjZv8xNbUp1VZ4eeMVA1Lx0ehPoLCFWkZhMsoRsdL1uyfLG3gZrt9QtQDyIE6gQZ5fPiS3iABhJwkw==" saltValue="tAEwHO7rfV3P2ySq1ac+AQ==" spinCount="100000" sheet="1" objects="1" scenarios="1" sort="0" autoFilter="0"/>
  <autoFilter ref="A10:Q126" xr:uid="{15EE386C-CFED-4542-8C4C-BE28A7ED8438}"/>
  <mergeCells count="14">
    <mergeCell ref="A3:B3"/>
    <mergeCell ref="C3:D3"/>
    <mergeCell ref="E3:F3"/>
    <mergeCell ref="H3:Q3"/>
    <mergeCell ref="A4:G4"/>
    <mergeCell ref="H4:Q4"/>
    <mergeCell ref="A1:F1"/>
    <mergeCell ref="K1:L1"/>
    <mergeCell ref="M1:N1"/>
    <mergeCell ref="O1:P1"/>
    <mergeCell ref="A2:B2"/>
    <mergeCell ref="C2:D2"/>
    <mergeCell ref="E2:F2"/>
    <mergeCell ref="H2:Q2"/>
  </mergeCells>
  <conditionalFormatting sqref="A11:A61">
    <cfRule type="duplicateValues" dxfId="45" priority="9"/>
  </conditionalFormatting>
  <conditionalFormatting sqref="A3:G3">
    <cfRule type="cellIs" dxfId="44" priority="1" operator="equal">
      <formula>0</formula>
    </cfRule>
  </conditionalFormatting>
  <conditionalFormatting sqref="B11:B61">
    <cfRule type="duplicateValues" dxfId="43" priority="10"/>
  </conditionalFormatting>
  <conditionalFormatting sqref="C11:C1369">
    <cfRule type="containsBlanks" dxfId="42" priority="5" stopIfTrue="1">
      <formula>LEN(TRIM(C11))=0</formula>
    </cfRule>
    <cfRule type="cellIs" dxfId="41" priority="6" stopIfTrue="1" operator="equal">
      <formula>"ND"</formula>
    </cfRule>
    <cfRule type="cellIs" dxfId="40" priority="7" operator="equal">
      <formula>"ALL PASS"</formula>
    </cfRule>
    <cfRule type="cellIs" dxfId="39" priority="8" operator="notEqual">
      <formula>"ALL PASS"</formula>
    </cfRule>
  </conditionalFormatting>
  <conditionalFormatting sqref="E11:E1369">
    <cfRule type="cellIs" dxfId="38" priority="2" stopIfTrue="1" operator="equal">
      <formula>99</formula>
    </cfRule>
    <cfRule type="cellIs" dxfId="37" priority="3" operator="between">
      <formula>2</formula>
      <formula>98</formula>
    </cfRule>
    <cfRule type="cellIs" dxfId="36" priority="4" operator="equal">
      <formula>1</formula>
    </cfRule>
  </conditionalFormatting>
  <hyperlinks>
    <hyperlink ref="H1" location="INDEX!A1" display="RETURN TO INDEX" xr:uid="{D574A9E6-7D70-4545-9776-203F4A987801}"/>
    <hyperlink ref="H1:I1" location="INDEX!A1" display="RETURN TO INDEX" xr:uid="{B8D4C7A2-98D7-431C-BCCE-2A3E4425BCE1}"/>
    <hyperlink ref="M1" location="'SCREENING STATUS'!A1" display="SCREENING STATUS" xr:uid="{F947613E-D9B7-43B1-BEA8-6BAFF758BB32}"/>
    <hyperlink ref="J1" location="SUMMARY!A1" display="SUMMARY" xr:uid="{084DD4C1-7A68-4AAD-96C3-A43A08F6E035}"/>
    <hyperlink ref="K1" location="'SCREENING STATUS'!A1" display="SCREENING STATUS" xr:uid="{C03754D2-FFDA-419E-B3BE-075052AC7102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DAF1-C119-4A94-94D7-C7305DCC4C43}">
  <sheetPr>
    <tabColor theme="4" tint="-0.249977111117893"/>
  </sheetPr>
  <dimension ref="A1:N126"/>
  <sheetViews>
    <sheetView zoomScale="95" zoomScaleNormal="95" workbookViewId="0">
      <pane xSplit="3" ySplit="10" topLeftCell="D11" activePane="bottomRight" state="frozen"/>
      <selection activeCell="B4" sqref="B4:E4"/>
      <selection pane="topRight" activeCell="B4" sqref="B4:E4"/>
      <selection pane="bottomLeft" activeCell="B4" sqref="B4:E4"/>
      <selection pane="bottomRight" activeCell="A3" sqref="A3:B3"/>
    </sheetView>
  </sheetViews>
  <sheetFormatPr defaultColWidth="0" defaultRowHeight="15" zeroHeight="1" x14ac:dyDescent="0.25"/>
  <cols>
    <col min="1" max="1" width="18.85546875" customWidth="1"/>
    <col min="2" max="2" width="12.28515625" style="22" customWidth="1"/>
    <col min="3" max="3" width="13.5703125" style="22" customWidth="1"/>
    <col min="4" max="4" width="5.5703125" style="22" customWidth="1"/>
    <col min="5" max="5" width="3.85546875" style="22" customWidth="1"/>
    <col min="6" max="14" width="18.85546875" customWidth="1"/>
  </cols>
  <sheetData>
    <row r="1" spans="1:14" ht="24" x14ac:dyDescent="0.25">
      <c r="A1" s="75" t="s">
        <v>50</v>
      </c>
      <c r="B1" s="75"/>
      <c r="C1" s="75"/>
      <c r="D1" s="75"/>
      <c r="E1" s="75"/>
      <c r="F1" s="75"/>
      <c r="G1" s="5"/>
      <c r="H1" s="3" t="s">
        <v>3</v>
      </c>
      <c r="I1" s="3"/>
      <c r="J1" s="6" t="s">
        <v>0</v>
      </c>
      <c r="K1" s="74" t="s">
        <v>1</v>
      </c>
      <c r="L1" s="74"/>
      <c r="M1" s="74" t="s">
        <v>4</v>
      </c>
      <c r="N1" s="74"/>
    </row>
    <row r="2" spans="1:14" ht="24" x14ac:dyDescent="0.25">
      <c r="A2" s="77" t="s">
        <v>97</v>
      </c>
      <c r="B2" s="77"/>
      <c r="C2" s="77" t="s">
        <v>98</v>
      </c>
      <c r="D2" s="77"/>
      <c r="E2" s="77" t="s">
        <v>99</v>
      </c>
      <c r="F2" s="77"/>
      <c r="G2" s="7" t="s">
        <v>100</v>
      </c>
      <c r="H2" s="78" t="s">
        <v>8</v>
      </c>
      <c r="I2" s="79"/>
      <c r="J2" s="79"/>
      <c r="K2" s="79"/>
      <c r="L2" s="79"/>
      <c r="M2" s="79"/>
      <c r="N2" s="79"/>
    </row>
    <row r="3" spans="1:14" ht="24" x14ac:dyDescent="0.25">
      <c r="A3" s="77" t="s">
        <v>104</v>
      </c>
      <c r="B3" s="77"/>
      <c r="C3" s="77" t="s">
        <v>104</v>
      </c>
      <c r="D3" s="77"/>
      <c r="E3" s="77"/>
      <c r="F3" s="77"/>
      <c r="G3" s="7">
        <v>2418</v>
      </c>
      <c r="H3" s="78"/>
      <c r="I3" s="79"/>
      <c r="J3" s="79"/>
      <c r="K3" s="79"/>
      <c r="L3" s="79"/>
      <c r="M3" s="79"/>
      <c r="N3" s="79"/>
    </row>
    <row r="4" spans="1:14" ht="24" x14ac:dyDescent="0.4">
      <c r="A4" s="80" t="str">
        <f>IF($B$5=$B$6,"PASS","FAIL")</f>
        <v>PASS</v>
      </c>
      <c r="B4" s="81"/>
      <c r="C4" s="81"/>
      <c r="D4" s="81"/>
      <c r="E4" s="81"/>
      <c r="F4" s="81"/>
      <c r="G4" s="81"/>
      <c r="H4" s="79"/>
      <c r="I4" s="79"/>
      <c r="J4" s="79"/>
      <c r="K4" s="79"/>
      <c r="L4" s="79"/>
      <c r="M4" s="79"/>
      <c r="N4" s="79"/>
    </row>
    <row r="5" spans="1:14" x14ac:dyDescent="0.25">
      <c r="A5" s="8" t="s">
        <v>9</v>
      </c>
      <c r="B5" s="9">
        <f>COUNTA(C$11:C$2000)-COUNTIF(C11:C$2000,"ND")</f>
        <v>116</v>
      </c>
      <c r="C5" s="10"/>
      <c r="D5" s="11"/>
      <c r="E5" s="11"/>
      <c r="F5" s="12"/>
      <c r="G5" s="12"/>
      <c r="H5" s="13"/>
      <c r="I5" s="12"/>
      <c r="J5" s="12"/>
      <c r="K5" s="12"/>
      <c r="L5" s="12"/>
      <c r="M5" s="12"/>
      <c r="N5" s="12"/>
    </row>
    <row r="6" spans="1:14" x14ac:dyDescent="0.25">
      <c r="A6" s="14" t="s">
        <v>10</v>
      </c>
      <c r="B6" s="15">
        <f>COUNTIF(C11:C$2000,"All Pass")</f>
        <v>116</v>
      </c>
      <c r="C6" s="16"/>
      <c r="D6" s="16"/>
      <c r="E6" s="16"/>
      <c r="F6" s="17" t="s">
        <v>11</v>
      </c>
      <c r="G6" s="17" t="s">
        <v>51</v>
      </c>
      <c r="H6" s="18" t="s">
        <v>52</v>
      </c>
      <c r="I6" s="17" t="s">
        <v>53</v>
      </c>
      <c r="J6" s="17" t="s">
        <v>54</v>
      </c>
      <c r="K6" s="17" t="s">
        <v>55</v>
      </c>
      <c r="L6" s="17" t="s">
        <v>56</v>
      </c>
      <c r="M6" s="17" t="s">
        <v>57</v>
      </c>
      <c r="N6" s="17" t="s">
        <v>58</v>
      </c>
    </row>
    <row r="7" spans="1:14" x14ac:dyDescent="0.25">
      <c r="A7" s="14" t="s">
        <v>22</v>
      </c>
      <c r="B7" s="15">
        <f>COUNTIF(C11:C$2000,"ND")</f>
        <v>0</v>
      </c>
      <c r="C7" s="16"/>
      <c r="D7" s="16"/>
      <c r="E7" s="16"/>
      <c r="F7" s="17" t="s">
        <v>23</v>
      </c>
      <c r="G7" s="17" t="s">
        <v>59</v>
      </c>
      <c r="H7" s="18" t="s">
        <v>60</v>
      </c>
      <c r="I7" s="17" t="s">
        <v>61</v>
      </c>
      <c r="J7" s="17" t="s">
        <v>28</v>
      </c>
      <c r="K7" s="17" t="s">
        <v>62</v>
      </c>
      <c r="L7" s="17" t="s">
        <v>30</v>
      </c>
      <c r="M7" s="17" t="s">
        <v>63</v>
      </c>
      <c r="N7" s="17" t="s">
        <v>59</v>
      </c>
    </row>
    <row r="8" spans="1:14" x14ac:dyDescent="0.25">
      <c r="A8" s="14" t="s">
        <v>31</v>
      </c>
      <c r="B8" s="15">
        <f>B5-B6</f>
        <v>0</v>
      </c>
      <c r="C8" s="16"/>
      <c r="D8" s="16"/>
      <c r="E8" s="16"/>
      <c r="F8" s="17" t="s">
        <v>32</v>
      </c>
      <c r="G8" s="17" t="s">
        <v>35</v>
      </c>
      <c r="H8" s="18" t="s">
        <v>36</v>
      </c>
      <c r="I8" s="17" t="s">
        <v>37</v>
      </c>
      <c r="J8" s="17" t="s">
        <v>64</v>
      </c>
      <c r="K8" s="17" t="s">
        <v>39</v>
      </c>
      <c r="L8" s="17" t="s">
        <v>40</v>
      </c>
      <c r="M8" s="17" t="s">
        <v>41</v>
      </c>
      <c r="N8" s="17" t="s">
        <v>42</v>
      </c>
    </row>
    <row r="9" spans="1:14" x14ac:dyDescent="0.25">
      <c r="A9" s="16" t="s">
        <v>43</v>
      </c>
      <c r="B9" s="16" t="s">
        <v>44</v>
      </c>
      <c r="C9" s="16" t="s">
        <v>45</v>
      </c>
      <c r="D9" s="16" t="s">
        <v>46</v>
      </c>
      <c r="E9" s="16" t="s">
        <v>47</v>
      </c>
      <c r="F9" s="17" t="s">
        <v>39</v>
      </c>
      <c r="G9" s="17"/>
      <c r="H9" s="19"/>
      <c r="I9" s="17"/>
      <c r="J9" s="17"/>
      <c r="K9" s="17" t="s">
        <v>48</v>
      </c>
      <c r="L9" s="17"/>
      <c r="M9" s="17"/>
      <c r="N9" s="17"/>
    </row>
    <row r="10" spans="1:14" x14ac:dyDescent="0.25">
      <c r="A10" s="29"/>
      <c r="B10" s="30"/>
      <c r="C10" s="31"/>
      <c r="D10" s="31"/>
      <c r="E10" s="32"/>
      <c r="F10" s="33"/>
      <c r="G10" s="34"/>
      <c r="H10" s="35"/>
      <c r="I10" s="35"/>
      <c r="J10" s="33"/>
      <c r="K10" s="35"/>
      <c r="L10" s="34"/>
      <c r="M10" s="36"/>
      <c r="N10" s="37"/>
    </row>
    <row r="11" spans="1:14" x14ac:dyDescent="0.25">
      <c r="B11" s="23">
        <v>11</v>
      </c>
      <c r="C11" s="23" t="s">
        <v>49</v>
      </c>
      <c r="D11" s="23" t="s">
        <v>65</v>
      </c>
      <c r="E11" s="23">
        <v>1</v>
      </c>
      <c r="F11" s="23">
        <v>5.1529999999999999E-2</v>
      </c>
      <c r="G11" s="25">
        <v>2.193E-6</v>
      </c>
      <c r="H11" s="25">
        <v>1.9299999999999997E-6</v>
      </c>
      <c r="I11" s="25">
        <v>1.2370000000000001</v>
      </c>
      <c r="J11" s="25">
        <v>1.2370000000000001</v>
      </c>
      <c r="K11" s="25">
        <v>0.39016000000000001</v>
      </c>
      <c r="L11" s="25">
        <v>2.206</v>
      </c>
      <c r="M11" s="25">
        <v>7.6149999999999999E-6</v>
      </c>
      <c r="N11" s="25">
        <v>1.2019999999999999E-6</v>
      </c>
    </row>
    <row r="12" spans="1:14" x14ac:dyDescent="0.25">
      <c r="B12" s="23">
        <v>12</v>
      </c>
      <c r="C12" s="23" t="s">
        <v>49</v>
      </c>
      <c r="D12" s="23" t="s">
        <v>65</v>
      </c>
      <c r="E12" s="23">
        <v>1</v>
      </c>
      <c r="F12" s="23">
        <v>5.1869999999999999E-2</v>
      </c>
      <c r="G12" s="25">
        <v>1.8059999999999999E-6</v>
      </c>
      <c r="H12" s="25">
        <v>1.3829999999999999E-6</v>
      </c>
      <c r="I12" s="25">
        <v>1.5649999999999999</v>
      </c>
      <c r="J12" s="25">
        <v>1.5649999999999999</v>
      </c>
      <c r="K12" s="25">
        <v>0.38841000000000003</v>
      </c>
      <c r="L12" s="25">
        <v>2.508</v>
      </c>
      <c r="M12" s="25">
        <v>6.7489999999999992E-6</v>
      </c>
      <c r="N12" s="25">
        <v>9.5440000000000013E-7</v>
      </c>
    </row>
    <row r="13" spans="1:14" x14ac:dyDescent="0.25">
      <c r="B13" s="23">
        <v>16</v>
      </c>
      <c r="C13" s="23" t="s">
        <v>49</v>
      </c>
      <c r="D13" s="23" t="s">
        <v>65</v>
      </c>
      <c r="E13" s="23">
        <v>1</v>
      </c>
      <c r="F13" s="23">
        <v>5.1909999999999998E-2</v>
      </c>
      <c r="G13" s="25">
        <v>1.282E-6</v>
      </c>
      <c r="H13" s="25">
        <v>1.2639999999999999E-6</v>
      </c>
      <c r="I13" s="25">
        <v>1.3460000000000001</v>
      </c>
      <c r="J13" s="25">
        <v>1.3460000000000001</v>
      </c>
      <c r="K13" s="25">
        <v>0.38505</v>
      </c>
      <c r="L13" s="25">
        <v>2.3730000000000002</v>
      </c>
      <c r="M13" s="25">
        <v>6.1479999999999994E-6</v>
      </c>
      <c r="N13" s="25">
        <v>8.0680000000000005E-7</v>
      </c>
    </row>
    <row r="14" spans="1:14" x14ac:dyDescent="0.25">
      <c r="B14" s="23">
        <v>19</v>
      </c>
      <c r="C14" s="23" t="s">
        <v>49</v>
      </c>
      <c r="D14" s="23" t="s">
        <v>65</v>
      </c>
      <c r="E14" s="23">
        <v>1</v>
      </c>
      <c r="F14" s="23">
        <v>5.0390000000000004E-2</v>
      </c>
      <c r="G14" s="25">
        <v>1.04E-6</v>
      </c>
      <c r="H14" s="25">
        <v>2.779E-6</v>
      </c>
      <c r="I14" s="25">
        <v>1.2749999999999999</v>
      </c>
      <c r="J14" s="25">
        <v>1.2749999999999999</v>
      </c>
      <c r="K14" s="25">
        <v>0.39726</v>
      </c>
      <c r="L14" s="25">
        <v>2.2759999999999998</v>
      </c>
      <c r="M14" s="25">
        <v>1.1050000000000001E-5</v>
      </c>
      <c r="N14" s="25">
        <v>6.412000000000001E-7</v>
      </c>
    </row>
    <row r="15" spans="1:14" x14ac:dyDescent="0.25">
      <c r="B15" s="23">
        <v>25</v>
      </c>
      <c r="C15" s="23" t="s">
        <v>49</v>
      </c>
      <c r="D15" s="23" t="s">
        <v>65</v>
      </c>
      <c r="E15" s="23">
        <v>1</v>
      </c>
      <c r="F15" s="23">
        <v>5.0900000000000001E-2</v>
      </c>
      <c r="G15" s="25">
        <v>1.051E-6</v>
      </c>
      <c r="H15" s="25">
        <v>1.018E-6</v>
      </c>
      <c r="I15" s="25">
        <v>1.2869999999999999</v>
      </c>
      <c r="J15" s="25">
        <v>1.2869999999999999</v>
      </c>
      <c r="K15" s="25">
        <v>0.38886999999999999</v>
      </c>
      <c r="L15" s="25">
        <v>2.3130000000000002</v>
      </c>
      <c r="M15" s="25">
        <v>4.5339999999999993E-6</v>
      </c>
      <c r="N15" s="25">
        <v>6.3330000000000004E-7</v>
      </c>
    </row>
    <row r="16" spans="1:14" x14ac:dyDescent="0.25">
      <c r="B16" s="23">
        <v>26</v>
      </c>
      <c r="C16" s="23" t="s">
        <v>49</v>
      </c>
      <c r="D16" s="23" t="s">
        <v>65</v>
      </c>
      <c r="E16" s="23">
        <v>1</v>
      </c>
      <c r="F16" s="23">
        <v>5.1119999999999999E-2</v>
      </c>
      <c r="G16" s="25">
        <v>8.3960000000000008E-7</v>
      </c>
      <c r="H16" s="25">
        <v>2.2819999999999999E-6</v>
      </c>
      <c r="I16" s="25">
        <v>1.196</v>
      </c>
      <c r="J16" s="25">
        <v>1.196</v>
      </c>
      <c r="K16" s="25">
        <v>0.39459</v>
      </c>
      <c r="L16" s="25">
        <v>2.1859999999999999</v>
      </c>
      <c r="M16" s="25">
        <v>6.7999999999999993E-6</v>
      </c>
      <c r="N16" s="25">
        <v>5.1240000000000006E-7</v>
      </c>
    </row>
    <row r="17" spans="2:14" x14ac:dyDescent="0.25">
      <c r="B17" s="23">
        <v>31</v>
      </c>
      <c r="C17" s="23" t="s">
        <v>49</v>
      </c>
      <c r="D17" s="23" t="s">
        <v>65</v>
      </c>
      <c r="E17" s="23">
        <v>1</v>
      </c>
      <c r="F17" s="23">
        <v>5.0470000000000001E-2</v>
      </c>
      <c r="G17" s="25">
        <v>6.4100000000000009E-7</v>
      </c>
      <c r="H17" s="25">
        <v>3.0359999999999998E-6</v>
      </c>
      <c r="I17" s="25">
        <v>1.1040000000000001</v>
      </c>
      <c r="J17" s="25">
        <v>1.1040000000000001</v>
      </c>
      <c r="K17" s="25">
        <v>0.39313999999999999</v>
      </c>
      <c r="L17" s="25">
        <v>2.0419999999999998</v>
      </c>
      <c r="M17" s="25">
        <v>6.0890000000000005E-6</v>
      </c>
      <c r="N17" s="25">
        <v>3.4460000000000005E-7</v>
      </c>
    </row>
    <row r="18" spans="2:14" x14ac:dyDescent="0.25">
      <c r="B18" s="23">
        <v>32</v>
      </c>
      <c r="C18" s="23" t="s">
        <v>49</v>
      </c>
      <c r="D18" s="23" t="s">
        <v>65</v>
      </c>
      <c r="E18" s="23">
        <v>1</v>
      </c>
      <c r="F18" s="23">
        <v>5.2610000000000004E-2</v>
      </c>
      <c r="G18" s="25">
        <v>1.2219999999999999E-6</v>
      </c>
      <c r="H18" s="25">
        <v>3.1339999999999996E-6</v>
      </c>
      <c r="I18" s="25">
        <v>1.286</v>
      </c>
      <c r="J18" s="25">
        <v>1.286</v>
      </c>
      <c r="K18" s="25">
        <v>0.37895000000000001</v>
      </c>
      <c r="L18" s="25">
        <v>2.2549999999999999</v>
      </c>
      <c r="M18" s="25">
        <v>1.2689999999999999E-5</v>
      </c>
      <c r="N18" s="25">
        <v>7.6360000000000009E-7</v>
      </c>
    </row>
    <row r="19" spans="2:14" x14ac:dyDescent="0.25">
      <c r="B19" s="23">
        <v>36</v>
      </c>
      <c r="C19" s="23" t="s">
        <v>49</v>
      </c>
      <c r="D19" s="23" t="s">
        <v>65</v>
      </c>
      <c r="E19" s="23">
        <v>1</v>
      </c>
      <c r="F19" s="23">
        <v>5.0130000000000001E-2</v>
      </c>
      <c r="G19" s="25">
        <v>7.8290000000000006E-7</v>
      </c>
      <c r="H19" s="25">
        <v>1.9059999999999998E-6</v>
      </c>
      <c r="I19" s="25">
        <v>1.5309999999999999</v>
      </c>
      <c r="J19" s="25">
        <v>1.5309999999999999</v>
      </c>
      <c r="K19" s="25">
        <v>0.40122000000000002</v>
      </c>
      <c r="L19" s="25">
        <v>2.4870000000000001</v>
      </c>
      <c r="M19" s="25">
        <v>7.1890000000000001E-6</v>
      </c>
      <c r="N19" s="25">
        <v>4.51E-7</v>
      </c>
    </row>
    <row r="20" spans="2:14" x14ac:dyDescent="0.25">
      <c r="B20" s="23">
        <v>38</v>
      </c>
      <c r="C20" s="23" t="s">
        <v>49</v>
      </c>
      <c r="D20" s="23" t="s">
        <v>65</v>
      </c>
      <c r="E20" s="23">
        <v>1</v>
      </c>
      <c r="F20" s="23">
        <v>4.9020000000000001E-2</v>
      </c>
      <c r="G20" s="25">
        <v>9.4229999999999996E-7</v>
      </c>
      <c r="H20" s="25">
        <v>2.9830000000000001E-6</v>
      </c>
      <c r="I20" s="25">
        <v>1.286</v>
      </c>
      <c r="J20" s="25">
        <v>1.286</v>
      </c>
      <c r="K20" s="25">
        <v>0.40443000000000001</v>
      </c>
      <c r="L20" s="25">
        <v>2.2669999999999999</v>
      </c>
      <c r="M20" s="25">
        <v>1.1759999999999999E-5</v>
      </c>
      <c r="N20" s="25">
        <v>5.9500000000000002E-7</v>
      </c>
    </row>
    <row r="21" spans="2:14" x14ac:dyDescent="0.25">
      <c r="B21" s="23">
        <v>40</v>
      </c>
      <c r="C21" s="23" t="s">
        <v>49</v>
      </c>
      <c r="D21" s="23" t="s">
        <v>65</v>
      </c>
      <c r="E21" s="23">
        <v>1</v>
      </c>
      <c r="F21" s="23">
        <v>5.2290000000000003E-2</v>
      </c>
      <c r="G21" s="25">
        <v>1.1790000000000001E-6</v>
      </c>
      <c r="H21" s="25">
        <v>1.1930000000000001E-6</v>
      </c>
      <c r="I21" s="25">
        <v>1.19</v>
      </c>
      <c r="J21" s="25">
        <v>1.19</v>
      </c>
      <c r="K21" s="25">
        <v>0.37956000000000001</v>
      </c>
      <c r="L21" s="25">
        <v>2.1440000000000001</v>
      </c>
      <c r="M21" s="25">
        <v>4.0309999999999992E-6</v>
      </c>
      <c r="N21" s="25">
        <v>6.6430000000000004E-7</v>
      </c>
    </row>
    <row r="22" spans="2:14" x14ac:dyDescent="0.25">
      <c r="B22" s="23">
        <v>43</v>
      </c>
      <c r="C22" s="23" t="s">
        <v>49</v>
      </c>
      <c r="D22" s="23" t="s">
        <v>65</v>
      </c>
      <c r="E22" s="23">
        <v>1</v>
      </c>
      <c r="F22" s="23">
        <v>5.1020000000000003E-2</v>
      </c>
      <c r="G22" s="25">
        <v>9.301000000000001E-7</v>
      </c>
      <c r="H22" s="25">
        <v>2.8700000000000001E-6</v>
      </c>
      <c r="I22" s="25">
        <v>1.111</v>
      </c>
      <c r="J22" s="25">
        <v>1.111</v>
      </c>
      <c r="K22" s="25">
        <v>0.38627</v>
      </c>
      <c r="L22" s="25">
        <v>2.0390000000000001</v>
      </c>
      <c r="M22" s="25">
        <v>7.038999999999999E-6</v>
      </c>
      <c r="N22" s="25">
        <v>6.0529999999999995E-7</v>
      </c>
    </row>
    <row r="23" spans="2:14" x14ac:dyDescent="0.25">
      <c r="B23" s="23">
        <v>46</v>
      </c>
      <c r="C23" s="23" t="s">
        <v>49</v>
      </c>
      <c r="D23" s="23" t="s">
        <v>65</v>
      </c>
      <c r="E23" s="23">
        <v>1</v>
      </c>
      <c r="F23" s="23">
        <v>5.1299999999999998E-2</v>
      </c>
      <c r="G23" s="25">
        <v>1.485E-6</v>
      </c>
      <c r="H23" s="25">
        <v>3.3959999999999998E-6</v>
      </c>
      <c r="I23" s="25">
        <v>1.2410000000000001</v>
      </c>
      <c r="J23" s="25">
        <v>1.2410000000000001</v>
      </c>
      <c r="K23" s="25">
        <v>0.39237</v>
      </c>
      <c r="L23" s="25">
        <v>2.214</v>
      </c>
      <c r="M23" s="25">
        <v>1.2639999999999999E-5</v>
      </c>
      <c r="N23" s="25">
        <v>8.3330000000000003E-7</v>
      </c>
    </row>
    <row r="24" spans="2:14" x14ac:dyDescent="0.25">
      <c r="B24" s="23">
        <v>51</v>
      </c>
      <c r="C24" s="23" t="s">
        <v>49</v>
      </c>
      <c r="D24" s="23" t="s">
        <v>65</v>
      </c>
      <c r="E24" s="23">
        <v>1</v>
      </c>
      <c r="F24" s="23">
        <v>5.4560000000000004E-2</v>
      </c>
      <c r="G24" s="25">
        <v>2.3349999999999997E-6</v>
      </c>
      <c r="H24" s="25">
        <v>1.1499999999999998E-6</v>
      </c>
      <c r="I24" s="25">
        <v>1.282</v>
      </c>
      <c r="J24" s="25">
        <v>1.282</v>
      </c>
      <c r="K24" s="25">
        <v>0.36826999999999999</v>
      </c>
      <c r="L24" s="25">
        <v>2.2469999999999999</v>
      </c>
      <c r="M24" s="25">
        <v>5.6249999999999995E-6</v>
      </c>
      <c r="N24" s="25">
        <v>1.2929999999999999E-6</v>
      </c>
    </row>
    <row r="25" spans="2:14" x14ac:dyDescent="0.25">
      <c r="B25" s="23">
        <v>54</v>
      </c>
      <c r="C25" s="23" t="s">
        <v>49</v>
      </c>
      <c r="D25" s="23" t="s">
        <v>65</v>
      </c>
      <c r="E25" s="23">
        <v>1</v>
      </c>
      <c r="F25" s="23">
        <v>5.2610000000000004E-2</v>
      </c>
      <c r="G25" s="25">
        <v>1.5049999999999998E-6</v>
      </c>
      <c r="H25" s="25">
        <v>1.051E-6</v>
      </c>
      <c r="I25" s="25">
        <v>1.339</v>
      </c>
      <c r="J25" s="25">
        <v>1.339</v>
      </c>
      <c r="K25" s="25">
        <v>0.37918000000000002</v>
      </c>
      <c r="L25" s="25">
        <v>2.37</v>
      </c>
      <c r="M25" s="25">
        <v>5.7809999999999994E-6</v>
      </c>
      <c r="N25" s="25">
        <v>9.3500000000000005E-7</v>
      </c>
    </row>
    <row r="26" spans="2:14" x14ac:dyDescent="0.25">
      <c r="B26" s="23">
        <v>56</v>
      </c>
      <c r="C26" s="23" t="s">
        <v>49</v>
      </c>
      <c r="D26" s="23" t="s">
        <v>65</v>
      </c>
      <c r="E26" s="23">
        <v>1</v>
      </c>
      <c r="F26" s="23">
        <v>5.0479999999999997E-2</v>
      </c>
      <c r="G26" s="25">
        <v>7.3960000000000008E-7</v>
      </c>
      <c r="H26" s="25">
        <v>1.9549999999999999E-6</v>
      </c>
      <c r="I26" s="25">
        <v>1.1339999999999999</v>
      </c>
      <c r="J26" s="25">
        <v>1.1339999999999999</v>
      </c>
      <c r="K26" s="25">
        <v>0.39718000000000003</v>
      </c>
      <c r="L26" s="25">
        <v>2.0950000000000002</v>
      </c>
      <c r="M26" s="25">
        <v>5.8829999999999994E-6</v>
      </c>
      <c r="N26" s="25">
        <v>4.9869999999999999E-7</v>
      </c>
    </row>
    <row r="27" spans="2:14" x14ac:dyDescent="0.25">
      <c r="B27" s="23">
        <v>59</v>
      </c>
      <c r="C27" s="23" t="s">
        <v>49</v>
      </c>
      <c r="D27" s="23" t="s">
        <v>65</v>
      </c>
      <c r="E27" s="23">
        <v>1</v>
      </c>
      <c r="F27" s="23">
        <v>5.1279999999999999E-2</v>
      </c>
      <c r="G27" s="25">
        <v>1.4559999999999999E-6</v>
      </c>
      <c r="H27" s="25">
        <v>3.7149999999999996E-6</v>
      </c>
      <c r="I27" s="25">
        <v>1.2030000000000001</v>
      </c>
      <c r="J27" s="25">
        <v>1.2030000000000001</v>
      </c>
      <c r="K27" s="25">
        <v>0.38436000000000003</v>
      </c>
      <c r="L27" s="25">
        <v>2.169</v>
      </c>
      <c r="M27" s="25">
        <v>1.464E-5</v>
      </c>
      <c r="N27" s="25">
        <v>9.470000000000001E-7</v>
      </c>
    </row>
    <row r="28" spans="2:14" x14ac:dyDescent="0.25">
      <c r="B28" s="23">
        <v>61</v>
      </c>
      <c r="C28" s="23" t="s">
        <v>49</v>
      </c>
      <c r="D28" s="23" t="s">
        <v>65</v>
      </c>
      <c r="E28" s="23">
        <v>1</v>
      </c>
      <c r="F28" s="23">
        <v>4.8860000000000001E-2</v>
      </c>
      <c r="G28" s="25">
        <v>8.8400000000000003E-7</v>
      </c>
      <c r="H28" s="25">
        <v>4.011999999999999E-6</v>
      </c>
      <c r="I28" s="25">
        <v>1.1479999999999999</v>
      </c>
      <c r="J28" s="25">
        <v>1.1479999999999999</v>
      </c>
      <c r="K28" s="25">
        <v>0.40877999999999998</v>
      </c>
      <c r="L28" s="25">
        <v>2.117</v>
      </c>
      <c r="M28" s="25">
        <v>1.226E-5</v>
      </c>
      <c r="N28" s="25">
        <v>5.6590000000000006E-7</v>
      </c>
    </row>
    <row r="29" spans="2:14" x14ac:dyDescent="0.25">
      <c r="B29" s="23">
        <v>67</v>
      </c>
      <c r="C29" s="23" t="s">
        <v>49</v>
      </c>
      <c r="D29" s="23" t="s">
        <v>65</v>
      </c>
      <c r="E29" s="23">
        <v>1</v>
      </c>
      <c r="F29" s="23">
        <v>5.3319999999999999E-2</v>
      </c>
      <c r="G29" s="25">
        <v>2.103E-6</v>
      </c>
      <c r="H29" s="25">
        <v>1.4810000000000001E-6</v>
      </c>
      <c r="I29" s="25">
        <v>1.3120000000000001</v>
      </c>
      <c r="J29" s="25">
        <v>1.3120000000000001</v>
      </c>
      <c r="K29" s="25">
        <v>0.37619999999999998</v>
      </c>
      <c r="L29" s="25">
        <v>2.2959999999999998</v>
      </c>
      <c r="M29" s="25">
        <v>7.8210000000000002E-6</v>
      </c>
      <c r="N29" s="25">
        <v>1.2889999999999999E-6</v>
      </c>
    </row>
    <row r="30" spans="2:14" x14ac:dyDescent="0.25">
      <c r="B30" s="23">
        <v>74</v>
      </c>
      <c r="C30" s="23" t="s">
        <v>49</v>
      </c>
      <c r="D30" s="23" t="s">
        <v>65</v>
      </c>
      <c r="E30" s="23">
        <v>1</v>
      </c>
      <c r="F30" s="23">
        <v>5.2499999999999998E-2</v>
      </c>
      <c r="G30" s="25">
        <v>1.548E-6</v>
      </c>
      <c r="H30" s="25">
        <v>1.1240000000000002E-6</v>
      </c>
      <c r="I30" s="25">
        <v>1.204</v>
      </c>
      <c r="J30" s="25">
        <v>1.204</v>
      </c>
      <c r="K30" s="25">
        <v>0.37384000000000001</v>
      </c>
      <c r="L30" s="25">
        <v>2.1520000000000001</v>
      </c>
      <c r="M30" s="25">
        <v>4.9169999999999997E-6</v>
      </c>
      <c r="N30" s="25">
        <v>1.0409999999999999E-6</v>
      </c>
    </row>
    <row r="31" spans="2:14" x14ac:dyDescent="0.25">
      <c r="B31" s="23">
        <v>75</v>
      </c>
      <c r="C31" s="23" t="s">
        <v>49</v>
      </c>
      <c r="D31" s="23" t="s">
        <v>65</v>
      </c>
      <c r="E31" s="23">
        <v>1</v>
      </c>
      <c r="F31" s="23">
        <v>5.0700000000000002E-2</v>
      </c>
      <c r="G31" s="25">
        <v>1.3089999999999999E-6</v>
      </c>
      <c r="H31" s="25">
        <v>3.9199999999999997E-6</v>
      </c>
      <c r="I31" s="25">
        <v>1.234</v>
      </c>
      <c r="J31" s="25">
        <v>1.234</v>
      </c>
      <c r="K31" s="25">
        <v>0.3952</v>
      </c>
      <c r="L31" s="25">
        <v>2.214</v>
      </c>
      <c r="M31" s="25">
        <v>1.4759999999999999E-5</v>
      </c>
      <c r="N31" s="25">
        <v>8.3250000000000008E-7</v>
      </c>
    </row>
    <row r="32" spans="2:14" x14ac:dyDescent="0.25">
      <c r="B32" s="23">
        <v>76</v>
      </c>
      <c r="C32" s="23" t="s">
        <v>49</v>
      </c>
      <c r="D32" s="23" t="s">
        <v>65</v>
      </c>
      <c r="E32" s="23">
        <v>1</v>
      </c>
      <c r="F32" s="23">
        <v>5.3659999999999999E-2</v>
      </c>
      <c r="G32" s="25">
        <v>4.3590000000000001E-6</v>
      </c>
      <c r="H32" s="25">
        <v>1.1349999999999999E-6</v>
      </c>
      <c r="I32" s="25">
        <v>1.3280000000000001</v>
      </c>
      <c r="J32" s="25">
        <v>1.3280000000000001</v>
      </c>
      <c r="K32" s="25">
        <v>0.37216000000000005</v>
      </c>
      <c r="L32" s="25">
        <v>2.3210000000000002</v>
      </c>
      <c r="M32" s="25">
        <v>7.0719999999999994E-6</v>
      </c>
      <c r="N32" s="25">
        <v>2.6249999999999999E-6</v>
      </c>
    </row>
    <row r="33" spans="2:14" x14ac:dyDescent="0.25">
      <c r="B33" s="23">
        <v>78</v>
      </c>
      <c r="C33" s="23" t="s">
        <v>49</v>
      </c>
      <c r="D33" s="23" t="s">
        <v>65</v>
      </c>
      <c r="E33" s="23">
        <v>1</v>
      </c>
      <c r="F33" s="23">
        <v>4.7700000000000006E-2</v>
      </c>
      <c r="G33" s="25">
        <v>1.668E-6</v>
      </c>
      <c r="H33" s="25">
        <v>4.8239999999999999E-6</v>
      </c>
      <c r="I33" s="25">
        <v>1.2010000000000001</v>
      </c>
      <c r="J33" s="25">
        <v>1.2010000000000001</v>
      </c>
      <c r="K33" s="25">
        <v>0.41435000000000005</v>
      </c>
      <c r="L33" s="25">
        <v>2.1880000000000002</v>
      </c>
      <c r="M33" s="25">
        <v>1.509E-5</v>
      </c>
      <c r="N33" s="25">
        <v>9.470000000000001E-7</v>
      </c>
    </row>
    <row r="34" spans="2:14" x14ac:dyDescent="0.25">
      <c r="B34" s="23">
        <v>79</v>
      </c>
      <c r="C34" s="23" t="s">
        <v>49</v>
      </c>
      <c r="D34" s="23" t="s">
        <v>65</v>
      </c>
      <c r="E34" s="23">
        <v>1</v>
      </c>
      <c r="F34" s="23">
        <v>5.3710000000000001E-2</v>
      </c>
      <c r="G34" s="25">
        <v>1.657E-6</v>
      </c>
      <c r="H34" s="25">
        <v>1.973E-6</v>
      </c>
      <c r="I34" s="25">
        <v>1.0980000000000001</v>
      </c>
      <c r="J34" s="25">
        <v>1.0980000000000001</v>
      </c>
      <c r="K34" s="25">
        <v>0.36460000000000004</v>
      </c>
      <c r="L34" s="25">
        <v>2.0219999999999998</v>
      </c>
      <c r="M34" s="25">
        <v>6.3979999999999996E-6</v>
      </c>
      <c r="N34" s="25">
        <v>1.06E-6</v>
      </c>
    </row>
    <row r="35" spans="2:14" x14ac:dyDescent="0.25">
      <c r="B35" s="23">
        <v>80</v>
      </c>
      <c r="C35" s="23" t="s">
        <v>49</v>
      </c>
      <c r="D35" s="23" t="s">
        <v>65</v>
      </c>
      <c r="E35" s="23">
        <v>1</v>
      </c>
      <c r="F35" s="23">
        <v>4.8710000000000003E-2</v>
      </c>
      <c r="G35" s="25">
        <v>2.9299999999999999E-6</v>
      </c>
      <c r="H35" s="25">
        <v>1.381E-6</v>
      </c>
      <c r="I35" s="25">
        <v>1.2569999999999999</v>
      </c>
      <c r="J35" s="25">
        <v>1.2569999999999999</v>
      </c>
      <c r="K35" s="25">
        <v>0.40565000000000001</v>
      </c>
      <c r="L35" s="25">
        <v>2.2759999999999998</v>
      </c>
      <c r="M35" s="25">
        <v>5.5709999999999997E-6</v>
      </c>
      <c r="N35" s="25">
        <v>1.2649999999999997E-6</v>
      </c>
    </row>
    <row r="36" spans="2:14" x14ac:dyDescent="0.25">
      <c r="B36" s="23">
        <v>84</v>
      </c>
      <c r="C36" s="23" t="s">
        <v>49</v>
      </c>
      <c r="D36" s="23" t="s">
        <v>65</v>
      </c>
      <c r="E36" s="23">
        <v>1</v>
      </c>
      <c r="F36" s="23">
        <v>5.314E-2</v>
      </c>
      <c r="G36" s="25">
        <v>1.7939999999999999E-6</v>
      </c>
      <c r="H36" s="25">
        <v>1.0349999999999998E-6</v>
      </c>
      <c r="I36" s="25">
        <v>1.3620000000000001</v>
      </c>
      <c r="J36" s="25">
        <v>1.3620000000000001</v>
      </c>
      <c r="K36" s="25">
        <v>0.37590000000000001</v>
      </c>
      <c r="L36" s="25">
        <v>2.4089999999999998</v>
      </c>
      <c r="M36" s="25">
        <v>6.1719999999999995E-6</v>
      </c>
      <c r="N36" s="25">
        <v>1.1850000000000001E-6</v>
      </c>
    </row>
    <row r="37" spans="2:14" x14ac:dyDescent="0.25">
      <c r="B37" s="23">
        <v>85</v>
      </c>
      <c r="C37" s="23" t="s">
        <v>49</v>
      </c>
      <c r="D37" s="23" t="s">
        <v>65</v>
      </c>
      <c r="E37" s="23">
        <v>1</v>
      </c>
      <c r="F37" s="23">
        <v>4.8770000000000001E-2</v>
      </c>
      <c r="G37" s="25">
        <v>6.8640000000000001E-7</v>
      </c>
      <c r="H37" s="25">
        <v>2.9079999999999999E-6</v>
      </c>
      <c r="I37" s="25">
        <v>1.1160000000000001</v>
      </c>
      <c r="J37" s="25">
        <v>1.1160000000000001</v>
      </c>
      <c r="K37" s="25">
        <v>0.40282999999999997</v>
      </c>
      <c r="L37" s="25">
        <v>2.0830000000000002</v>
      </c>
      <c r="M37" s="25">
        <v>6.8039999999999996E-6</v>
      </c>
      <c r="N37" s="25">
        <v>4.32E-7</v>
      </c>
    </row>
    <row r="38" spans="2:14" x14ac:dyDescent="0.25">
      <c r="B38" s="23">
        <v>88</v>
      </c>
      <c r="C38" s="23" t="s">
        <v>49</v>
      </c>
      <c r="D38" s="23" t="s">
        <v>65</v>
      </c>
      <c r="E38" s="23">
        <v>1</v>
      </c>
      <c r="F38" s="23">
        <v>4.8729999999999996E-2</v>
      </c>
      <c r="G38" s="25">
        <v>9.4040000000000003E-7</v>
      </c>
      <c r="H38" s="25">
        <v>4.0079999999999996E-6</v>
      </c>
      <c r="I38" s="25">
        <v>1.117</v>
      </c>
      <c r="J38" s="25">
        <v>1.117</v>
      </c>
      <c r="K38" s="25">
        <v>0.40847000000000006</v>
      </c>
      <c r="L38" s="25">
        <v>2.0819999999999999</v>
      </c>
      <c r="M38" s="25">
        <v>1.1259999999999999E-5</v>
      </c>
      <c r="N38" s="25">
        <v>5.7060000000000009E-7</v>
      </c>
    </row>
    <row r="39" spans="2:14" x14ac:dyDescent="0.25">
      <c r="B39" s="23">
        <v>89</v>
      </c>
      <c r="C39" s="23" t="s">
        <v>49</v>
      </c>
      <c r="D39" s="23" t="s">
        <v>65</v>
      </c>
      <c r="E39" s="23">
        <v>1</v>
      </c>
      <c r="F39" s="23">
        <v>5.142E-2</v>
      </c>
      <c r="G39" s="25">
        <v>7.2289999999999999E-7</v>
      </c>
      <c r="H39" s="25">
        <v>3.4289999999999997E-6</v>
      </c>
      <c r="I39" s="25">
        <v>1.081</v>
      </c>
      <c r="J39" s="25">
        <v>1.081</v>
      </c>
      <c r="K39" s="25">
        <v>0.38612000000000002</v>
      </c>
      <c r="L39" s="25">
        <v>2.0299999999999998</v>
      </c>
      <c r="M39" s="25">
        <v>7.3319999999999994E-6</v>
      </c>
      <c r="N39" s="25">
        <v>4.4920000000000003E-7</v>
      </c>
    </row>
    <row r="40" spans="2:14" x14ac:dyDescent="0.25">
      <c r="B40" s="23">
        <v>90</v>
      </c>
      <c r="C40" s="23" t="s">
        <v>49</v>
      </c>
      <c r="D40" s="23" t="s">
        <v>65</v>
      </c>
      <c r="E40" s="23">
        <v>1</v>
      </c>
      <c r="F40" s="23">
        <v>5.1840000000000004E-2</v>
      </c>
      <c r="G40" s="25">
        <v>1.3039999999999999E-6</v>
      </c>
      <c r="H40" s="25">
        <v>8.9710000000000006E-7</v>
      </c>
      <c r="I40" s="25">
        <v>1.3120000000000001</v>
      </c>
      <c r="J40" s="25">
        <v>1.3120000000000001</v>
      </c>
      <c r="K40" s="25">
        <v>0.38886999999999999</v>
      </c>
      <c r="L40" s="25">
        <v>2.359</v>
      </c>
      <c r="M40" s="25">
        <v>4.3819999999999997E-6</v>
      </c>
      <c r="N40" s="25">
        <v>7.864E-7</v>
      </c>
    </row>
    <row r="41" spans="2:14" x14ac:dyDescent="0.25">
      <c r="B41" s="23">
        <v>91</v>
      </c>
      <c r="C41" s="23" t="s">
        <v>49</v>
      </c>
      <c r="D41" s="23" t="s">
        <v>65</v>
      </c>
      <c r="E41" s="23">
        <v>1</v>
      </c>
      <c r="F41" s="23">
        <v>4.9369999999999997E-2</v>
      </c>
      <c r="G41" s="25">
        <v>9.4010000000000011E-7</v>
      </c>
      <c r="H41" s="25">
        <v>1.6879999999999998E-6</v>
      </c>
      <c r="I41" s="25">
        <v>1.26</v>
      </c>
      <c r="J41" s="25">
        <v>1.26</v>
      </c>
      <c r="K41" s="25">
        <v>0.40237000000000001</v>
      </c>
      <c r="L41" s="25">
        <v>2.2599999999999998</v>
      </c>
      <c r="M41" s="25">
        <v>5.8919999999999997E-6</v>
      </c>
      <c r="N41" s="25">
        <v>5.6550000000000003E-7</v>
      </c>
    </row>
    <row r="42" spans="2:14" x14ac:dyDescent="0.25">
      <c r="B42" s="23">
        <v>92</v>
      </c>
      <c r="C42" s="23" t="s">
        <v>49</v>
      </c>
      <c r="D42" s="23" t="s">
        <v>65</v>
      </c>
      <c r="E42" s="23">
        <v>1</v>
      </c>
      <c r="F42" s="23">
        <v>5.398E-2</v>
      </c>
      <c r="G42" s="25">
        <v>2.8159999999999998E-6</v>
      </c>
      <c r="H42" s="25">
        <v>1.7609999999999997E-6</v>
      </c>
      <c r="I42" s="25">
        <v>1.1379999999999999</v>
      </c>
      <c r="J42" s="25">
        <v>1.1379999999999999</v>
      </c>
      <c r="K42" s="25">
        <v>0.36688999999999999</v>
      </c>
      <c r="L42" s="25">
        <v>2.0950000000000002</v>
      </c>
      <c r="M42" s="25">
        <v>1.08E-5</v>
      </c>
      <c r="N42" s="25">
        <v>1.8389999999999999E-6</v>
      </c>
    </row>
    <row r="43" spans="2:14" x14ac:dyDescent="0.25">
      <c r="B43" s="23">
        <v>97</v>
      </c>
      <c r="C43" s="23" t="s">
        <v>49</v>
      </c>
      <c r="D43" s="23" t="s">
        <v>65</v>
      </c>
      <c r="E43" s="23">
        <v>1</v>
      </c>
      <c r="F43" s="23">
        <v>4.9780000000000005E-2</v>
      </c>
      <c r="G43" s="25">
        <v>7.9570000000000006E-7</v>
      </c>
      <c r="H43" s="25">
        <v>8.9250000000000003E-7</v>
      </c>
      <c r="I43" s="25">
        <v>1.605</v>
      </c>
      <c r="J43" s="25">
        <v>1.605</v>
      </c>
      <c r="K43" s="25">
        <v>0.39756000000000002</v>
      </c>
      <c r="L43" s="25">
        <v>2.64</v>
      </c>
      <c r="M43" s="25">
        <v>5.0089999999999998E-6</v>
      </c>
      <c r="N43" s="25">
        <v>5.1940000000000006E-7</v>
      </c>
    </row>
    <row r="44" spans="2:14" x14ac:dyDescent="0.25">
      <c r="B44" s="23">
        <v>100</v>
      </c>
      <c r="C44" s="23" t="s">
        <v>49</v>
      </c>
      <c r="D44" s="23" t="s">
        <v>65</v>
      </c>
      <c r="E44" s="23">
        <v>1</v>
      </c>
      <c r="F44" s="23">
        <v>5.1040000000000002E-2</v>
      </c>
      <c r="G44" s="25">
        <v>3.0259999999999995E-6</v>
      </c>
      <c r="H44" s="25">
        <v>3.1760000000000002E-6</v>
      </c>
      <c r="I44" s="25">
        <v>1.218</v>
      </c>
      <c r="J44" s="25">
        <v>1.218</v>
      </c>
      <c r="K44" s="25">
        <v>0.38612000000000002</v>
      </c>
      <c r="L44" s="25">
        <v>2.1800000000000002</v>
      </c>
      <c r="M44" s="25">
        <v>1.2679999999999999E-5</v>
      </c>
      <c r="N44" s="25">
        <v>1.4159999999999999E-6</v>
      </c>
    </row>
    <row r="45" spans="2:14" x14ac:dyDescent="0.25">
      <c r="B45" s="23">
        <v>104</v>
      </c>
      <c r="C45" s="23" t="s">
        <v>49</v>
      </c>
      <c r="D45" s="23" t="s">
        <v>65</v>
      </c>
      <c r="E45" s="23">
        <v>1</v>
      </c>
      <c r="F45" s="23">
        <v>5.4630000000000005E-2</v>
      </c>
      <c r="G45" s="25">
        <v>3.8079999999999998E-6</v>
      </c>
      <c r="H45" s="25">
        <v>1.288E-6</v>
      </c>
      <c r="I45" s="25">
        <v>1.3779999999999999</v>
      </c>
      <c r="J45" s="25">
        <v>1.3779999999999999</v>
      </c>
      <c r="K45" s="25">
        <v>0.36208999999999997</v>
      </c>
      <c r="L45" s="25">
        <v>2.39</v>
      </c>
      <c r="M45" s="25">
        <v>8.3209999999999988E-6</v>
      </c>
      <c r="N45" s="25">
        <v>2.2859999999999998E-6</v>
      </c>
    </row>
    <row r="46" spans="2:14" x14ac:dyDescent="0.25">
      <c r="B46" s="23">
        <v>105</v>
      </c>
      <c r="C46" s="23" t="s">
        <v>49</v>
      </c>
      <c r="D46" s="23" t="s">
        <v>65</v>
      </c>
      <c r="E46" s="23">
        <v>1</v>
      </c>
      <c r="F46" s="23">
        <v>5.144E-2</v>
      </c>
      <c r="G46" s="25">
        <v>2.103E-6</v>
      </c>
      <c r="H46" s="25">
        <v>3.0329999999999996E-6</v>
      </c>
      <c r="I46" s="25">
        <v>1.252</v>
      </c>
      <c r="J46" s="25">
        <v>1.252</v>
      </c>
      <c r="K46" s="25">
        <v>0.38841000000000003</v>
      </c>
      <c r="L46" s="25">
        <v>2.2269999999999999</v>
      </c>
      <c r="M46" s="25">
        <v>1.3199999999999999E-5</v>
      </c>
      <c r="N46" s="25">
        <v>1.223E-6</v>
      </c>
    </row>
    <row r="47" spans="2:14" x14ac:dyDescent="0.25">
      <c r="B47" s="23">
        <v>106</v>
      </c>
      <c r="C47" s="23" t="s">
        <v>49</v>
      </c>
      <c r="D47" s="23" t="s">
        <v>65</v>
      </c>
      <c r="E47" s="23">
        <v>1</v>
      </c>
      <c r="F47" s="23">
        <v>5.4300000000000001E-2</v>
      </c>
      <c r="G47" s="25">
        <v>2.689E-6</v>
      </c>
      <c r="H47" s="25">
        <v>1.423E-6</v>
      </c>
      <c r="I47" s="25">
        <v>1.1659999999999999</v>
      </c>
      <c r="J47" s="25">
        <v>1.1659999999999999</v>
      </c>
      <c r="K47" s="25">
        <v>0.35797000000000001</v>
      </c>
      <c r="L47" s="25">
        <v>2.1030000000000002</v>
      </c>
      <c r="M47" s="25">
        <v>6.2359999999999992E-6</v>
      </c>
      <c r="N47" s="25">
        <v>1.4610000000000001E-6</v>
      </c>
    </row>
    <row r="48" spans="2:14" x14ac:dyDescent="0.25">
      <c r="B48" s="23">
        <v>108</v>
      </c>
      <c r="C48" s="23" t="s">
        <v>49</v>
      </c>
      <c r="D48" s="23" t="s">
        <v>65</v>
      </c>
      <c r="E48" s="23">
        <v>1</v>
      </c>
      <c r="F48" s="23">
        <v>4.8820000000000002E-2</v>
      </c>
      <c r="G48" s="25">
        <v>6.0160000000000009E-7</v>
      </c>
      <c r="H48" s="25">
        <v>3.1970000000000001E-6</v>
      </c>
      <c r="I48" s="25">
        <v>1.4279999999999999</v>
      </c>
      <c r="J48" s="25">
        <v>1.4279999999999999</v>
      </c>
      <c r="K48" s="25">
        <v>0.40855000000000002</v>
      </c>
      <c r="L48" s="25">
        <v>2.3650000000000002</v>
      </c>
      <c r="M48" s="25">
        <v>1.096E-5</v>
      </c>
      <c r="N48" s="25">
        <v>3.9920000000000003E-7</v>
      </c>
    </row>
    <row r="49" spans="2:14" x14ac:dyDescent="0.25">
      <c r="B49" s="23">
        <v>115</v>
      </c>
      <c r="C49" s="23" t="s">
        <v>49</v>
      </c>
      <c r="D49" s="23" t="s">
        <v>65</v>
      </c>
      <c r="E49" s="23">
        <v>1</v>
      </c>
      <c r="F49" s="23">
        <v>5.1580000000000001E-2</v>
      </c>
      <c r="G49" s="25">
        <v>1.3589999999999998E-6</v>
      </c>
      <c r="H49" s="25">
        <v>9.6180000000000005E-7</v>
      </c>
      <c r="I49" s="25">
        <v>1.3560000000000001</v>
      </c>
      <c r="J49" s="25">
        <v>1.3560000000000001</v>
      </c>
      <c r="K49" s="25">
        <v>0.38482</v>
      </c>
      <c r="L49" s="25">
        <v>2.4089999999999998</v>
      </c>
      <c r="M49" s="25">
        <v>5.3959999999999997E-6</v>
      </c>
      <c r="N49" s="25">
        <v>9.0520000000000014E-7</v>
      </c>
    </row>
    <row r="50" spans="2:14" x14ac:dyDescent="0.25">
      <c r="B50" s="23">
        <v>116</v>
      </c>
      <c r="C50" s="23" t="s">
        <v>49</v>
      </c>
      <c r="D50" s="23" t="s">
        <v>65</v>
      </c>
      <c r="E50" s="23">
        <v>1</v>
      </c>
      <c r="F50" s="23">
        <v>5.3990000000000003E-2</v>
      </c>
      <c r="G50" s="25">
        <v>2.2959999999999997E-6</v>
      </c>
      <c r="H50" s="25">
        <v>1.488E-6</v>
      </c>
      <c r="I50" s="25">
        <v>1.284</v>
      </c>
      <c r="J50" s="25">
        <v>1.284</v>
      </c>
      <c r="K50" s="25">
        <v>0.36445</v>
      </c>
      <c r="L50" s="25">
        <v>2.2679999999999998</v>
      </c>
      <c r="M50" s="25">
        <v>8.5690000000000005E-6</v>
      </c>
      <c r="N50" s="25">
        <v>1.2709999999999998E-6</v>
      </c>
    </row>
    <row r="51" spans="2:14" x14ac:dyDescent="0.25">
      <c r="B51" s="23">
        <v>118</v>
      </c>
      <c r="C51" s="23" t="s">
        <v>49</v>
      </c>
      <c r="D51" s="23" t="s">
        <v>65</v>
      </c>
      <c r="E51" s="23">
        <v>1</v>
      </c>
      <c r="F51" s="23">
        <v>5.185E-2</v>
      </c>
      <c r="G51" s="25">
        <v>2.531E-6</v>
      </c>
      <c r="H51" s="25">
        <v>2.012E-6</v>
      </c>
      <c r="I51" s="25">
        <v>1.2909999999999999</v>
      </c>
      <c r="J51" s="25">
        <v>1.2909999999999999</v>
      </c>
      <c r="K51" s="25">
        <v>0.38214999999999999</v>
      </c>
      <c r="L51" s="25">
        <v>2.2789999999999999</v>
      </c>
      <c r="M51" s="25">
        <v>1.083E-5</v>
      </c>
      <c r="N51" s="25">
        <v>1.4279999999999999E-6</v>
      </c>
    </row>
    <row r="52" spans="2:14" x14ac:dyDescent="0.25">
      <c r="B52" s="23">
        <v>120</v>
      </c>
      <c r="C52" s="23" t="s">
        <v>49</v>
      </c>
      <c r="D52" s="23" t="s">
        <v>65</v>
      </c>
      <c r="E52" s="23">
        <v>1</v>
      </c>
      <c r="F52" s="23">
        <v>5.1889999999999999E-2</v>
      </c>
      <c r="G52" s="25">
        <v>2.9399999999999998E-6</v>
      </c>
      <c r="H52" s="25">
        <v>1.24E-6</v>
      </c>
      <c r="I52" s="25">
        <v>1.325</v>
      </c>
      <c r="J52" s="25">
        <v>1.325</v>
      </c>
      <c r="K52" s="25">
        <v>0.38421</v>
      </c>
      <c r="L52" s="25">
        <v>2.3170000000000002</v>
      </c>
      <c r="M52" s="25">
        <v>7.2169999999999997E-6</v>
      </c>
      <c r="N52" s="25">
        <v>1.621E-6</v>
      </c>
    </row>
    <row r="53" spans="2:14" x14ac:dyDescent="0.25">
      <c r="B53" s="23">
        <v>128</v>
      </c>
      <c r="C53" s="23" t="s">
        <v>49</v>
      </c>
      <c r="D53" s="23" t="s">
        <v>65</v>
      </c>
      <c r="E53" s="23">
        <v>1</v>
      </c>
      <c r="F53" s="23">
        <v>4.9390000000000003E-2</v>
      </c>
      <c r="G53" s="25">
        <v>9.3520000000000006E-7</v>
      </c>
      <c r="H53" s="25">
        <v>1.243E-6</v>
      </c>
      <c r="I53" s="25">
        <v>1.63</v>
      </c>
      <c r="J53" s="25">
        <v>1.63</v>
      </c>
      <c r="K53" s="25">
        <v>0.40694999999999998</v>
      </c>
      <c r="L53" s="25">
        <v>2.6480000000000001</v>
      </c>
      <c r="M53" s="25">
        <v>6.0039999999999996E-6</v>
      </c>
      <c r="N53" s="25">
        <v>5.7240000000000002E-7</v>
      </c>
    </row>
    <row r="54" spans="2:14" x14ac:dyDescent="0.25">
      <c r="B54" s="23">
        <v>129</v>
      </c>
      <c r="C54" s="23" t="s">
        <v>49</v>
      </c>
      <c r="D54" s="23" t="s">
        <v>65</v>
      </c>
      <c r="E54" s="23">
        <v>1</v>
      </c>
      <c r="F54" s="23">
        <v>5.1299999999999998E-2</v>
      </c>
      <c r="G54" s="25">
        <v>1.361E-6</v>
      </c>
      <c r="H54" s="25">
        <v>1.08E-6</v>
      </c>
      <c r="I54" s="25">
        <v>1.302</v>
      </c>
      <c r="J54" s="25">
        <v>1.302</v>
      </c>
      <c r="K54" s="25">
        <v>0.39199000000000001</v>
      </c>
      <c r="L54" s="25">
        <v>2.343</v>
      </c>
      <c r="M54" s="25">
        <v>4.746E-6</v>
      </c>
      <c r="N54" s="25">
        <v>7.962000000000001E-7</v>
      </c>
    </row>
    <row r="55" spans="2:14" x14ac:dyDescent="0.25">
      <c r="B55" s="23">
        <v>130</v>
      </c>
      <c r="C55" s="23" t="s">
        <v>49</v>
      </c>
      <c r="D55" s="23" t="s">
        <v>65</v>
      </c>
      <c r="E55" s="23">
        <v>1</v>
      </c>
      <c r="F55" s="23">
        <v>5.321E-2</v>
      </c>
      <c r="G55" s="25">
        <v>1.7729999999999998E-6</v>
      </c>
      <c r="H55" s="25">
        <v>9.6329999999999995E-7</v>
      </c>
      <c r="I55" s="25">
        <v>1.1830000000000001</v>
      </c>
      <c r="J55" s="25">
        <v>1.1830000000000001</v>
      </c>
      <c r="K55" s="25">
        <v>0.37314999999999998</v>
      </c>
      <c r="L55" s="25">
        <v>2.153</v>
      </c>
      <c r="M55" s="25">
        <v>4.0929999999999996E-6</v>
      </c>
      <c r="N55" s="25">
        <v>1.0159999999999999E-6</v>
      </c>
    </row>
    <row r="56" spans="2:14" x14ac:dyDescent="0.25">
      <c r="B56" s="23">
        <v>134</v>
      </c>
      <c r="C56" s="23" t="s">
        <v>49</v>
      </c>
      <c r="D56" s="23" t="s">
        <v>65</v>
      </c>
      <c r="E56" s="23">
        <v>1</v>
      </c>
      <c r="F56" s="23">
        <v>5.1180000000000003E-2</v>
      </c>
      <c r="G56" s="25">
        <v>9.7960000000000012E-7</v>
      </c>
      <c r="H56" s="25">
        <v>1.4109999999999999E-6</v>
      </c>
      <c r="I56" s="25">
        <v>1.27</v>
      </c>
      <c r="J56" s="25">
        <v>1.27</v>
      </c>
      <c r="K56" s="25">
        <v>0.39299000000000001</v>
      </c>
      <c r="L56" s="25">
        <v>2.286</v>
      </c>
      <c r="M56" s="25">
        <v>5.5799999999999999E-6</v>
      </c>
      <c r="N56" s="25">
        <v>5.8260000000000004E-7</v>
      </c>
    </row>
    <row r="57" spans="2:14" x14ac:dyDescent="0.25">
      <c r="B57" s="23">
        <v>136</v>
      </c>
      <c r="C57" s="23" t="s">
        <v>49</v>
      </c>
      <c r="D57" s="23" t="s">
        <v>65</v>
      </c>
      <c r="E57" s="23">
        <v>1</v>
      </c>
      <c r="F57" s="23">
        <v>5.2569999999999999E-2</v>
      </c>
      <c r="G57" s="25">
        <v>2.2809999999999998E-6</v>
      </c>
      <c r="H57" s="25">
        <v>1.403E-6</v>
      </c>
      <c r="I57" s="25">
        <v>1.335</v>
      </c>
      <c r="J57" s="25">
        <v>1.335</v>
      </c>
      <c r="K57" s="25">
        <v>0.37429000000000001</v>
      </c>
      <c r="L57" s="25">
        <v>2.359</v>
      </c>
      <c r="M57" s="25">
        <v>8.3680000000000002E-6</v>
      </c>
      <c r="N57" s="25">
        <v>1.606E-6</v>
      </c>
    </row>
    <row r="58" spans="2:14" x14ac:dyDescent="0.25">
      <c r="B58" s="23">
        <v>137</v>
      </c>
      <c r="C58" s="23" t="s">
        <v>49</v>
      </c>
      <c r="D58" s="23" t="s">
        <v>65</v>
      </c>
      <c r="E58" s="23">
        <v>1</v>
      </c>
      <c r="F58" s="23">
        <v>5.0530000000000005E-2</v>
      </c>
      <c r="G58" s="25">
        <v>3.5299999999999997E-6</v>
      </c>
      <c r="H58" s="25">
        <v>2.5239999999999999E-6</v>
      </c>
      <c r="I58" s="25">
        <v>1.3680000000000001</v>
      </c>
      <c r="J58" s="25">
        <v>1.3680000000000001</v>
      </c>
      <c r="K58" s="25">
        <v>0.39618999999999999</v>
      </c>
      <c r="L58" s="25">
        <v>2.3769999999999998</v>
      </c>
      <c r="M58" s="25">
        <v>1.366E-5</v>
      </c>
      <c r="N58" s="25">
        <v>2.1829999999999997E-6</v>
      </c>
    </row>
    <row r="59" spans="2:14" x14ac:dyDescent="0.25">
      <c r="B59" s="23">
        <v>139</v>
      </c>
      <c r="C59" s="23" t="s">
        <v>49</v>
      </c>
      <c r="D59" s="23" t="s">
        <v>65</v>
      </c>
      <c r="E59" s="23">
        <v>1</v>
      </c>
      <c r="F59" s="23">
        <v>5.2110000000000004E-2</v>
      </c>
      <c r="G59" s="25">
        <v>1.1259999999999999E-6</v>
      </c>
      <c r="H59" s="25">
        <v>1.1519999999999999E-6</v>
      </c>
      <c r="I59" s="25">
        <v>1.1839999999999999</v>
      </c>
      <c r="J59" s="25">
        <v>1.1839999999999999</v>
      </c>
      <c r="K59" s="25">
        <v>0.37933</v>
      </c>
      <c r="L59" s="25">
        <v>2.149</v>
      </c>
      <c r="M59" s="25">
        <v>4.3339999999999995E-6</v>
      </c>
      <c r="N59" s="25">
        <v>7.6779999999999998E-7</v>
      </c>
    </row>
    <row r="60" spans="2:14" x14ac:dyDescent="0.25">
      <c r="B60" s="23">
        <v>140</v>
      </c>
      <c r="C60" s="23" t="s">
        <v>49</v>
      </c>
      <c r="D60" s="23" t="s">
        <v>65</v>
      </c>
      <c r="E60" s="23">
        <v>1</v>
      </c>
      <c r="F60" s="23">
        <v>4.965E-2</v>
      </c>
      <c r="G60" s="25">
        <v>1.102E-6</v>
      </c>
      <c r="H60" s="25">
        <v>4.5199999999999991E-6</v>
      </c>
      <c r="I60" s="25">
        <v>1.1850000000000001</v>
      </c>
      <c r="J60" s="25">
        <v>1.1850000000000001</v>
      </c>
      <c r="K60" s="25">
        <v>0.39817000000000002</v>
      </c>
      <c r="L60" s="25">
        <v>2.153</v>
      </c>
      <c r="M60" s="25">
        <v>1.552E-5</v>
      </c>
      <c r="N60" s="25">
        <v>7.7000000000000004E-7</v>
      </c>
    </row>
    <row r="61" spans="2:14" x14ac:dyDescent="0.25">
      <c r="B61" s="23">
        <v>145</v>
      </c>
      <c r="C61" s="23" t="s">
        <v>49</v>
      </c>
      <c r="D61" s="23" t="s">
        <v>65</v>
      </c>
      <c r="E61" s="23">
        <v>1</v>
      </c>
      <c r="F61" s="23">
        <v>5.1409999999999997E-2</v>
      </c>
      <c r="G61" s="25">
        <v>1.9649999999999998E-6</v>
      </c>
      <c r="H61" s="25">
        <v>9.3910000000000004E-7</v>
      </c>
      <c r="I61" s="25">
        <v>1.3180000000000001</v>
      </c>
      <c r="J61" s="25">
        <v>1.3180000000000001</v>
      </c>
      <c r="K61" s="25">
        <v>0.38474999999999998</v>
      </c>
      <c r="L61" s="25">
        <v>2.3660000000000001</v>
      </c>
      <c r="M61" s="25">
        <v>4.9029999999999995E-6</v>
      </c>
      <c r="N61" s="25">
        <v>1.0580000000000001E-6</v>
      </c>
    </row>
    <row r="62" spans="2:14" x14ac:dyDescent="0.25">
      <c r="B62" s="23">
        <v>156</v>
      </c>
      <c r="C62" s="23" t="s">
        <v>49</v>
      </c>
      <c r="D62" s="23" t="s">
        <v>65</v>
      </c>
      <c r="E62" s="23">
        <v>1</v>
      </c>
      <c r="F62" s="23">
        <v>5.1639999999999998E-2</v>
      </c>
      <c r="G62" s="25">
        <v>2.3119999999999996E-6</v>
      </c>
      <c r="H62" s="25">
        <v>2.091E-6</v>
      </c>
      <c r="I62" s="25">
        <v>1.2729999999999999</v>
      </c>
      <c r="J62" s="25">
        <v>1.2729999999999999</v>
      </c>
      <c r="K62" s="25">
        <v>0.38505</v>
      </c>
      <c r="L62" s="25">
        <v>2.2530000000000001</v>
      </c>
      <c r="M62" s="25">
        <v>1.0789999999999998E-5</v>
      </c>
      <c r="N62" s="25">
        <v>1.2419999999999999E-6</v>
      </c>
    </row>
    <row r="63" spans="2:14" x14ac:dyDescent="0.25">
      <c r="B63" s="23">
        <v>170</v>
      </c>
      <c r="C63" s="23" t="s">
        <v>49</v>
      </c>
      <c r="D63" s="23" t="s">
        <v>65</v>
      </c>
      <c r="E63" s="23">
        <v>1</v>
      </c>
      <c r="F63" s="23">
        <v>5.2360000000000004E-2</v>
      </c>
      <c r="G63" s="25">
        <v>3.5619999999999995E-6</v>
      </c>
      <c r="H63" s="25">
        <v>1.3369999999999999E-6</v>
      </c>
      <c r="I63" s="25">
        <v>1.577</v>
      </c>
      <c r="J63" s="25">
        <v>1.577</v>
      </c>
      <c r="K63" s="25">
        <v>0.37726999999999999</v>
      </c>
      <c r="L63" s="25">
        <v>2.5310000000000001</v>
      </c>
      <c r="M63" s="25">
        <v>1.1210000000000001E-5</v>
      </c>
      <c r="N63" s="25">
        <v>1.8129999999999998E-6</v>
      </c>
    </row>
    <row r="64" spans="2:14" x14ac:dyDescent="0.25">
      <c r="B64" s="23">
        <v>172</v>
      </c>
      <c r="C64" s="23" t="s">
        <v>49</v>
      </c>
      <c r="D64" s="23" t="s">
        <v>65</v>
      </c>
      <c r="E64" s="23">
        <v>1</v>
      </c>
      <c r="F64" s="23">
        <v>4.9890000000000004E-2</v>
      </c>
      <c r="G64" s="25">
        <v>1.316E-6</v>
      </c>
      <c r="H64" s="25">
        <v>4.2230000000000001E-6</v>
      </c>
      <c r="I64" s="25">
        <v>1.2030000000000001</v>
      </c>
      <c r="J64" s="25">
        <v>1.2030000000000001</v>
      </c>
      <c r="K64" s="25">
        <v>0.39871000000000001</v>
      </c>
      <c r="L64" s="25">
        <v>2.1739999999999999</v>
      </c>
      <c r="M64" s="25">
        <v>1.5529999999999999E-5</v>
      </c>
      <c r="N64" s="25">
        <v>8.4389999999999998E-7</v>
      </c>
    </row>
    <row r="65" spans="2:14" x14ac:dyDescent="0.25">
      <c r="B65" s="23">
        <v>174</v>
      </c>
      <c r="C65" s="23" t="s">
        <v>49</v>
      </c>
      <c r="D65" s="23" t="s">
        <v>65</v>
      </c>
      <c r="E65" s="23">
        <v>1</v>
      </c>
      <c r="F65" s="23">
        <v>5.1979999999999998E-2</v>
      </c>
      <c r="G65" s="25">
        <v>7.0380000000000004E-7</v>
      </c>
      <c r="H65" s="25">
        <v>1.3969999999999999E-6</v>
      </c>
      <c r="I65" s="25">
        <v>1.214</v>
      </c>
      <c r="J65" s="25">
        <v>1.214</v>
      </c>
      <c r="K65" s="25">
        <v>0.38519999999999999</v>
      </c>
      <c r="L65" s="25">
        <v>2.2189999999999999</v>
      </c>
      <c r="M65" s="25">
        <v>4.5439999999999992E-6</v>
      </c>
      <c r="N65" s="25">
        <v>4.5630000000000003E-7</v>
      </c>
    </row>
    <row r="66" spans="2:14" x14ac:dyDescent="0.25">
      <c r="B66" s="23">
        <v>179</v>
      </c>
      <c r="C66" s="23" t="s">
        <v>49</v>
      </c>
      <c r="D66" s="23" t="s">
        <v>65</v>
      </c>
      <c r="E66" s="23">
        <v>1</v>
      </c>
      <c r="F66" s="23">
        <v>4.8960000000000004E-2</v>
      </c>
      <c r="G66" s="25">
        <v>1.116E-6</v>
      </c>
      <c r="H66" s="25">
        <v>3.579E-6</v>
      </c>
      <c r="I66" s="25">
        <v>1.129</v>
      </c>
      <c r="J66" s="25">
        <v>1.129</v>
      </c>
      <c r="K66" s="25">
        <v>0.40748000000000001</v>
      </c>
      <c r="L66" s="25">
        <v>2.1019999999999999</v>
      </c>
      <c r="M66" s="25">
        <v>1.0849999999999999E-5</v>
      </c>
      <c r="N66" s="25">
        <v>6.6470000000000007E-7</v>
      </c>
    </row>
    <row r="67" spans="2:14" x14ac:dyDescent="0.25">
      <c r="B67" s="23">
        <v>191</v>
      </c>
      <c r="C67" s="23" t="s">
        <v>49</v>
      </c>
      <c r="D67" s="23" t="s">
        <v>65</v>
      </c>
      <c r="E67" s="23">
        <v>1</v>
      </c>
      <c r="F67" s="23">
        <v>4.8689999999999997E-2</v>
      </c>
      <c r="G67" s="25">
        <v>1.3549999999999999E-6</v>
      </c>
      <c r="H67" s="25">
        <v>1.159E-6</v>
      </c>
      <c r="I67" s="25">
        <v>1.262</v>
      </c>
      <c r="J67" s="25">
        <v>1.262</v>
      </c>
      <c r="K67" s="25">
        <v>0.40649000000000002</v>
      </c>
      <c r="L67" s="25">
        <v>2.2909999999999999</v>
      </c>
      <c r="M67" s="25">
        <v>5.4E-6</v>
      </c>
      <c r="N67" s="25">
        <v>6.6290000000000004E-7</v>
      </c>
    </row>
    <row r="68" spans="2:14" x14ac:dyDescent="0.25">
      <c r="B68" s="23">
        <v>192</v>
      </c>
      <c r="C68" s="23" t="s">
        <v>49</v>
      </c>
      <c r="D68" s="23" t="s">
        <v>65</v>
      </c>
      <c r="E68" s="23">
        <v>1</v>
      </c>
      <c r="F68" s="23">
        <v>4.7729999999999995E-2</v>
      </c>
      <c r="G68" s="25">
        <v>1.5529999999999998E-6</v>
      </c>
      <c r="H68" s="25">
        <v>2.2519999999999998E-6</v>
      </c>
      <c r="I68" s="25">
        <v>1.6879999999999999</v>
      </c>
      <c r="J68" s="25">
        <v>1.6879999999999999</v>
      </c>
      <c r="K68" s="25">
        <v>0.42288999999999999</v>
      </c>
      <c r="L68" s="25">
        <v>2.6779999999999999</v>
      </c>
      <c r="M68" s="25">
        <v>1.3949999999999999E-5</v>
      </c>
      <c r="N68" s="25">
        <v>1.0009999999999998E-6</v>
      </c>
    </row>
    <row r="69" spans="2:14" x14ac:dyDescent="0.25">
      <c r="B69" s="23">
        <v>196</v>
      </c>
      <c r="C69" s="23" t="s">
        <v>49</v>
      </c>
      <c r="D69" s="23" t="s">
        <v>65</v>
      </c>
      <c r="E69" s="23">
        <v>1</v>
      </c>
      <c r="F69" s="23">
        <v>5.0509999999999999E-2</v>
      </c>
      <c r="G69" s="25">
        <v>8.4490000000000005E-7</v>
      </c>
      <c r="H69" s="25">
        <v>3.9399999999999995E-6</v>
      </c>
      <c r="I69" s="25">
        <v>1.0609999999999999</v>
      </c>
      <c r="J69" s="25">
        <v>1.0609999999999999</v>
      </c>
      <c r="K69" s="25">
        <v>0.39627000000000001</v>
      </c>
      <c r="L69" s="25">
        <v>1.9890000000000001</v>
      </c>
      <c r="M69" s="25">
        <v>1.006E-5</v>
      </c>
      <c r="N69" s="25">
        <v>5.4730000000000004E-7</v>
      </c>
    </row>
    <row r="70" spans="2:14" x14ac:dyDescent="0.25">
      <c r="B70" s="23">
        <v>198</v>
      </c>
      <c r="C70" s="23" t="s">
        <v>49</v>
      </c>
      <c r="D70" s="23" t="s">
        <v>65</v>
      </c>
      <c r="E70" s="23">
        <v>1</v>
      </c>
      <c r="F70" s="23">
        <v>4.5920000000000002E-2</v>
      </c>
      <c r="G70" s="25">
        <v>9.5890000000000004E-7</v>
      </c>
      <c r="H70" s="25">
        <v>3.0169999999999997E-6</v>
      </c>
      <c r="I70" s="25">
        <v>1.194</v>
      </c>
      <c r="J70" s="25">
        <v>1.194</v>
      </c>
      <c r="K70" s="25">
        <v>0.42869000000000002</v>
      </c>
      <c r="L70" s="25">
        <v>2.1880000000000002</v>
      </c>
      <c r="M70" s="25">
        <v>1.01E-5</v>
      </c>
      <c r="N70" s="25">
        <v>5.6179999999999996E-7</v>
      </c>
    </row>
    <row r="71" spans="2:14" x14ac:dyDescent="0.25">
      <c r="B71" s="23">
        <v>204</v>
      </c>
      <c r="C71" s="23" t="s">
        <v>49</v>
      </c>
      <c r="D71" s="23" t="s">
        <v>65</v>
      </c>
      <c r="E71" s="23">
        <v>1</v>
      </c>
      <c r="F71" s="23">
        <v>5.1040000000000002E-2</v>
      </c>
      <c r="G71" s="25">
        <v>1.576E-6</v>
      </c>
      <c r="H71" s="25">
        <v>1.054E-6</v>
      </c>
      <c r="I71" s="25">
        <v>1.325</v>
      </c>
      <c r="J71" s="25">
        <v>1.325</v>
      </c>
      <c r="K71" s="25">
        <v>0.38551000000000002</v>
      </c>
      <c r="L71" s="25">
        <v>2.3610000000000002</v>
      </c>
      <c r="M71" s="25">
        <v>5.426999999999999E-6</v>
      </c>
      <c r="N71" s="25">
        <v>8.3350000000000005E-7</v>
      </c>
    </row>
    <row r="72" spans="2:14" x14ac:dyDescent="0.25">
      <c r="B72" s="23">
        <v>207</v>
      </c>
      <c r="C72" s="23" t="s">
        <v>49</v>
      </c>
      <c r="D72" s="23" t="s">
        <v>65</v>
      </c>
      <c r="E72" s="23">
        <v>1</v>
      </c>
      <c r="F72" s="23">
        <v>5.3969999999999997E-2</v>
      </c>
      <c r="G72" s="25">
        <v>1.916E-6</v>
      </c>
      <c r="H72" s="25">
        <v>1.7459999999999999E-6</v>
      </c>
      <c r="I72" s="25">
        <v>1.1359999999999999</v>
      </c>
      <c r="J72" s="25">
        <v>1.1359999999999999</v>
      </c>
      <c r="K72" s="25">
        <v>0.36688999999999999</v>
      </c>
      <c r="L72" s="25">
        <v>2.0920000000000001</v>
      </c>
      <c r="M72" s="25">
        <v>8.4149999999999982E-6</v>
      </c>
      <c r="N72" s="25">
        <v>1.1310000000000001E-6</v>
      </c>
    </row>
    <row r="73" spans="2:14" x14ac:dyDescent="0.25">
      <c r="B73" s="23">
        <v>212</v>
      </c>
      <c r="C73" s="23" t="s">
        <v>49</v>
      </c>
      <c r="D73" s="23" t="s">
        <v>65</v>
      </c>
      <c r="E73" s="23">
        <v>1</v>
      </c>
      <c r="F73" s="23">
        <v>5.1950000000000003E-2</v>
      </c>
      <c r="G73" s="25">
        <v>1.4659999999999998E-6</v>
      </c>
      <c r="H73" s="25">
        <v>1.0380000000000001E-6</v>
      </c>
      <c r="I73" s="25">
        <v>1.331</v>
      </c>
      <c r="J73" s="25">
        <v>1.331</v>
      </c>
      <c r="K73" s="25">
        <v>0.38214999999999999</v>
      </c>
      <c r="L73" s="25">
        <v>2.3719999999999999</v>
      </c>
      <c r="M73" s="25">
        <v>5.4020000000000001E-6</v>
      </c>
      <c r="N73" s="25">
        <v>9.0590000000000008E-7</v>
      </c>
    </row>
    <row r="74" spans="2:14" x14ac:dyDescent="0.25">
      <c r="B74" s="23">
        <v>217</v>
      </c>
      <c r="C74" s="23" t="s">
        <v>49</v>
      </c>
      <c r="D74" s="23" t="s">
        <v>65</v>
      </c>
      <c r="E74" s="23">
        <v>1</v>
      </c>
      <c r="F74" s="23">
        <v>5.2909999999999999E-2</v>
      </c>
      <c r="G74" s="25">
        <v>2.5889999999999997E-6</v>
      </c>
      <c r="H74" s="25">
        <v>1.1990000000000001E-6</v>
      </c>
      <c r="I74" s="25">
        <v>1.3380000000000001</v>
      </c>
      <c r="J74" s="25">
        <v>1.3380000000000001</v>
      </c>
      <c r="K74" s="25">
        <v>0.37498000000000004</v>
      </c>
      <c r="L74" s="25">
        <v>2.3330000000000002</v>
      </c>
      <c r="M74" s="25">
        <v>7.0480000000000001E-6</v>
      </c>
      <c r="N74" s="25">
        <v>1.6319999999999998E-6</v>
      </c>
    </row>
    <row r="75" spans="2:14" x14ac:dyDescent="0.25">
      <c r="B75" s="23">
        <v>219</v>
      </c>
      <c r="C75" s="23" t="s">
        <v>49</v>
      </c>
      <c r="D75" s="23" t="s">
        <v>65</v>
      </c>
      <c r="E75" s="23">
        <v>1</v>
      </c>
      <c r="F75" s="23">
        <v>4.8590000000000001E-2</v>
      </c>
      <c r="G75" s="25">
        <v>1.0289999999999998E-6</v>
      </c>
      <c r="H75" s="25">
        <v>3.2389999999999998E-6</v>
      </c>
      <c r="I75" s="25">
        <v>1.1479999999999999</v>
      </c>
      <c r="J75" s="25">
        <v>1.1479999999999999</v>
      </c>
      <c r="K75" s="25">
        <v>0.40748000000000001</v>
      </c>
      <c r="L75" s="25">
        <v>2.125</v>
      </c>
      <c r="M75" s="25">
        <v>7.9559999999999997E-6</v>
      </c>
      <c r="N75" s="25">
        <v>5.6889999999999997E-7</v>
      </c>
    </row>
    <row r="76" spans="2:14" x14ac:dyDescent="0.25">
      <c r="B76" s="23">
        <v>221</v>
      </c>
      <c r="C76" s="23" t="s">
        <v>49</v>
      </c>
      <c r="D76" s="23" t="s">
        <v>65</v>
      </c>
      <c r="E76" s="23">
        <v>1</v>
      </c>
      <c r="F76" s="23">
        <v>5.2409999999999998E-2</v>
      </c>
      <c r="G76" s="25">
        <v>3.3229999999999998E-6</v>
      </c>
      <c r="H76" s="25">
        <v>9.3640000000000005E-7</v>
      </c>
      <c r="I76" s="25">
        <v>1.665</v>
      </c>
      <c r="J76" s="25">
        <v>1.665</v>
      </c>
      <c r="K76" s="25">
        <v>0.37780000000000002</v>
      </c>
      <c r="L76" s="25">
        <v>2.6219999999999999</v>
      </c>
      <c r="M76" s="25">
        <v>7.2529999999999998E-6</v>
      </c>
      <c r="N76" s="25">
        <v>1.9429999999999999E-6</v>
      </c>
    </row>
    <row r="77" spans="2:14" x14ac:dyDescent="0.25">
      <c r="B77" s="23">
        <v>223</v>
      </c>
      <c r="C77" s="23" t="s">
        <v>49</v>
      </c>
      <c r="D77" s="23" t="s">
        <v>65</v>
      </c>
      <c r="E77" s="23">
        <v>1</v>
      </c>
      <c r="F77" s="23">
        <v>5.253E-2</v>
      </c>
      <c r="G77" s="25">
        <v>2.8459999999999999E-6</v>
      </c>
      <c r="H77" s="25">
        <v>1.7789999999999998E-6</v>
      </c>
      <c r="I77" s="25">
        <v>1.17</v>
      </c>
      <c r="J77" s="25">
        <v>1.17</v>
      </c>
      <c r="K77" s="25">
        <v>0.37422000000000005</v>
      </c>
      <c r="L77" s="25">
        <v>2.145</v>
      </c>
      <c r="M77" s="25">
        <v>1.1939999999999999E-5</v>
      </c>
      <c r="N77" s="25">
        <v>1.871E-6</v>
      </c>
    </row>
    <row r="78" spans="2:14" x14ac:dyDescent="0.25">
      <c r="B78" s="23">
        <v>225</v>
      </c>
      <c r="C78" s="23" t="s">
        <v>49</v>
      </c>
      <c r="D78" s="23" t="s">
        <v>65</v>
      </c>
      <c r="E78" s="23">
        <v>1</v>
      </c>
      <c r="F78" s="23">
        <v>4.9130000000000007E-2</v>
      </c>
      <c r="G78" s="25">
        <v>1.1120000000000001E-6</v>
      </c>
      <c r="H78" s="25">
        <v>4.3239999999999996E-6</v>
      </c>
      <c r="I78" s="25">
        <v>1.1910000000000001</v>
      </c>
      <c r="J78" s="25">
        <v>1.1910000000000001</v>
      </c>
      <c r="K78" s="25">
        <v>0.4113</v>
      </c>
      <c r="L78" s="25">
        <v>2.1760000000000002</v>
      </c>
      <c r="M78" s="25">
        <v>1.5019999999999998E-5</v>
      </c>
      <c r="N78" s="25">
        <v>6.9589999999999998E-7</v>
      </c>
    </row>
    <row r="79" spans="2:14" x14ac:dyDescent="0.25">
      <c r="B79" s="23">
        <v>226</v>
      </c>
      <c r="C79" s="23" t="s">
        <v>49</v>
      </c>
      <c r="D79" s="23" t="s">
        <v>65</v>
      </c>
      <c r="E79" s="23">
        <v>1</v>
      </c>
      <c r="F79" s="23">
        <v>4.8960000000000004E-2</v>
      </c>
      <c r="G79" s="25">
        <v>1.232E-6</v>
      </c>
      <c r="H79" s="25">
        <v>3.3919999999999999E-6</v>
      </c>
      <c r="I79" s="25">
        <v>1.26</v>
      </c>
      <c r="J79" s="25">
        <v>1.26</v>
      </c>
      <c r="K79" s="25">
        <v>0.40839999999999999</v>
      </c>
      <c r="L79" s="25">
        <v>2.2650000000000001</v>
      </c>
      <c r="M79" s="25">
        <v>1.198E-5</v>
      </c>
      <c r="N79" s="25">
        <v>6.5840000000000002E-7</v>
      </c>
    </row>
    <row r="80" spans="2:14" x14ac:dyDescent="0.25">
      <c r="B80" s="23">
        <v>237</v>
      </c>
      <c r="C80" s="23" t="s">
        <v>49</v>
      </c>
      <c r="D80" s="23" t="s">
        <v>65</v>
      </c>
      <c r="E80" s="23">
        <v>1</v>
      </c>
      <c r="F80" s="23">
        <v>5.0290000000000001E-2</v>
      </c>
      <c r="G80" s="25">
        <v>2.1090000000000001E-6</v>
      </c>
      <c r="H80" s="25">
        <v>3.8299999999999998E-6</v>
      </c>
      <c r="I80" s="25">
        <v>1.224</v>
      </c>
      <c r="J80" s="25">
        <v>1.224</v>
      </c>
      <c r="K80" s="25">
        <v>0.39107999999999998</v>
      </c>
      <c r="L80" s="25">
        <v>2.2029999999999998</v>
      </c>
      <c r="M80" s="25">
        <v>1.521E-5</v>
      </c>
      <c r="N80" s="25">
        <v>1.2869999999999999E-6</v>
      </c>
    </row>
    <row r="81" spans="2:14" x14ac:dyDescent="0.25">
      <c r="B81" s="23">
        <v>241</v>
      </c>
      <c r="C81" s="23" t="s">
        <v>49</v>
      </c>
      <c r="D81" s="23" t="s">
        <v>65</v>
      </c>
      <c r="E81" s="23">
        <v>1</v>
      </c>
      <c r="F81" s="23">
        <v>5.0720000000000001E-2</v>
      </c>
      <c r="G81" s="25">
        <v>1.9400000000000001E-6</v>
      </c>
      <c r="H81" s="25">
        <v>3.2269999999999998E-6</v>
      </c>
      <c r="I81" s="25">
        <v>1.1240000000000001</v>
      </c>
      <c r="J81" s="25">
        <v>1.1240000000000001</v>
      </c>
      <c r="K81" s="25">
        <v>0.39566000000000001</v>
      </c>
      <c r="L81" s="25">
        <v>2.0840000000000001</v>
      </c>
      <c r="M81" s="25">
        <v>8.1820000000000006E-6</v>
      </c>
      <c r="N81" s="25">
        <v>1.2109999999999999E-6</v>
      </c>
    </row>
    <row r="82" spans="2:14" x14ac:dyDescent="0.25">
      <c r="B82" s="23">
        <v>242</v>
      </c>
      <c r="C82" s="23" t="s">
        <v>49</v>
      </c>
      <c r="D82" s="23" t="s">
        <v>65</v>
      </c>
      <c r="E82" s="23">
        <v>1</v>
      </c>
      <c r="F82" s="23">
        <v>5.2470000000000003E-2</v>
      </c>
      <c r="G82" s="25">
        <v>3.3549999999999996E-6</v>
      </c>
      <c r="H82" s="25">
        <v>1.8209999999999998E-6</v>
      </c>
      <c r="I82" s="25">
        <v>1.2210000000000001</v>
      </c>
      <c r="J82" s="25">
        <v>1.2210000000000001</v>
      </c>
      <c r="K82" s="25">
        <v>0.37337999999999999</v>
      </c>
      <c r="L82" s="25">
        <v>2.222</v>
      </c>
      <c r="M82" s="25">
        <v>1.288E-5</v>
      </c>
      <c r="N82" s="25">
        <v>2.2009999999999998E-6</v>
      </c>
    </row>
    <row r="83" spans="2:14" x14ac:dyDescent="0.25">
      <c r="B83" s="23">
        <v>243</v>
      </c>
      <c r="C83" s="23" t="s">
        <v>49</v>
      </c>
      <c r="D83" s="23" t="s">
        <v>65</v>
      </c>
      <c r="E83" s="23">
        <v>1</v>
      </c>
      <c r="F83" s="23">
        <v>5.0119999999999998E-2</v>
      </c>
      <c r="G83" s="25">
        <v>1.0489999999999998E-6</v>
      </c>
      <c r="H83" s="25">
        <v>1.7039999999999999E-6</v>
      </c>
      <c r="I83" s="25">
        <v>1.1379999999999999</v>
      </c>
      <c r="J83" s="25">
        <v>1.1379999999999999</v>
      </c>
      <c r="K83" s="25">
        <v>0.39604</v>
      </c>
      <c r="L83" s="25">
        <v>2.1110000000000002</v>
      </c>
      <c r="M83" s="25">
        <v>4.6779999999999999E-6</v>
      </c>
      <c r="N83" s="25">
        <v>6.4329999999999994E-7</v>
      </c>
    </row>
    <row r="84" spans="2:14" x14ac:dyDescent="0.25">
      <c r="B84" s="23">
        <v>244</v>
      </c>
      <c r="C84" s="23" t="s">
        <v>49</v>
      </c>
      <c r="D84" s="23" t="s">
        <v>65</v>
      </c>
      <c r="E84" s="23">
        <v>1</v>
      </c>
      <c r="F84" s="23">
        <v>5.1619999999999999E-2</v>
      </c>
      <c r="G84" s="25">
        <v>2.0559999999999999E-6</v>
      </c>
      <c r="H84" s="25">
        <v>1.254E-6</v>
      </c>
      <c r="I84" s="25">
        <v>1.3260000000000001</v>
      </c>
      <c r="J84" s="25">
        <v>1.3260000000000001</v>
      </c>
      <c r="K84" s="25">
        <v>0.38131000000000004</v>
      </c>
      <c r="L84" s="25">
        <v>2.367</v>
      </c>
      <c r="M84" s="25">
        <v>6.7249999999999991E-6</v>
      </c>
      <c r="N84" s="25">
        <v>1.2379999999999998E-6</v>
      </c>
    </row>
    <row r="85" spans="2:14" x14ac:dyDescent="0.25">
      <c r="B85" s="23">
        <v>246</v>
      </c>
      <c r="C85" s="23" t="s">
        <v>49</v>
      </c>
      <c r="D85" s="23" t="s">
        <v>65</v>
      </c>
      <c r="E85" s="23">
        <v>1</v>
      </c>
      <c r="F85" s="23">
        <v>4.9729999999999996E-2</v>
      </c>
      <c r="G85" s="25">
        <v>7.0250000000000005E-7</v>
      </c>
      <c r="H85" s="25">
        <v>1.1240000000000002E-6</v>
      </c>
      <c r="I85" s="25">
        <v>1.2430000000000001</v>
      </c>
      <c r="J85" s="25">
        <v>1.2430000000000001</v>
      </c>
      <c r="K85" s="25">
        <v>0.39595999999999998</v>
      </c>
      <c r="L85" s="25">
        <v>2.2669999999999999</v>
      </c>
      <c r="M85" s="25">
        <v>4.2320000000000003E-6</v>
      </c>
      <c r="N85" s="25">
        <v>4.6989999999999999E-7</v>
      </c>
    </row>
    <row r="86" spans="2:14" x14ac:dyDescent="0.25">
      <c r="B86" s="23">
        <v>248</v>
      </c>
      <c r="C86" s="23" t="s">
        <v>49</v>
      </c>
      <c r="D86" s="23" t="s">
        <v>65</v>
      </c>
      <c r="E86" s="23">
        <v>1</v>
      </c>
      <c r="F86" s="23">
        <v>5.0810000000000001E-2</v>
      </c>
      <c r="G86" s="25">
        <v>1.669E-6</v>
      </c>
      <c r="H86" s="25">
        <v>2.6299999999999998E-6</v>
      </c>
      <c r="I86" s="25">
        <v>1.5960000000000001</v>
      </c>
      <c r="J86" s="25">
        <v>1.5960000000000001</v>
      </c>
      <c r="K86" s="25">
        <v>0.39633999999999997</v>
      </c>
      <c r="L86" s="25">
        <v>2.5419999999999998</v>
      </c>
      <c r="M86" s="25">
        <v>1.472E-5</v>
      </c>
      <c r="N86" s="25">
        <v>1.116E-6</v>
      </c>
    </row>
    <row r="87" spans="2:14" x14ac:dyDescent="0.25">
      <c r="B87" s="23">
        <v>251</v>
      </c>
      <c r="C87" s="23" t="s">
        <v>49</v>
      </c>
      <c r="D87" s="23" t="s">
        <v>65</v>
      </c>
      <c r="E87" s="23">
        <v>1</v>
      </c>
      <c r="F87" s="23">
        <v>5.5399999999999998E-2</v>
      </c>
      <c r="G87" s="25">
        <v>2.9380000000000001E-6</v>
      </c>
      <c r="H87" s="25">
        <v>1.6619999999999999E-6</v>
      </c>
      <c r="I87" s="25">
        <v>1.161</v>
      </c>
      <c r="J87" s="25">
        <v>1.161</v>
      </c>
      <c r="K87" s="25">
        <v>0.35658999999999996</v>
      </c>
      <c r="L87" s="25">
        <v>2.1360000000000001</v>
      </c>
      <c r="M87" s="25">
        <v>1.2319999999999999E-5</v>
      </c>
      <c r="N87" s="25">
        <v>1.6459999999999998E-6</v>
      </c>
    </row>
    <row r="88" spans="2:14" x14ac:dyDescent="0.25">
      <c r="B88" s="23">
        <v>252</v>
      </c>
      <c r="C88" s="23" t="s">
        <v>49</v>
      </c>
      <c r="D88" s="23" t="s">
        <v>65</v>
      </c>
      <c r="E88" s="23">
        <v>1</v>
      </c>
      <c r="F88" s="23">
        <v>4.8890000000000003E-2</v>
      </c>
      <c r="G88" s="25">
        <v>1.0209999999999998E-6</v>
      </c>
      <c r="H88" s="25">
        <v>4.0010000000000003E-6</v>
      </c>
      <c r="I88" s="25">
        <v>1.129</v>
      </c>
      <c r="J88" s="25">
        <v>1.129</v>
      </c>
      <c r="K88" s="25">
        <v>0.40603</v>
      </c>
      <c r="L88" s="25">
        <v>2.093</v>
      </c>
      <c r="M88" s="25">
        <v>1.119E-5</v>
      </c>
      <c r="N88" s="25">
        <v>5.947000000000001E-7</v>
      </c>
    </row>
    <row r="89" spans="2:14" x14ac:dyDescent="0.25">
      <c r="B89" s="23">
        <v>253</v>
      </c>
      <c r="C89" s="23" t="s">
        <v>49</v>
      </c>
      <c r="D89" s="23" t="s">
        <v>65</v>
      </c>
      <c r="E89" s="23">
        <v>1</v>
      </c>
      <c r="F89" s="23">
        <v>5.2020000000000004E-2</v>
      </c>
      <c r="G89" s="25">
        <v>8.0179999999999999E-7</v>
      </c>
      <c r="H89" s="25">
        <v>2.7999999999999999E-6</v>
      </c>
      <c r="I89" s="25">
        <v>1.093</v>
      </c>
      <c r="J89" s="25">
        <v>1.093</v>
      </c>
      <c r="K89" s="25">
        <v>0.37841000000000002</v>
      </c>
      <c r="L89" s="25">
        <v>2.0339999999999998</v>
      </c>
      <c r="M89" s="25">
        <v>6.8759999999999999E-6</v>
      </c>
      <c r="N89" s="25">
        <v>5.4350000000000007E-7</v>
      </c>
    </row>
    <row r="90" spans="2:14" x14ac:dyDescent="0.25">
      <c r="B90" s="23">
        <v>254</v>
      </c>
      <c r="C90" s="23" t="s">
        <v>49</v>
      </c>
      <c r="D90" s="23" t="s">
        <v>65</v>
      </c>
      <c r="E90" s="23">
        <v>1</v>
      </c>
      <c r="F90" s="23">
        <v>4.9030000000000004E-2</v>
      </c>
      <c r="G90" s="25">
        <v>1.2759999999999999E-6</v>
      </c>
      <c r="H90" s="25">
        <v>3.0149999999999999E-6</v>
      </c>
      <c r="I90" s="25">
        <v>1.1930000000000001</v>
      </c>
      <c r="J90" s="25">
        <v>1.1930000000000001</v>
      </c>
      <c r="K90" s="25">
        <v>0.40298</v>
      </c>
      <c r="L90" s="25">
        <v>2.1800000000000002</v>
      </c>
      <c r="M90" s="25">
        <v>1.0599999999999998E-5</v>
      </c>
      <c r="N90" s="25">
        <v>7.1360000000000004E-7</v>
      </c>
    </row>
    <row r="91" spans="2:14" x14ac:dyDescent="0.25">
      <c r="B91" s="23">
        <v>255</v>
      </c>
      <c r="C91" s="23" t="s">
        <v>49</v>
      </c>
      <c r="D91" s="23" t="s">
        <v>65</v>
      </c>
      <c r="E91" s="23">
        <v>1</v>
      </c>
      <c r="F91" s="23">
        <v>5.2429999999999997E-2</v>
      </c>
      <c r="G91" s="25">
        <v>3.4709999999999999E-6</v>
      </c>
      <c r="H91" s="25">
        <v>1.4019999999999999E-6</v>
      </c>
      <c r="I91" s="25">
        <v>1.3420000000000001</v>
      </c>
      <c r="J91" s="25">
        <v>1.3420000000000001</v>
      </c>
      <c r="K91" s="25">
        <v>0.37734000000000001</v>
      </c>
      <c r="L91" s="25">
        <v>2.34</v>
      </c>
      <c r="M91" s="25">
        <v>1.022E-5</v>
      </c>
      <c r="N91" s="25">
        <v>1.84E-6</v>
      </c>
    </row>
    <row r="92" spans="2:14" x14ac:dyDescent="0.25">
      <c r="B92" s="23">
        <v>256</v>
      </c>
      <c r="C92" s="23" t="s">
        <v>49</v>
      </c>
      <c r="D92" s="23" t="s">
        <v>65</v>
      </c>
      <c r="E92" s="23">
        <v>1</v>
      </c>
      <c r="F92" s="23">
        <v>5.1220000000000002E-2</v>
      </c>
      <c r="G92" s="25">
        <v>2.7039999999999999E-6</v>
      </c>
      <c r="H92" s="25">
        <v>1.1299999999999998E-6</v>
      </c>
      <c r="I92" s="25">
        <v>1.677</v>
      </c>
      <c r="J92" s="25">
        <v>1.677</v>
      </c>
      <c r="K92" s="25">
        <v>0.38635000000000003</v>
      </c>
      <c r="L92" s="25">
        <v>2.6389999999999998</v>
      </c>
      <c r="M92" s="25">
        <v>8.317999999999999E-6</v>
      </c>
      <c r="N92" s="25">
        <v>1.5069999999999999E-6</v>
      </c>
    </row>
    <row r="93" spans="2:14" x14ac:dyDescent="0.25">
      <c r="B93" s="23">
        <v>257</v>
      </c>
      <c r="C93" s="23" t="s">
        <v>49</v>
      </c>
      <c r="D93" s="23" t="s">
        <v>65</v>
      </c>
      <c r="E93" s="23">
        <v>1</v>
      </c>
      <c r="F93" s="23">
        <v>4.9640000000000004E-2</v>
      </c>
      <c r="G93" s="25">
        <v>8.8700000000000004E-7</v>
      </c>
      <c r="H93" s="25">
        <v>3.4399999999999997E-6</v>
      </c>
      <c r="I93" s="25">
        <v>1.119</v>
      </c>
      <c r="J93" s="25">
        <v>1.119</v>
      </c>
      <c r="K93" s="25">
        <v>0.40656999999999999</v>
      </c>
      <c r="L93" s="25">
        <v>2.0920000000000001</v>
      </c>
      <c r="M93" s="25">
        <v>8.2219999999999985E-6</v>
      </c>
      <c r="N93" s="25">
        <v>5.0680000000000006E-7</v>
      </c>
    </row>
    <row r="94" spans="2:14" x14ac:dyDescent="0.25">
      <c r="B94" s="23">
        <v>264</v>
      </c>
      <c r="C94" s="23" t="s">
        <v>49</v>
      </c>
      <c r="D94" s="23" t="s">
        <v>65</v>
      </c>
      <c r="E94" s="23">
        <v>1</v>
      </c>
      <c r="F94" s="23">
        <v>5.1520000000000003E-2</v>
      </c>
      <c r="G94" s="25">
        <v>1.252E-6</v>
      </c>
      <c r="H94" s="25">
        <v>1.065E-6</v>
      </c>
      <c r="I94" s="25">
        <v>1.1659999999999999</v>
      </c>
      <c r="J94" s="25">
        <v>1.1659999999999999</v>
      </c>
      <c r="K94" s="25">
        <v>0.38223000000000001</v>
      </c>
      <c r="L94" s="25">
        <v>2.141</v>
      </c>
      <c r="M94" s="25">
        <v>3.6419999999999996E-6</v>
      </c>
      <c r="N94" s="25">
        <v>6.9070000000000012E-7</v>
      </c>
    </row>
    <row r="95" spans="2:14" x14ac:dyDescent="0.25">
      <c r="B95" s="23">
        <v>266</v>
      </c>
      <c r="C95" s="23" t="s">
        <v>49</v>
      </c>
      <c r="D95" s="23" t="s">
        <v>65</v>
      </c>
      <c r="E95" s="23">
        <v>1</v>
      </c>
      <c r="F95" s="23">
        <v>4.9460000000000004E-2</v>
      </c>
      <c r="G95" s="25">
        <v>1.2920000000000001E-6</v>
      </c>
      <c r="H95" s="25">
        <v>4.3369999999999993E-6</v>
      </c>
      <c r="I95" s="25">
        <v>1.214</v>
      </c>
      <c r="J95" s="25">
        <v>1.214</v>
      </c>
      <c r="K95" s="25">
        <v>0.40595999999999999</v>
      </c>
      <c r="L95" s="25">
        <v>2.202</v>
      </c>
      <c r="M95" s="25">
        <v>1.6249999999999999E-5</v>
      </c>
      <c r="N95" s="25">
        <v>7.9290000000000007E-7</v>
      </c>
    </row>
    <row r="96" spans="2:14" x14ac:dyDescent="0.25">
      <c r="B96" s="23">
        <v>269</v>
      </c>
      <c r="C96" s="23" t="s">
        <v>49</v>
      </c>
      <c r="D96" s="23" t="s">
        <v>65</v>
      </c>
      <c r="E96" s="23">
        <v>1</v>
      </c>
      <c r="F96" s="23">
        <v>4.8479999999999995E-2</v>
      </c>
      <c r="G96" s="25">
        <v>9.5180000000000004E-7</v>
      </c>
      <c r="H96" s="25">
        <v>3.8299999999999998E-6</v>
      </c>
      <c r="I96" s="25">
        <v>1.093</v>
      </c>
      <c r="J96" s="25">
        <v>1.093</v>
      </c>
      <c r="K96" s="25">
        <v>0.40518999999999999</v>
      </c>
      <c r="L96" s="25">
        <v>2.052</v>
      </c>
      <c r="M96" s="25">
        <v>1.0179999999999999E-5</v>
      </c>
      <c r="N96" s="25">
        <v>5.2890000000000003E-7</v>
      </c>
    </row>
    <row r="97" spans="2:14" x14ac:dyDescent="0.25">
      <c r="B97" s="23">
        <v>270</v>
      </c>
      <c r="C97" s="23" t="s">
        <v>49</v>
      </c>
      <c r="D97" s="23" t="s">
        <v>65</v>
      </c>
      <c r="E97" s="23">
        <v>1</v>
      </c>
      <c r="F97" s="23">
        <v>5.1490000000000001E-2</v>
      </c>
      <c r="G97" s="25">
        <v>7.6610000000000006E-7</v>
      </c>
      <c r="H97" s="25">
        <v>1.996E-6</v>
      </c>
      <c r="I97" s="25">
        <v>1.1399999999999999</v>
      </c>
      <c r="J97" s="25">
        <v>1.1399999999999999</v>
      </c>
      <c r="K97" s="25">
        <v>0.38695999999999997</v>
      </c>
      <c r="L97" s="25">
        <v>2.093</v>
      </c>
      <c r="M97" s="25">
        <v>5.4759999999999997E-6</v>
      </c>
      <c r="N97" s="25">
        <v>2.0899999999999999E-6</v>
      </c>
    </row>
    <row r="98" spans="2:14" x14ac:dyDescent="0.25">
      <c r="B98" s="23">
        <v>272</v>
      </c>
      <c r="C98" s="23" t="s">
        <v>49</v>
      </c>
      <c r="D98" s="23" t="s">
        <v>65</v>
      </c>
      <c r="E98" s="23">
        <v>1</v>
      </c>
      <c r="F98" s="23">
        <v>5.1310000000000001E-2</v>
      </c>
      <c r="G98" s="25">
        <v>2.3740000000000001E-6</v>
      </c>
      <c r="H98" s="25">
        <v>1.2689999999999998E-6</v>
      </c>
      <c r="I98" s="25">
        <v>1.3540000000000001</v>
      </c>
      <c r="J98" s="25">
        <v>1.3540000000000001</v>
      </c>
      <c r="K98" s="25">
        <v>0.39085000000000003</v>
      </c>
      <c r="L98" s="25">
        <v>2.391</v>
      </c>
      <c r="M98" s="25">
        <v>7.554E-6</v>
      </c>
      <c r="N98" s="25">
        <v>1.4479999999999999E-6</v>
      </c>
    </row>
    <row r="99" spans="2:14" x14ac:dyDescent="0.25">
      <c r="B99" s="23">
        <v>275</v>
      </c>
      <c r="C99" s="23" t="s">
        <v>49</v>
      </c>
      <c r="D99" s="23" t="s">
        <v>65</v>
      </c>
      <c r="E99" s="23">
        <v>1</v>
      </c>
      <c r="F99" s="23">
        <v>5.2760000000000001E-2</v>
      </c>
      <c r="G99" s="25">
        <v>3.3739999999999998E-6</v>
      </c>
      <c r="H99" s="25">
        <v>1.1679999999999999E-6</v>
      </c>
      <c r="I99" s="25">
        <v>1.282</v>
      </c>
      <c r="J99" s="25">
        <v>1.282</v>
      </c>
      <c r="K99" s="25">
        <v>0.37574000000000002</v>
      </c>
      <c r="L99" s="25">
        <v>2.2599999999999998</v>
      </c>
      <c r="M99" s="25">
        <v>6.1310000000000003E-6</v>
      </c>
      <c r="N99" s="25">
        <v>2.1960000000000002E-6</v>
      </c>
    </row>
    <row r="100" spans="2:14" x14ac:dyDescent="0.25">
      <c r="B100" s="23">
        <v>277</v>
      </c>
      <c r="C100" s="23" t="s">
        <v>49</v>
      </c>
      <c r="D100" s="23" t="s">
        <v>65</v>
      </c>
      <c r="E100" s="23">
        <v>1</v>
      </c>
      <c r="F100" s="23">
        <v>5.1000000000000004E-2</v>
      </c>
      <c r="G100" s="25">
        <v>2.9289999999999998E-6</v>
      </c>
      <c r="H100" s="25">
        <v>9.7040000000000006E-7</v>
      </c>
      <c r="I100" s="25">
        <v>1.4359999999999999</v>
      </c>
      <c r="J100" s="25">
        <v>1.4359999999999999</v>
      </c>
      <c r="K100" s="25">
        <v>0.38924999999999998</v>
      </c>
      <c r="L100" s="25">
        <v>2.4849999999999999</v>
      </c>
      <c r="M100" s="25">
        <v>6.7220000000000002E-6</v>
      </c>
      <c r="N100" s="25">
        <v>1.7649999999999998E-6</v>
      </c>
    </row>
    <row r="101" spans="2:14" x14ac:dyDescent="0.25">
      <c r="B101" s="23">
        <v>280</v>
      </c>
      <c r="C101" s="23" t="s">
        <v>49</v>
      </c>
      <c r="D101" s="23" t="s">
        <v>65</v>
      </c>
      <c r="E101" s="23">
        <v>1</v>
      </c>
      <c r="F101" s="23">
        <v>5.1619999999999999E-2</v>
      </c>
      <c r="G101" s="25">
        <v>2.1490000000000001E-6</v>
      </c>
      <c r="H101" s="25">
        <v>9.907000000000001E-7</v>
      </c>
      <c r="I101" s="25">
        <v>1.3759999999999999</v>
      </c>
      <c r="J101" s="25">
        <v>1.3759999999999999</v>
      </c>
      <c r="K101" s="25">
        <v>0.38107999999999997</v>
      </c>
      <c r="L101" s="25">
        <v>2.4289999999999998</v>
      </c>
      <c r="M101" s="25">
        <v>6.1839999999999996E-6</v>
      </c>
      <c r="N101" s="25">
        <v>1.252E-6</v>
      </c>
    </row>
    <row r="102" spans="2:14" x14ac:dyDescent="0.25">
      <c r="B102" s="23">
        <v>288</v>
      </c>
      <c r="C102" s="23" t="s">
        <v>49</v>
      </c>
      <c r="D102" s="23" t="s">
        <v>65</v>
      </c>
      <c r="E102" s="23">
        <v>1</v>
      </c>
      <c r="F102" s="23">
        <v>5.0229999999999997E-2</v>
      </c>
      <c r="G102" s="25">
        <v>7.3440000000000001E-7</v>
      </c>
      <c r="H102" s="25">
        <v>1.7119999999999999E-6</v>
      </c>
      <c r="I102" s="25">
        <v>1.2110000000000001</v>
      </c>
      <c r="J102" s="25">
        <v>1.2110000000000001</v>
      </c>
      <c r="K102" s="25">
        <v>0.39299000000000001</v>
      </c>
      <c r="L102" s="25">
        <v>2.2130000000000001</v>
      </c>
      <c r="M102" s="25">
        <v>5.4299999999999997E-6</v>
      </c>
      <c r="N102" s="25">
        <v>4.9370000000000003E-7</v>
      </c>
    </row>
    <row r="103" spans="2:14" x14ac:dyDescent="0.25">
      <c r="B103" s="23">
        <v>290</v>
      </c>
      <c r="C103" s="23" t="s">
        <v>49</v>
      </c>
      <c r="D103" s="23" t="s">
        <v>65</v>
      </c>
      <c r="E103" s="23">
        <v>1</v>
      </c>
      <c r="F103" s="23">
        <v>5.2970000000000003E-2</v>
      </c>
      <c r="G103" s="25">
        <v>1.544E-6</v>
      </c>
      <c r="H103" s="25">
        <v>1.1969999999999999E-6</v>
      </c>
      <c r="I103" s="25">
        <v>1.5089999999999999</v>
      </c>
      <c r="J103" s="25">
        <v>1.5089999999999999</v>
      </c>
      <c r="K103" s="25">
        <v>0.37276999999999999</v>
      </c>
      <c r="L103" s="25">
        <v>2.4249999999999998</v>
      </c>
      <c r="M103" s="25">
        <v>6.5509999999999996E-6</v>
      </c>
      <c r="N103" s="25">
        <v>1.0019999999999999E-6</v>
      </c>
    </row>
    <row r="104" spans="2:14" x14ac:dyDescent="0.25">
      <c r="B104" s="23">
        <v>291</v>
      </c>
      <c r="C104" s="23" t="s">
        <v>49</v>
      </c>
      <c r="D104" s="23" t="s">
        <v>65</v>
      </c>
      <c r="E104" s="23">
        <v>1</v>
      </c>
      <c r="F104" s="23">
        <v>4.8640000000000003E-2</v>
      </c>
      <c r="G104" s="25">
        <v>1.3519999999999999E-6</v>
      </c>
      <c r="H104" s="25">
        <v>2.745E-6</v>
      </c>
      <c r="I104" s="25">
        <v>1.1930000000000001</v>
      </c>
      <c r="J104" s="25">
        <v>1.1930000000000001</v>
      </c>
      <c r="K104" s="25">
        <v>0.41473000000000004</v>
      </c>
      <c r="L104" s="25">
        <v>2.1890000000000001</v>
      </c>
      <c r="M104" s="25">
        <v>7.6669999999999996E-6</v>
      </c>
      <c r="N104" s="25">
        <v>7.0520000000000004E-7</v>
      </c>
    </row>
    <row r="105" spans="2:14" x14ac:dyDescent="0.25">
      <c r="B105" s="23">
        <v>293</v>
      </c>
      <c r="C105" s="23" t="s">
        <v>49</v>
      </c>
      <c r="D105" s="23" t="s">
        <v>65</v>
      </c>
      <c r="E105" s="23">
        <v>1</v>
      </c>
      <c r="F105" s="23">
        <v>4.9880000000000001E-2</v>
      </c>
      <c r="G105" s="25">
        <v>1.3859999999999997E-6</v>
      </c>
      <c r="H105" s="25">
        <v>2.694E-6</v>
      </c>
      <c r="I105" s="25">
        <v>1.2989999999999999</v>
      </c>
      <c r="J105" s="25">
        <v>1.2989999999999999</v>
      </c>
      <c r="K105" s="25">
        <v>0.40412000000000003</v>
      </c>
      <c r="L105" s="25">
        <v>2.302</v>
      </c>
      <c r="M105" s="25">
        <v>1.147E-5</v>
      </c>
      <c r="N105" s="25">
        <v>8.667000000000001E-7</v>
      </c>
    </row>
    <row r="106" spans="2:14" x14ac:dyDescent="0.25">
      <c r="B106" s="23">
        <v>294</v>
      </c>
      <c r="C106" s="23" t="s">
        <v>49</v>
      </c>
      <c r="D106" s="23" t="s">
        <v>65</v>
      </c>
      <c r="E106" s="23">
        <v>1</v>
      </c>
      <c r="F106" s="23">
        <v>5.1840000000000004E-2</v>
      </c>
      <c r="G106" s="25">
        <v>2.3429999999999998E-6</v>
      </c>
      <c r="H106" s="25">
        <v>8.9050000000000009E-7</v>
      </c>
      <c r="I106" s="25">
        <v>1.3180000000000001</v>
      </c>
      <c r="J106" s="25">
        <v>1.3180000000000001</v>
      </c>
      <c r="K106" s="25">
        <v>0.38269000000000003</v>
      </c>
      <c r="L106" s="25">
        <v>2.3730000000000002</v>
      </c>
      <c r="M106" s="25">
        <v>4.6130000000000006E-6</v>
      </c>
      <c r="N106" s="25">
        <v>1.093E-6</v>
      </c>
    </row>
    <row r="107" spans="2:14" x14ac:dyDescent="0.25">
      <c r="B107" s="23">
        <v>296</v>
      </c>
      <c r="C107" s="23" t="s">
        <v>49</v>
      </c>
      <c r="D107" s="23" t="s">
        <v>65</v>
      </c>
      <c r="E107" s="23">
        <v>1</v>
      </c>
      <c r="F107" s="23">
        <v>4.972E-2</v>
      </c>
      <c r="G107" s="25">
        <v>9.0720000000000008E-7</v>
      </c>
      <c r="H107" s="25">
        <v>1.9989999999999998E-6</v>
      </c>
      <c r="I107" s="25">
        <v>1.246</v>
      </c>
      <c r="J107" s="25">
        <v>1.246</v>
      </c>
      <c r="K107" s="25">
        <v>0.39633999999999997</v>
      </c>
      <c r="L107" s="25">
        <v>2.2519999999999998</v>
      </c>
      <c r="M107" s="25">
        <v>6.5579999999999997E-6</v>
      </c>
      <c r="N107" s="25">
        <v>5.6210000000000009E-7</v>
      </c>
    </row>
    <row r="108" spans="2:14" x14ac:dyDescent="0.25">
      <c r="B108" s="23">
        <v>300</v>
      </c>
      <c r="C108" s="23" t="s">
        <v>49</v>
      </c>
      <c r="D108" s="23" t="s">
        <v>65</v>
      </c>
      <c r="E108" s="23">
        <v>1</v>
      </c>
      <c r="F108" s="23">
        <v>4.8600000000000004E-2</v>
      </c>
      <c r="G108" s="25">
        <v>9.4750000000000003E-7</v>
      </c>
      <c r="H108" s="25">
        <v>1.8349999999999998E-6</v>
      </c>
      <c r="I108" s="25">
        <v>1.5409999999999999</v>
      </c>
      <c r="J108" s="25">
        <v>1.5409999999999999</v>
      </c>
      <c r="K108" s="25">
        <v>0.40877999999999998</v>
      </c>
      <c r="L108" s="25">
        <v>2.5099999999999998</v>
      </c>
      <c r="M108" s="25">
        <v>6.8619999999999997E-6</v>
      </c>
      <c r="N108" s="25">
        <v>5.1839999999999998E-7</v>
      </c>
    </row>
    <row r="109" spans="2:14" x14ac:dyDescent="0.25">
      <c r="B109" s="23">
        <v>304</v>
      </c>
      <c r="C109" s="23" t="s">
        <v>49</v>
      </c>
      <c r="D109" s="23" t="s">
        <v>65</v>
      </c>
      <c r="E109" s="23">
        <v>1</v>
      </c>
      <c r="F109" s="23">
        <v>5.1840000000000004E-2</v>
      </c>
      <c r="G109" s="25">
        <v>9.7710000000000014E-7</v>
      </c>
      <c r="H109" s="25">
        <v>1.1999999999999999E-6</v>
      </c>
      <c r="I109" s="25">
        <v>1.17</v>
      </c>
      <c r="J109" s="25">
        <v>1.17</v>
      </c>
      <c r="K109" s="25">
        <v>0.38252999999999998</v>
      </c>
      <c r="L109" s="25">
        <v>2.1469999999999998</v>
      </c>
      <c r="M109" s="25">
        <v>3.9060000000000004E-6</v>
      </c>
      <c r="N109" s="25">
        <v>5.9490000000000001E-7</v>
      </c>
    </row>
    <row r="110" spans="2:14" x14ac:dyDescent="0.25">
      <c r="B110" s="23">
        <v>305</v>
      </c>
      <c r="C110" s="23" t="s">
        <v>49</v>
      </c>
      <c r="D110" s="23" t="s">
        <v>65</v>
      </c>
      <c r="E110" s="23">
        <v>1</v>
      </c>
      <c r="F110" s="23">
        <v>4.8840000000000001E-2</v>
      </c>
      <c r="G110" s="25">
        <v>8.9189999999999999E-7</v>
      </c>
      <c r="H110" s="25">
        <v>2.886E-6</v>
      </c>
      <c r="I110" s="25">
        <v>1.173</v>
      </c>
      <c r="J110" s="25">
        <v>1.173</v>
      </c>
      <c r="K110" s="25">
        <v>0.40350999999999998</v>
      </c>
      <c r="L110" s="25">
        <v>2.1349999999999998</v>
      </c>
      <c r="M110" s="25">
        <v>7.9009999999999994E-6</v>
      </c>
      <c r="N110" s="25">
        <v>5.6280000000000004E-7</v>
      </c>
    </row>
    <row r="111" spans="2:14" x14ac:dyDescent="0.25">
      <c r="B111" s="23">
        <v>307</v>
      </c>
      <c r="C111" s="23" t="s">
        <v>49</v>
      </c>
      <c r="D111" s="23" t="s">
        <v>65</v>
      </c>
      <c r="E111" s="23">
        <v>1</v>
      </c>
      <c r="F111" s="23">
        <v>4.8439999999999997E-2</v>
      </c>
      <c r="G111" s="25">
        <v>1.1819999999999999E-6</v>
      </c>
      <c r="H111" s="25">
        <v>3.0399999999999997E-6</v>
      </c>
      <c r="I111" s="25">
        <v>1.127</v>
      </c>
      <c r="J111" s="25">
        <v>1.127</v>
      </c>
      <c r="K111" s="25">
        <v>0.40809000000000001</v>
      </c>
      <c r="L111" s="25">
        <v>2.1059999999999999</v>
      </c>
      <c r="M111" s="25">
        <v>7.4259999999999997E-6</v>
      </c>
      <c r="N111" s="25">
        <v>6.6900000000000007E-7</v>
      </c>
    </row>
    <row r="112" spans="2:14" x14ac:dyDescent="0.25">
      <c r="B112" s="23">
        <v>310</v>
      </c>
      <c r="C112" s="23" t="s">
        <v>49</v>
      </c>
      <c r="D112" s="23" t="s">
        <v>65</v>
      </c>
      <c r="E112" s="23">
        <v>1</v>
      </c>
      <c r="F112" s="23">
        <v>4.895E-2</v>
      </c>
      <c r="G112" s="25">
        <v>1.328E-6</v>
      </c>
      <c r="H112" s="25">
        <v>3.7699999999999999E-6</v>
      </c>
      <c r="I112" s="25">
        <v>1.4730000000000001</v>
      </c>
      <c r="J112" s="25">
        <v>1.4730000000000001</v>
      </c>
      <c r="K112" s="25">
        <v>0.40350999999999998</v>
      </c>
      <c r="L112" s="25">
        <v>2.407</v>
      </c>
      <c r="M112" s="25">
        <v>1.7429999999999997E-5</v>
      </c>
      <c r="N112" s="25">
        <v>8.6040000000000005E-7</v>
      </c>
    </row>
    <row r="113" spans="2:14" x14ac:dyDescent="0.25">
      <c r="B113" s="23">
        <v>312</v>
      </c>
      <c r="C113" s="23" t="s">
        <v>49</v>
      </c>
      <c r="D113" s="23" t="s">
        <v>65</v>
      </c>
      <c r="E113" s="23">
        <v>1</v>
      </c>
      <c r="F113" s="23">
        <v>5.3999999999999999E-2</v>
      </c>
      <c r="G113" s="25">
        <v>2.7029999999999998E-6</v>
      </c>
      <c r="H113" s="25">
        <v>9.1820000000000006E-7</v>
      </c>
      <c r="I113" s="25">
        <v>1.165</v>
      </c>
      <c r="J113" s="25">
        <v>1.165</v>
      </c>
      <c r="K113" s="25">
        <v>0.37010000000000004</v>
      </c>
      <c r="L113" s="25">
        <v>2.1360000000000001</v>
      </c>
      <c r="M113" s="25">
        <v>3.799E-6</v>
      </c>
      <c r="N113" s="25">
        <v>1.252E-6</v>
      </c>
    </row>
    <row r="114" spans="2:14" x14ac:dyDescent="0.25">
      <c r="B114" s="23">
        <v>315</v>
      </c>
      <c r="C114" s="23" t="s">
        <v>49</v>
      </c>
      <c r="D114" s="23" t="s">
        <v>65</v>
      </c>
      <c r="E114" s="23">
        <v>1</v>
      </c>
      <c r="F114" s="23">
        <v>5.3770000000000005E-2</v>
      </c>
      <c r="G114" s="25">
        <v>1.7479999999999998E-6</v>
      </c>
      <c r="H114" s="25">
        <v>1.091E-6</v>
      </c>
      <c r="I114" s="25">
        <v>1.22</v>
      </c>
      <c r="J114" s="25">
        <v>1.22</v>
      </c>
      <c r="K114" s="25">
        <v>0.36681999999999998</v>
      </c>
      <c r="L114" s="25">
        <v>2.181</v>
      </c>
      <c r="M114" s="25">
        <v>4.8499999999999993E-6</v>
      </c>
      <c r="N114" s="25">
        <v>1.093E-6</v>
      </c>
    </row>
    <row r="115" spans="2:14" x14ac:dyDescent="0.25">
      <c r="B115" s="23">
        <v>316</v>
      </c>
      <c r="C115" s="23" t="s">
        <v>49</v>
      </c>
      <c r="D115" s="23" t="s">
        <v>65</v>
      </c>
      <c r="E115" s="23">
        <v>1</v>
      </c>
      <c r="F115" s="23">
        <v>5.1310000000000001E-2</v>
      </c>
      <c r="G115" s="25">
        <v>2.2179999999999998E-6</v>
      </c>
      <c r="H115" s="25">
        <v>1.3289999999999999E-6</v>
      </c>
      <c r="I115" s="25">
        <v>1.3009999999999999</v>
      </c>
      <c r="J115" s="25">
        <v>1.3009999999999999</v>
      </c>
      <c r="K115" s="25">
        <v>0.38489999999999996</v>
      </c>
      <c r="L115" s="25">
        <v>2.2850000000000001</v>
      </c>
      <c r="M115" s="25">
        <v>6.9589999999999989E-6</v>
      </c>
      <c r="N115" s="25">
        <v>1.33E-6</v>
      </c>
    </row>
    <row r="116" spans="2:14" x14ac:dyDescent="0.25">
      <c r="B116" s="23">
        <v>317</v>
      </c>
      <c r="C116" s="23" t="s">
        <v>49</v>
      </c>
      <c r="D116" s="23" t="s">
        <v>65</v>
      </c>
      <c r="E116" s="23">
        <v>1</v>
      </c>
      <c r="F116" s="23">
        <v>4.9409999999999996E-2</v>
      </c>
      <c r="G116" s="25">
        <v>1.423E-6</v>
      </c>
      <c r="H116" s="25">
        <v>1.0769999999999998E-6</v>
      </c>
      <c r="I116" s="25">
        <v>1.319</v>
      </c>
      <c r="J116" s="25">
        <v>1.319</v>
      </c>
      <c r="K116" s="25">
        <v>0.39794000000000002</v>
      </c>
      <c r="L116" s="25">
        <v>2.359</v>
      </c>
      <c r="M116" s="25">
        <v>5.2359999999999995E-6</v>
      </c>
      <c r="N116" s="25">
        <v>8.4050000000000004E-7</v>
      </c>
    </row>
    <row r="117" spans="2:14" x14ac:dyDescent="0.25">
      <c r="B117" s="23">
        <v>320</v>
      </c>
      <c r="C117" s="23" t="s">
        <v>49</v>
      </c>
      <c r="D117" s="23" t="s">
        <v>65</v>
      </c>
      <c r="E117" s="23">
        <v>1</v>
      </c>
      <c r="F117" s="23">
        <v>4.7689999999999996E-2</v>
      </c>
      <c r="G117" s="25">
        <v>7.792000000000001E-7</v>
      </c>
      <c r="H117" s="25">
        <v>2.5950000000000001E-6</v>
      </c>
      <c r="I117" s="25">
        <v>1.5069999999999999</v>
      </c>
      <c r="J117" s="25">
        <v>1.5069999999999999</v>
      </c>
      <c r="K117" s="25">
        <v>0.41786000000000001</v>
      </c>
      <c r="L117" s="25">
        <v>2.472</v>
      </c>
      <c r="M117" s="25">
        <v>1.115E-5</v>
      </c>
      <c r="N117" s="25">
        <v>5.0920000000000003E-7</v>
      </c>
    </row>
    <row r="118" spans="2:14" x14ac:dyDescent="0.25">
      <c r="B118" s="23">
        <v>324</v>
      </c>
      <c r="C118" s="23" t="s">
        <v>49</v>
      </c>
      <c r="D118" s="23" t="s">
        <v>65</v>
      </c>
      <c r="E118" s="23">
        <v>1</v>
      </c>
      <c r="F118" s="23">
        <v>5.4109999999999998E-2</v>
      </c>
      <c r="G118" s="25">
        <v>2.6120000000000001E-6</v>
      </c>
      <c r="H118" s="25">
        <v>1.5089999999999999E-6</v>
      </c>
      <c r="I118" s="25">
        <v>1.258</v>
      </c>
      <c r="J118" s="25">
        <v>1.258</v>
      </c>
      <c r="K118" s="25">
        <v>0.36399000000000004</v>
      </c>
      <c r="L118" s="25">
        <v>2.234</v>
      </c>
      <c r="M118" s="25">
        <v>8.4269999999999991E-6</v>
      </c>
      <c r="N118" s="25">
        <v>1.685E-6</v>
      </c>
    </row>
    <row r="119" spans="2:14" x14ac:dyDescent="0.25">
      <c r="B119" s="23">
        <v>327</v>
      </c>
      <c r="C119" s="23" t="s">
        <v>49</v>
      </c>
      <c r="D119" s="23" t="s">
        <v>65</v>
      </c>
      <c r="E119" s="23">
        <v>1</v>
      </c>
      <c r="F119" s="23">
        <v>4.9250000000000002E-2</v>
      </c>
      <c r="G119" s="25">
        <v>1.0109999999999999E-6</v>
      </c>
      <c r="H119" s="25">
        <v>2.9629999999999998E-6</v>
      </c>
      <c r="I119" s="25">
        <v>1.1859999999999999</v>
      </c>
      <c r="J119" s="25">
        <v>1.1859999999999999</v>
      </c>
      <c r="K119" s="25">
        <v>0.40289999999999998</v>
      </c>
      <c r="L119" s="25">
        <v>2.161</v>
      </c>
      <c r="M119" s="25">
        <v>1.0720000000000001E-5</v>
      </c>
      <c r="N119" s="25">
        <v>6.3E-7</v>
      </c>
    </row>
    <row r="120" spans="2:14" x14ac:dyDescent="0.25">
      <c r="B120" s="23">
        <v>328</v>
      </c>
      <c r="C120" s="23" t="s">
        <v>49</v>
      </c>
      <c r="D120" s="23" t="s">
        <v>65</v>
      </c>
      <c r="E120" s="23">
        <v>1</v>
      </c>
      <c r="F120" s="23">
        <v>4.8799999999999996E-2</v>
      </c>
      <c r="G120" s="25">
        <v>8.2529999999999996E-7</v>
      </c>
      <c r="H120" s="25">
        <v>9.6329999999999995E-7</v>
      </c>
      <c r="I120" s="25">
        <v>1.6519999999999999</v>
      </c>
      <c r="J120" s="25">
        <v>1.6519999999999999</v>
      </c>
      <c r="K120" s="25">
        <v>0.40809000000000001</v>
      </c>
      <c r="L120" s="25">
        <v>2.6960000000000002</v>
      </c>
      <c r="M120" s="25">
        <v>5.2669999999999997E-6</v>
      </c>
      <c r="N120" s="25">
        <v>4.9950000000000005E-7</v>
      </c>
    </row>
    <row r="121" spans="2:14" x14ac:dyDescent="0.25">
      <c r="B121" s="23">
        <v>329</v>
      </c>
      <c r="C121" s="23" t="s">
        <v>49</v>
      </c>
      <c r="D121" s="23" t="s">
        <v>65</v>
      </c>
      <c r="E121" s="23">
        <v>1</v>
      </c>
      <c r="F121" s="23">
        <v>4.8180000000000001E-2</v>
      </c>
      <c r="G121" s="25">
        <v>1.1379999999999999E-6</v>
      </c>
      <c r="H121" s="25">
        <v>2.4059999999999999E-6</v>
      </c>
      <c r="I121" s="25">
        <v>1.266</v>
      </c>
      <c r="J121" s="25">
        <v>1.266</v>
      </c>
      <c r="K121" s="25">
        <v>0.41160000000000002</v>
      </c>
      <c r="L121" s="25">
        <v>2.286</v>
      </c>
      <c r="M121" s="25">
        <v>8.1149999999999994E-6</v>
      </c>
      <c r="N121" s="25">
        <v>6.2820000000000008E-7</v>
      </c>
    </row>
    <row r="122" spans="2:14" x14ac:dyDescent="0.25">
      <c r="B122" s="23">
        <v>330</v>
      </c>
      <c r="C122" s="23" t="s">
        <v>49</v>
      </c>
      <c r="D122" s="23" t="s">
        <v>65</v>
      </c>
      <c r="E122" s="23">
        <v>1</v>
      </c>
      <c r="F122" s="23">
        <v>5.3260000000000002E-2</v>
      </c>
      <c r="G122" s="25">
        <v>3.0709999999999999E-6</v>
      </c>
      <c r="H122" s="25">
        <v>1.7259999999999999E-6</v>
      </c>
      <c r="I122" s="25">
        <v>1.151</v>
      </c>
      <c r="J122" s="25">
        <v>1.151</v>
      </c>
      <c r="K122" s="25">
        <v>0.36384</v>
      </c>
      <c r="L122" s="25">
        <v>2.121</v>
      </c>
      <c r="M122" s="25">
        <v>1.135E-5</v>
      </c>
      <c r="N122" s="25">
        <v>1.9309999999999998E-6</v>
      </c>
    </row>
    <row r="123" spans="2:14" x14ac:dyDescent="0.25">
      <c r="B123" s="23">
        <v>331</v>
      </c>
      <c r="C123" s="23" t="s">
        <v>49</v>
      </c>
      <c r="D123" s="23" t="s">
        <v>65</v>
      </c>
      <c r="E123" s="23">
        <v>1</v>
      </c>
      <c r="F123" s="23">
        <v>5.1140000000000005E-2</v>
      </c>
      <c r="G123" s="25">
        <v>3.472E-6</v>
      </c>
      <c r="H123" s="25">
        <v>1.3849999999999999E-6</v>
      </c>
      <c r="I123" s="25">
        <v>1.363</v>
      </c>
      <c r="J123" s="25">
        <v>1.363</v>
      </c>
      <c r="K123" s="25">
        <v>0.38673000000000002</v>
      </c>
      <c r="L123" s="25">
        <v>2.3650000000000002</v>
      </c>
      <c r="M123" s="25">
        <v>7.8280000000000003E-6</v>
      </c>
      <c r="N123" s="25">
        <v>2.0810000000000001E-6</v>
      </c>
    </row>
    <row r="124" spans="2:14" x14ac:dyDescent="0.25">
      <c r="B124" s="23">
        <v>336</v>
      </c>
      <c r="C124" s="23" t="s">
        <v>49</v>
      </c>
      <c r="D124" s="23" t="s">
        <v>65</v>
      </c>
      <c r="E124" s="23">
        <v>1</v>
      </c>
      <c r="F124" s="23">
        <v>5.2940000000000001E-2</v>
      </c>
      <c r="G124" s="25">
        <v>5.5489999999999997E-7</v>
      </c>
      <c r="H124" s="25">
        <v>6.2779999999999994E-7</v>
      </c>
      <c r="I124" s="25">
        <v>1.167</v>
      </c>
      <c r="J124" s="25">
        <v>1.167</v>
      </c>
      <c r="K124" s="25">
        <v>0.37040000000000001</v>
      </c>
      <c r="L124" s="25">
        <v>2.125</v>
      </c>
      <c r="M124" s="25">
        <v>4.3470000000000001E-6</v>
      </c>
      <c r="N124" s="25">
        <v>3.1389999999999997E-7</v>
      </c>
    </row>
    <row r="125" spans="2:14" x14ac:dyDescent="0.25">
      <c r="B125" s="23">
        <v>337</v>
      </c>
      <c r="C125" s="23" t="s">
        <v>49</v>
      </c>
      <c r="D125" s="23" t="s">
        <v>65</v>
      </c>
      <c r="E125" s="23">
        <v>1</v>
      </c>
      <c r="F125" s="23">
        <v>5.1369999999999999E-2</v>
      </c>
      <c r="G125" s="25">
        <v>1.6879999999999998E-6</v>
      </c>
      <c r="H125" s="25">
        <v>7.5700000000000002E-7</v>
      </c>
      <c r="I125" s="25">
        <v>1.7929999999999999</v>
      </c>
      <c r="J125" s="25">
        <v>1.7929999999999999</v>
      </c>
      <c r="K125" s="25">
        <v>0.39466000000000001</v>
      </c>
      <c r="L125" s="25">
        <v>2.8340000000000001</v>
      </c>
      <c r="M125" s="25">
        <v>6.0149999999999992E-6</v>
      </c>
      <c r="N125" s="25">
        <v>1.0069999999999998E-6</v>
      </c>
    </row>
    <row r="126" spans="2:14" x14ac:dyDescent="0.25">
      <c r="B126" s="23">
        <v>339</v>
      </c>
      <c r="C126" s="23" t="s">
        <v>49</v>
      </c>
      <c r="D126" s="23" t="s">
        <v>65</v>
      </c>
      <c r="E126" s="23">
        <v>1</v>
      </c>
      <c r="F126" s="23">
        <v>4.7909999999999994E-2</v>
      </c>
      <c r="G126" s="25">
        <v>2.2719999999999996E-6</v>
      </c>
      <c r="H126" s="25">
        <v>3.0049999999999996E-6</v>
      </c>
      <c r="I126" s="25">
        <v>1.353</v>
      </c>
      <c r="J126" s="25">
        <v>1.353</v>
      </c>
      <c r="K126" s="25">
        <v>0.41739999999999999</v>
      </c>
      <c r="L126" s="25">
        <v>2.383</v>
      </c>
      <c r="M126" s="25">
        <v>1.4119999999999999E-5</v>
      </c>
      <c r="N126" s="25">
        <v>1.2709999999999998E-6</v>
      </c>
    </row>
  </sheetData>
  <sheetProtection algorithmName="SHA-512" hashValue="VIfqWXag5vspKd6vKiudFm8rqfIPgRZ0ypAbrDz6dz29RCb/eWffimthzOVuShUA0JyykGD/4UVisGygqxi9GA==" saltValue="J5jYmczYa3/YuMFUx7fy/A==" spinCount="100000" sheet="1" objects="1" scenarios="1" sort="0" autoFilter="0"/>
  <autoFilter ref="A10:N126" xr:uid="{4498DAF1-C119-4A94-94D7-C7305DCC4C43}"/>
  <mergeCells count="13">
    <mergeCell ref="A3:B3"/>
    <mergeCell ref="C3:D3"/>
    <mergeCell ref="E3:F3"/>
    <mergeCell ref="H3:N3"/>
    <mergeCell ref="A4:G4"/>
    <mergeCell ref="H4:N4"/>
    <mergeCell ref="A1:F1"/>
    <mergeCell ref="K1:L1"/>
    <mergeCell ref="M1:N1"/>
    <mergeCell ref="A2:B2"/>
    <mergeCell ref="C2:D2"/>
    <mergeCell ref="E2:F2"/>
    <mergeCell ref="H2:N2"/>
  </mergeCells>
  <conditionalFormatting sqref="A11:A61">
    <cfRule type="duplicateValues" dxfId="35" priority="11"/>
  </conditionalFormatting>
  <conditionalFormatting sqref="E3:G3">
    <cfRule type="cellIs" dxfId="34" priority="2" operator="equal">
      <formula>0</formula>
    </cfRule>
  </conditionalFormatting>
  <conditionalFormatting sqref="B10">
    <cfRule type="cellIs" dxfId="33" priority="10" operator="equal">
      <formula>"All Pass"</formula>
    </cfRule>
  </conditionalFormatting>
  <conditionalFormatting sqref="B11:B61">
    <cfRule type="duplicateValues" dxfId="32" priority="12"/>
  </conditionalFormatting>
  <conditionalFormatting sqref="C11:C1356">
    <cfRule type="containsBlanks" dxfId="31" priority="6">
      <formula>LEN(TRIM(C11))=0</formula>
    </cfRule>
    <cfRule type="cellIs" dxfId="30" priority="7" operator="equal">
      <formula>"ALL PASS"</formula>
    </cfRule>
    <cfRule type="cellIs" dxfId="29" priority="8" stopIfTrue="1" operator="equal">
      <formula>"ND"</formula>
    </cfRule>
    <cfRule type="cellIs" dxfId="28" priority="9" operator="notEqual">
      <formula>"ALL PASS"</formula>
    </cfRule>
  </conditionalFormatting>
  <conditionalFormatting sqref="E11:E1356">
    <cfRule type="cellIs" dxfId="27" priority="3" stopIfTrue="1" operator="equal">
      <formula>99</formula>
    </cfRule>
    <cfRule type="cellIs" dxfId="26" priority="4" operator="between">
      <formula>2</formula>
      <formula>98</formula>
    </cfRule>
    <cfRule type="cellIs" dxfId="25" priority="5" operator="equal">
      <formula>1</formula>
    </cfRule>
  </conditionalFormatting>
  <conditionalFormatting sqref="A3:D3">
    <cfRule type="cellIs" dxfId="1" priority="1" operator="equal">
      <formula>0</formula>
    </cfRule>
  </conditionalFormatting>
  <hyperlinks>
    <hyperlink ref="H1" location="INDEX!A1" display="RETURN TO INDEX" xr:uid="{B06418F6-A8A6-47AB-A352-6895CE91B9D1}"/>
    <hyperlink ref="H1:I1" location="INDEX!A1" display="RETURN TO INDEX" xr:uid="{9B101267-B7C9-4F60-97A7-6291630DBEB5}"/>
    <hyperlink ref="M1" location="'SCREENING STATUS'!A1" display="SCREENING STATUS" xr:uid="{EECAFC43-82AD-41FE-909B-91948427B1CB}"/>
    <hyperlink ref="J1" location="SUMMARY!A1" display="SUMMARY" xr:uid="{0EAC3842-D111-4F09-AA3A-C1C3B2BA7829}"/>
    <hyperlink ref="K1" location="'SCREENING STATUS'!A1" display="SCREENING STATUS" xr:uid="{7DEB7F9F-34A9-4906-AD50-CCE3CB44E4A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1DBC-7FC3-45C3-9372-5CC31EB75BE7}">
  <sheetPr>
    <tabColor theme="4" tint="-0.249977111117893"/>
  </sheetPr>
  <dimension ref="A1:G129"/>
  <sheetViews>
    <sheetView zoomScale="95" zoomScaleNormal="95" workbookViewId="0">
      <pane xSplit="3" ySplit="13" topLeftCell="D14" activePane="bottomRight" state="frozen"/>
      <selection activeCell="B4" sqref="B4:E4"/>
      <selection pane="topRight" activeCell="B4" sqref="B4:E4"/>
      <selection pane="bottomLeft" activeCell="B4" sqref="B4:E4"/>
      <selection pane="bottomRight" activeCell="A3" sqref="A3:B3"/>
    </sheetView>
  </sheetViews>
  <sheetFormatPr defaultColWidth="0" defaultRowHeight="15" zeroHeight="1" x14ac:dyDescent="0.25"/>
  <cols>
    <col min="1" max="1" width="18.85546875" customWidth="1"/>
    <col min="2" max="2" width="12.28515625" style="22" customWidth="1"/>
    <col min="3" max="3" width="13.5703125" style="22" customWidth="1"/>
    <col min="4" max="4" width="5.5703125" style="22" customWidth="1"/>
    <col min="5" max="5" width="3.85546875" style="22" customWidth="1"/>
    <col min="6" max="7" width="18.85546875" customWidth="1"/>
  </cols>
  <sheetData>
    <row r="1" spans="1:7" ht="24" x14ac:dyDescent="0.25">
      <c r="A1" s="75" t="s">
        <v>66</v>
      </c>
      <c r="B1" s="75"/>
      <c r="C1" s="75"/>
      <c r="D1" s="86" t="s">
        <v>3</v>
      </c>
      <c r="E1" s="86"/>
      <c r="F1" s="86"/>
      <c r="G1" s="86"/>
    </row>
    <row r="2" spans="1:7" ht="15.75" x14ac:dyDescent="0.25">
      <c r="A2" s="77" t="s">
        <v>97</v>
      </c>
      <c r="B2" s="77"/>
      <c r="C2" s="77" t="s">
        <v>98</v>
      </c>
      <c r="D2" s="77"/>
      <c r="E2" s="77" t="s">
        <v>99</v>
      </c>
      <c r="F2" s="77"/>
      <c r="G2" s="7" t="s">
        <v>100</v>
      </c>
    </row>
    <row r="3" spans="1:7" ht="23.25" customHeight="1" x14ac:dyDescent="0.25">
      <c r="A3" s="77" t="s">
        <v>104</v>
      </c>
      <c r="B3" s="77"/>
      <c r="C3" s="77" t="s">
        <v>104</v>
      </c>
      <c r="D3" s="77"/>
      <c r="E3" s="87"/>
      <c r="F3" s="87"/>
      <c r="G3" s="38">
        <v>2418</v>
      </c>
    </row>
    <row r="4" spans="1:7" ht="24" x14ac:dyDescent="0.25">
      <c r="A4" s="82" t="s">
        <v>67</v>
      </c>
      <c r="B4" s="83"/>
      <c r="C4" s="83"/>
      <c r="D4" s="83"/>
      <c r="E4" s="83"/>
      <c r="F4" s="83"/>
      <c r="G4" s="83"/>
    </row>
    <row r="5" spans="1:7" ht="24" x14ac:dyDescent="0.25">
      <c r="A5" s="78" t="s">
        <v>68</v>
      </c>
      <c r="B5" s="79"/>
      <c r="C5" s="79"/>
      <c r="D5" s="79"/>
      <c r="E5" s="79"/>
      <c r="F5" s="79"/>
      <c r="G5" s="79"/>
    </row>
    <row r="6" spans="1:7" ht="24" x14ac:dyDescent="0.25">
      <c r="A6" s="78" t="s">
        <v>8</v>
      </c>
      <c r="B6" s="79"/>
      <c r="C6" s="79"/>
      <c r="D6" s="79"/>
      <c r="E6" s="79"/>
      <c r="F6" s="79"/>
      <c r="G6" s="79"/>
    </row>
    <row r="7" spans="1:7" ht="24" x14ac:dyDescent="0.4">
      <c r="A7" s="84" t="str">
        <f>IF($B$8=$B$9,"PASS","FAIL")</f>
        <v>PASS</v>
      </c>
      <c r="B7" s="85"/>
      <c r="C7" s="85"/>
      <c r="D7" s="85"/>
      <c r="E7" s="85"/>
      <c r="F7" s="85"/>
      <c r="G7" s="85"/>
    </row>
    <row r="8" spans="1:7" x14ac:dyDescent="0.25">
      <c r="A8" s="8" t="s">
        <v>9</v>
      </c>
      <c r="B8" s="9">
        <f>COUNTA(C$14:C$2000)-COUNTIF(C14:C$2000,"ND")</f>
        <v>116</v>
      </c>
      <c r="C8" s="10"/>
      <c r="D8" s="11"/>
      <c r="E8" s="11"/>
      <c r="F8" s="12"/>
      <c r="G8" s="12"/>
    </row>
    <row r="9" spans="1:7" x14ac:dyDescent="0.25">
      <c r="A9" s="14" t="s">
        <v>10</v>
      </c>
      <c r="B9" s="15">
        <f>COUNTIF(C14:C$2000,"All Pass")</f>
        <v>116</v>
      </c>
      <c r="C9" s="16"/>
      <c r="D9" s="16"/>
      <c r="E9" s="16"/>
      <c r="F9" s="17" t="s">
        <v>11</v>
      </c>
      <c r="G9" s="17" t="s">
        <v>69</v>
      </c>
    </row>
    <row r="10" spans="1:7" x14ac:dyDescent="0.25">
      <c r="A10" s="14" t="s">
        <v>22</v>
      </c>
      <c r="B10" s="15">
        <f>COUNTIF(C14:C$2000,"ND")</f>
        <v>0</v>
      </c>
      <c r="C10" s="16"/>
      <c r="D10" s="16"/>
      <c r="E10" s="16"/>
      <c r="F10" s="17" t="s">
        <v>23</v>
      </c>
      <c r="G10" s="17" t="s">
        <v>70</v>
      </c>
    </row>
    <row r="11" spans="1:7" x14ac:dyDescent="0.25">
      <c r="A11" s="14" t="s">
        <v>31</v>
      </c>
      <c r="B11" s="15">
        <f>B8-B9</f>
        <v>0</v>
      </c>
      <c r="C11" s="16"/>
      <c r="D11" s="16"/>
      <c r="E11" s="16"/>
      <c r="F11" s="17" t="s">
        <v>32</v>
      </c>
      <c r="G11" s="17" t="s">
        <v>37</v>
      </c>
    </row>
    <row r="12" spans="1:7" x14ac:dyDescent="0.25">
      <c r="A12" s="16" t="s">
        <v>43</v>
      </c>
      <c r="B12" s="16" t="s">
        <v>44</v>
      </c>
      <c r="C12" s="16" t="s">
        <v>45</v>
      </c>
      <c r="D12" s="16" t="s">
        <v>46</v>
      </c>
      <c r="E12" s="16" t="s">
        <v>47</v>
      </c>
      <c r="F12" s="17" t="s">
        <v>39</v>
      </c>
      <c r="G12" s="17"/>
    </row>
    <row r="13" spans="1:7" x14ac:dyDescent="0.25">
      <c r="A13" s="29"/>
      <c r="B13" s="30"/>
      <c r="C13" s="31"/>
      <c r="D13" s="31"/>
      <c r="E13" s="32"/>
      <c r="F13" s="33"/>
      <c r="G13" s="34"/>
    </row>
    <row r="14" spans="1:7" x14ac:dyDescent="0.25">
      <c r="B14" s="23">
        <v>11</v>
      </c>
      <c r="C14" s="23" t="s">
        <v>49</v>
      </c>
      <c r="D14" s="23"/>
      <c r="E14" s="23">
        <v>1</v>
      </c>
      <c r="F14" s="23">
        <v>0.12490000000000001</v>
      </c>
      <c r="G14" s="25">
        <v>1.4350000000000001</v>
      </c>
    </row>
    <row r="15" spans="1:7" x14ac:dyDescent="0.25">
      <c r="B15" s="23">
        <v>12</v>
      </c>
      <c r="C15" s="23" t="s">
        <v>49</v>
      </c>
      <c r="D15" s="23"/>
      <c r="E15" s="23">
        <v>1</v>
      </c>
      <c r="F15" s="23">
        <v>0.13169999999999998</v>
      </c>
      <c r="G15" s="25">
        <v>1.407</v>
      </c>
    </row>
    <row r="16" spans="1:7" x14ac:dyDescent="0.25">
      <c r="B16" s="23">
        <v>16</v>
      </c>
      <c r="C16" s="23" t="s">
        <v>49</v>
      </c>
      <c r="D16" s="23"/>
      <c r="E16" s="23">
        <v>1</v>
      </c>
      <c r="F16" s="23">
        <v>0.1338</v>
      </c>
      <c r="G16" s="25">
        <v>1.542</v>
      </c>
    </row>
    <row r="17" spans="2:7" x14ac:dyDescent="0.25">
      <c r="B17" s="23">
        <v>19</v>
      </c>
      <c r="C17" s="23" t="s">
        <v>49</v>
      </c>
      <c r="D17" s="23"/>
      <c r="E17" s="23">
        <v>1</v>
      </c>
      <c r="F17" s="23">
        <v>0.12740000000000001</v>
      </c>
      <c r="G17" s="25">
        <v>1.48</v>
      </c>
    </row>
    <row r="18" spans="2:7" x14ac:dyDescent="0.25">
      <c r="B18" s="23">
        <v>25</v>
      </c>
      <c r="C18" s="23" t="s">
        <v>49</v>
      </c>
      <c r="D18" s="23"/>
      <c r="E18" s="23">
        <v>1</v>
      </c>
      <c r="F18" s="23">
        <v>0.12770000000000001</v>
      </c>
      <c r="G18" s="25">
        <v>1.464</v>
      </c>
    </row>
    <row r="19" spans="2:7" x14ac:dyDescent="0.25">
      <c r="B19" s="23">
        <v>26</v>
      </c>
      <c r="C19" s="23" t="s">
        <v>49</v>
      </c>
      <c r="D19" s="23"/>
      <c r="E19" s="23">
        <v>1</v>
      </c>
      <c r="F19" s="23">
        <v>0.12790000000000001</v>
      </c>
      <c r="G19" s="25">
        <v>1.3859999999999999</v>
      </c>
    </row>
    <row r="20" spans="2:7" x14ac:dyDescent="0.25">
      <c r="B20" s="23">
        <v>31</v>
      </c>
      <c r="C20" s="23" t="s">
        <v>49</v>
      </c>
      <c r="D20" s="23"/>
      <c r="E20" s="23">
        <v>1</v>
      </c>
      <c r="F20" s="23">
        <v>0.1201</v>
      </c>
      <c r="G20" s="25">
        <v>1.268</v>
      </c>
    </row>
    <row r="21" spans="2:7" x14ac:dyDescent="0.25">
      <c r="B21" s="23">
        <v>32</v>
      </c>
      <c r="C21" s="23" t="s">
        <v>49</v>
      </c>
      <c r="D21" s="23"/>
      <c r="E21" s="23">
        <v>1</v>
      </c>
      <c r="F21" s="23">
        <v>0.12919999999999998</v>
      </c>
      <c r="G21" s="25">
        <v>1.486</v>
      </c>
    </row>
    <row r="22" spans="2:7" x14ac:dyDescent="0.25">
      <c r="B22" s="23">
        <v>36</v>
      </c>
      <c r="C22" s="23" t="s">
        <v>49</v>
      </c>
      <c r="D22" s="23"/>
      <c r="E22" s="23">
        <v>1</v>
      </c>
      <c r="F22" s="23">
        <v>0.1242</v>
      </c>
      <c r="G22" s="25">
        <v>1.401</v>
      </c>
    </row>
    <row r="23" spans="2:7" x14ac:dyDescent="0.25">
      <c r="B23" s="23">
        <v>38</v>
      </c>
      <c r="C23" s="23" t="s">
        <v>49</v>
      </c>
      <c r="D23" s="23"/>
      <c r="E23" s="23">
        <v>1</v>
      </c>
      <c r="F23" s="23">
        <v>0.1192</v>
      </c>
      <c r="G23" s="25">
        <v>1.474</v>
      </c>
    </row>
    <row r="24" spans="2:7" x14ac:dyDescent="0.25">
      <c r="B24" s="23">
        <v>40</v>
      </c>
      <c r="C24" s="23" t="s">
        <v>49</v>
      </c>
      <c r="D24" s="23"/>
      <c r="E24" s="23">
        <v>1</v>
      </c>
      <c r="F24" s="23">
        <v>0.1245</v>
      </c>
      <c r="G24" s="25">
        <v>1.377</v>
      </c>
    </row>
    <row r="25" spans="2:7" x14ac:dyDescent="0.25">
      <c r="B25" s="23">
        <v>43</v>
      </c>
      <c r="C25" s="23" t="s">
        <v>49</v>
      </c>
      <c r="D25" s="23"/>
      <c r="E25" s="23">
        <v>1</v>
      </c>
      <c r="F25" s="23">
        <v>0.1255</v>
      </c>
      <c r="G25" s="25">
        <v>1.286</v>
      </c>
    </row>
    <row r="26" spans="2:7" x14ac:dyDescent="0.25">
      <c r="B26" s="23">
        <v>46</v>
      </c>
      <c r="C26" s="23" t="s">
        <v>49</v>
      </c>
      <c r="D26" s="23"/>
      <c r="E26" s="23">
        <v>1</v>
      </c>
      <c r="F26" s="23">
        <v>0.1295</v>
      </c>
      <c r="G26" s="25">
        <v>1.4410000000000001</v>
      </c>
    </row>
    <row r="27" spans="2:7" x14ac:dyDescent="0.25">
      <c r="B27" s="23">
        <v>51</v>
      </c>
      <c r="C27" s="23" t="s">
        <v>49</v>
      </c>
      <c r="D27" s="23"/>
      <c r="E27" s="23">
        <v>1</v>
      </c>
      <c r="F27" s="23">
        <v>0.1331</v>
      </c>
      <c r="G27" s="25">
        <v>1.4650000000000001</v>
      </c>
    </row>
    <row r="28" spans="2:7" x14ac:dyDescent="0.25">
      <c r="B28" s="23">
        <v>54</v>
      </c>
      <c r="C28" s="23" t="s">
        <v>49</v>
      </c>
      <c r="D28" s="23"/>
      <c r="E28" s="23">
        <v>1</v>
      </c>
      <c r="F28" s="23">
        <v>0.1343</v>
      </c>
      <c r="G28" s="25">
        <v>1.52</v>
      </c>
    </row>
    <row r="29" spans="2:7" x14ac:dyDescent="0.25">
      <c r="B29" s="23">
        <v>56</v>
      </c>
      <c r="C29" s="23" t="s">
        <v>49</v>
      </c>
      <c r="D29" s="23"/>
      <c r="E29" s="23">
        <v>1</v>
      </c>
      <c r="F29" s="23">
        <v>0.1245</v>
      </c>
      <c r="G29" s="25">
        <v>1.329</v>
      </c>
    </row>
    <row r="30" spans="2:7" x14ac:dyDescent="0.25">
      <c r="B30" s="23">
        <v>59</v>
      </c>
      <c r="C30" s="23" t="s">
        <v>49</v>
      </c>
      <c r="D30" s="23"/>
      <c r="E30" s="23">
        <v>1</v>
      </c>
      <c r="F30" s="23">
        <v>0.13090000000000002</v>
      </c>
      <c r="G30" s="25">
        <v>1.42</v>
      </c>
    </row>
    <row r="31" spans="2:7" x14ac:dyDescent="0.25">
      <c r="B31" s="23">
        <v>61</v>
      </c>
      <c r="C31" s="23" t="s">
        <v>49</v>
      </c>
      <c r="D31" s="23"/>
      <c r="E31" s="23">
        <v>1</v>
      </c>
      <c r="F31" s="23">
        <v>0.1237</v>
      </c>
      <c r="G31" s="25">
        <v>1.3560000000000001</v>
      </c>
    </row>
    <row r="32" spans="2:7" x14ac:dyDescent="0.25">
      <c r="B32" s="23">
        <v>67</v>
      </c>
      <c r="C32" s="23" t="s">
        <v>49</v>
      </c>
      <c r="D32" s="23"/>
      <c r="E32" s="23">
        <v>1</v>
      </c>
      <c r="F32" s="23">
        <v>0.1338</v>
      </c>
      <c r="G32" s="25">
        <v>1.538</v>
      </c>
    </row>
    <row r="33" spans="2:7" x14ac:dyDescent="0.25">
      <c r="B33" s="23">
        <v>74</v>
      </c>
      <c r="C33" s="23" t="s">
        <v>49</v>
      </c>
      <c r="D33" s="23"/>
      <c r="E33" s="23">
        <v>1</v>
      </c>
      <c r="F33" s="23">
        <v>0.1326</v>
      </c>
      <c r="G33" s="25">
        <v>1.381</v>
      </c>
    </row>
    <row r="34" spans="2:7" x14ac:dyDescent="0.25">
      <c r="B34" s="23">
        <v>75</v>
      </c>
      <c r="C34" s="23" t="s">
        <v>49</v>
      </c>
      <c r="D34" s="23"/>
      <c r="E34" s="23">
        <v>1</v>
      </c>
      <c r="F34" s="23">
        <v>0.12969999999999998</v>
      </c>
      <c r="G34" s="25">
        <v>1.45</v>
      </c>
    </row>
    <row r="35" spans="2:7" x14ac:dyDescent="0.25">
      <c r="B35" s="23">
        <v>76</v>
      </c>
      <c r="C35" s="23" t="s">
        <v>49</v>
      </c>
      <c r="D35" s="23"/>
      <c r="E35" s="23">
        <v>1</v>
      </c>
      <c r="F35" s="23">
        <v>0.13400000000000001</v>
      </c>
      <c r="G35" s="25">
        <v>1.4530000000000001</v>
      </c>
    </row>
    <row r="36" spans="2:7" x14ac:dyDescent="0.25">
      <c r="B36" s="23">
        <v>78</v>
      </c>
      <c r="C36" s="23" t="s">
        <v>49</v>
      </c>
      <c r="D36" s="23"/>
      <c r="E36" s="23">
        <v>1</v>
      </c>
      <c r="F36" s="23">
        <v>0.1221</v>
      </c>
      <c r="G36" s="25">
        <v>1.4119999999999999</v>
      </c>
    </row>
    <row r="37" spans="2:7" x14ac:dyDescent="0.25">
      <c r="B37" s="23">
        <v>79</v>
      </c>
      <c r="C37" s="23" t="s">
        <v>49</v>
      </c>
      <c r="D37" s="23"/>
      <c r="E37" s="23">
        <v>1</v>
      </c>
      <c r="F37" s="23">
        <v>0.13219999999999998</v>
      </c>
      <c r="G37" s="25">
        <v>1.2889999999999999</v>
      </c>
    </row>
    <row r="38" spans="2:7" x14ac:dyDescent="0.25">
      <c r="B38" s="23">
        <v>80</v>
      </c>
      <c r="C38" s="23" t="s">
        <v>49</v>
      </c>
      <c r="D38" s="23"/>
      <c r="E38" s="23">
        <v>1</v>
      </c>
      <c r="F38" s="23">
        <v>0.1265</v>
      </c>
      <c r="G38" s="25">
        <v>1.431</v>
      </c>
    </row>
    <row r="39" spans="2:7" x14ac:dyDescent="0.25">
      <c r="B39" s="23">
        <v>84</v>
      </c>
      <c r="C39" s="23" t="s">
        <v>49</v>
      </c>
      <c r="D39" s="23"/>
      <c r="E39" s="23">
        <v>1</v>
      </c>
      <c r="F39" s="23">
        <v>0.13540000000000002</v>
      </c>
      <c r="G39" s="25">
        <v>1.55</v>
      </c>
    </row>
    <row r="40" spans="2:7" x14ac:dyDescent="0.25">
      <c r="B40" s="23">
        <v>85</v>
      </c>
      <c r="C40" s="23" t="s">
        <v>49</v>
      </c>
      <c r="D40" s="23"/>
      <c r="E40" s="23">
        <v>1</v>
      </c>
      <c r="F40" s="23">
        <v>0.12440000000000001</v>
      </c>
      <c r="G40" s="25">
        <v>1.306</v>
      </c>
    </row>
    <row r="41" spans="2:7" x14ac:dyDescent="0.25">
      <c r="B41" s="23">
        <v>88</v>
      </c>
      <c r="C41" s="23" t="s">
        <v>49</v>
      </c>
      <c r="D41" s="23"/>
      <c r="E41" s="23">
        <v>1</v>
      </c>
      <c r="F41" s="23">
        <v>0.126</v>
      </c>
      <c r="G41" s="25">
        <v>1.3109999999999999</v>
      </c>
    </row>
    <row r="42" spans="2:7" x14ac:dyDescent="0.25">
      <c r="B42" s="23">
        <v>89</v>
      </c>
      <c r="C42" s="23" t="s">
        <v>49</v>
      </c>
      <c r="D42" s="23"/>
      <c r="E42" s="23">
        <v>1</v>
      </c>
      <c r="F42" s="23">
        <v>0.13369999999999999</v>
      </c>
      <c r="G42" s="25">
        <v>1.276</v>
      </c>
    </row>
    <row r="43" spans="2:7" x14ac:dyDescent="0.25">
      <c r="B43" s="23">
        <v>90</v>
      </c>
      <c r="C43" s="23" t="s">
        <v>49</v>
      </c>
      <c r="D43" s="23"/>
      <c r="E43" s="23">
        <v>1</v>
      </c>
      <c r="F43" s="23">
        <v>0.13040000000000002</v>
      </c>
      <c r="G43" s="25">
        <v>1.4850000000000001</v>
      </c>
    </row>
    <row r="44" spans="2:7" x14ac:dyDescent="0.25">
      <c r="B44" s="23">
        <v>91</v>
      </c>
      <c r="C44" s="23" t="s">
        <v>49</v>
      </c>
      <c r="D44" s="23"/>
      <c r="E44" s="23">
        <v>1</v>
      </c>
      <c r="F44" s="23">
        <v>0.127</v>
      </c>
      <c r="G44" s="25">
        <v>1.423</v>
      </c>
    </row>
    <row r="45" spans="2:7" x14ac:dyDescent="0.25">
      <c r="B45" s="23">
        <v>92</v>
      </c>
      <c r="C45" s="23" t="s">
        <v>49</v>
      </c>
      <c r="D45" s="23"/>
      <c r="E45" s="23">
        <v>1</v>
      </c>
      <c r="F45" s="23">
        <v>0.13340000000000002</v>
      </c>
      <c r="G45" s="25">
        <v>1.359</v>
      </c>
    </row>
    <row r="46" spans="2:7" x14ac:dyDescent="0.25">
      <c r="B46" s="23">
        <v>97</v>
      </c>
      <c r="C46" s="23" t="s">
        <v>49</v>
      </c>
      <c r="D46" s="23"/>
      <c r="E46" s="23">
        <v>1</v>
      </c>
      <c r="F46" s="23">
        <v>0.1305</v>
      </c>
      <c r="G46" s="25">
        <v>1.4470000000000001</v>
      </c>
    </row>
    <row r="47" spans="2:7" x14ac:dyDescent="0.25">
      <c r="B47" s="23">
        <v>100</v>
      </c>
      <c r="C47" s="23" t="s">
        <v>49</v>
      </c>
      <c r="D47" s="23"/>
      <c r="E47" s="23">
        <v>1</v>
      </c>
      <c r="F47" s="23">
        <v>0.12759999999999999</v>
      </c>
      <c r="G47" s="25">
        <v>1.409</v>
      </c>
    </row>
    <row r="48" spans="2:7" x14ac:dyDescent="0.25">
      <c r="B48" s="23">
        <v>104</v>
      </c>
      <c r="C48" s="23" t="s">
        <v>49</v>
      </c>
      <c r="D48" s="23"/>
      <c r="E48" s="23">
        <v>1</v>
      </c>
      <c r="F48" s="23">
        <v>0.13290000000000002</v>
      </c>
      <c r="G48" s="25">
        <v>1.597</v>
      </c>
    </row>
    <row r="49" spans="2:7" x14ac:dyDescent="0.25">
      <c r="B49" s="23">
        <v>105</v>
      </c>
      <c r="C49" s="23" t="s">
        <v>49</v>
      </c>
      <c r="D49" s="23"/>
      <c r="E49" s="23">
        <v>1</v>
      </c>
      <c r="F49" s="23">
        <v>0.12809999999999999</v>
      </c>
      <c r="G49" s="25">
        <v>1.4630000000000001</v>
      </c>
    </row>
    <row r="50" spans="2:7" x14ac:dyDescent="0.25">
      <c r="B50" s="23">
        <v>106</v>
      </c>
      <c r="C50" s="23" t="s">
        <v>49</v>
      </c>
      <c r="D50" s="23"/>
      <c r="E50" s="23">
        <v>1</v>
      </c>
      <c r="F50" s="23">
        <v>0.13730000000000001</v>
      </c>
      <c r="G50" s="25">
        <v>1.3560000000000001</v>
      </c>
    </row>
    <row r="51" spans="2:7" x14ac:dyDescent="0.25">
      <c r="B51" s="23">
        <v>108</v>
      </c>
      <c r="C51" s="23" t="s">
        <v>49</v>
      </c>
      <c r="D51" s="23"/>
      <c r="E51" s="23">
        <v>1</v>
      </c>
      <c r="F51" s="23">
        <v>0.1268</v>
      </c>
      <c r="G51" s="25">
        <v>1.3069999999999999</v>
      </c>
    </row>
    <row r="52" spans="2:7" x14ac:dyDescent="0.25">
      <c r="B52" s="23">
        <v>115</v>
      </c>
      <c r="C52" s="23" t="s">
        <v>49</v>
      </c>
      <c r="D52" s="23"/>
      <c r="E52" s="23">
        <v>1</v>
      </c>
      <c r="F52" s="23">
        <v>0.13109999999999999</v>
      </c>
      <c r="G52" s="25">
        <v>1.5389999999999999</v>
      </c>
    </row>
    <row r="53" spans="2:7" x14ac:dyDescent="0.25">
      <c r="B53" s="23">
        <v>116</v>
      </c>
      <c r="C53" s="23" t="s">
        <v>49</v>
      </c>
      <c r="D53" s="23"/>
      <c r="E53" s="23">
        <v>1</v>
      </c>
      <c r="F53" s="23">
        <v>0.13500000000000001</v>
      </c>
      <c r="G53" s="25">
        <v>1.496</v>
      </c>
    </row>
    <row r="54" spans="2:7" x14ac:dyDescent="0.25">
      <c r="B54" s="23">
        <v>118</v>
      </c>
      <c r="C54" s="23" t="s">
        <v>49</v>
      </c>
      <c r="D54" s="23"/>
      <c r="E54" s="23">
        <v>1</v>
      </c>
      <c r="F54" s="23">
        <v>0.13109999999999999</v>
      </c>
      <c r="G54" s="25">
        <v>1.4910000000000001</v>
      </c>
    </row>
    <row r="55" spans="2:7" x14ac:dyDescent="0.25">
      <c r="B55" s="23">
        <v>120</v>
      </c>
      <c r="C55" s="23" t="s">
        <v>49</v>
      </c>
      <c r="D55" s="23"/>
      <c r="E55" s="23">
        <v>1</v>
      </c>
      <c r="F55" s="23">
        <v>0.12890000000000001</v>
      </c>
      <c r="G55" s="25">
        <v>1.5249999999999999</v>
      </c>
    </row>
    <row r="56" spans="2:7" x14ac:dyDescent="0.25">
      <c r="B56" s="23">
        <v>128</v>
      </c>
      <c r="C56" s="23" t="s">
        <v>49</v>
      </c>
      <c r="D56" s="23"/>
      <c r="E56" s="23">
        <v>1</v>
      </c>
      <c r="F56" s="23">
        <v>0.12620000000000001</v>
      </c>
      <c r="G56" s="25">
        <v>1.425</v>
      </c>
    </row>
    <row r="57" spans="2:7" x14ac:dyDescent="0.25">
      <c r="B57" s="23">
        <v>129</v>
      </c>
      <c r="C57" s="23" t="s">
        <v>49</v>
      </c>
      <c r="D57" s="23"/>
      <c r="E57" s="23">
        <v>1</v>
      </c>
      <c r="F57" s="23">
        <v>0.12709999999999999</v>
      </c>
      <c r="G57" s="25">
        <v>1.48</v>
      </c>
    </row>
    <row r="58" spans="2:7" x14ac:dyDescent="0.25">
      <c r="B58" s="23">
        <v>130</v>
      </c>
      <c r="C58" s="23" t="s">
        <v>49</v>
      </c>
      <c r="D58" s="23"/>
      <c r="E58" s="23">
        <v>1</v>
      </c>
      <c r="F58" s="23">
        <v>0.13669999999999999</v>
      </c>
      <c r="G58" s="25">
        <v>1.373</v>
      </c>
    </row>
    <row r="59" spans="2:7" x14ac:dyDescent="0.25">
      <c r="B59" s="23">
        <v>134</v>
      </c>
      <c r="C59" s="23" t="s">
        <v>49</v>
      </c>
      <c r="D59" s="23"/>
      <c r="E59" s="23">
        <v>1</v>
      </c>
      <c r="F59" s="23">
        <v>0.12859999999999999</v>
      </c>
      <c r="G59" s="25">
        <v>1.4379999999999999</v>
      </c>
    </row>
    <row r="60" spans="2:7" x14ac:dyDescent="0.25">
      <c r="B60" s="23">
        <v>136</v>
      </c>
      <c r="C60" s="23" t="s">
        <v>49</v>
      </c>
      <c r="D60" s="23"/>
      <c r="E60" s="23">
        <v>1</v>
      </c>
      <c r="F60" s="23">
        <v>0.13340000000000002</v>
      </c>
      <c r="G60" s="25">
        <v>1.5489999999999999</v>
      </c>
    </row>
    <row r="61" spans="2:7" x14ac:dyDescent="0.25">
      <c r="B61" s="23">
        <v>137</v>
      </c>
      <c r="C61" s="23" t="s">
        <v>49</v>
      </c>
      <c r="D61" s="23"/>
      <c r="E61" s="23">
        <v>1</v>
      </c>
      <c r="F61" s="23">
        <v>0.12809999999999999</v>
      </c>
      <c r="G61" s="25">
        <v>1.6020000000000001</v>
      </c>
    </row>
    <row r="62" spans="2:7" x14ac:dyDescent="0.25">
      <c r="B62" s="23">
        <v>139</v>
      </c>
      <c r="C62" s="23" t="s">
        <v>49</v>
      </c>
      <c r="D62" s="23"/>
      <c r="E62" s="23">
        <v>1</v>
      </c>
      <c r="F62" s="23">
        <v>0.13240000000000002</v>
      </c>
      <c r="G62" s="25">
        <v>1.355</v>
      </c>
    </row>
    <row r="63" spans="2:7" x14ac:dyDescent="0.25">
      <c r="B63" s="23">
        <v>140</v>
      </c>
      <c r="C63" s="23" t="s">
        <v>49</v>
      </c>
      <c r="D63" s="23"/>
      <c r="E63" s="23">
        <v>1</v>
      </c>
      <c r="F63" s="23">
        <v>0.12620000000000001</v>
      </c>
      <c r="G63" s="25">
        <v>1.4019999999999999</v>
      </c>
    </row>
    <row r="64" spans="2:7" x14ac:dyDescent="0.25">
      <c r="B64" s="23">
        <v>145</v>
      </c>
      <c r="C64" s="23" t="s">
        <v>49</v>
      </c>
      <c r="D64" s="23"/>
      <c r="E64" s="23">
        <v>1</v>
      </c>
      <c r="F64" s="23">
        <v>0.13009999999999999</v>
      </c>
      <c r="G64" s="25">
        <v>1.502</v>
      </c>
    </row>
    <row r="65" spans="2:7" x14ac:dyDescent="0.25">
      <c r="B65" s="23">
        <v>156</v>
      </c>
      <c r="C65" s="23" t="s">
        <v>49</v>
      </c>
      <c r="D65" s="23"/>
      <c r="E65" s="23">
        <v>1</v>
      </c>
      <c r="F65" s="23">
        <v>0.12809999999999999</v>
      </c>
      <c r="G65" s="25">
        <v>1.4670000000000001</v>
      </c>
    </row>
    <row r="66" spans="2:7" x14ac:dyDescent="0.25">
      <c r="B66" s="23">
        <v>170</v>
      </c>
      <c r="C66" s="23" t="s">
        <v>49</v>
      </c>
      <c r="D66" s="23"/>
      <c r="E66" s="23">
        <v>1</v>
      </c>
      <c r="F66" s="23">
        <v>0.13400000000000001</v>
      </c>
      <c r="G66" s="25">
        <v>1.4870000000000001</v>
      </c>
    </row>
    <row r="67" spans="2:7" x14ac:dyDescent="0.25">
      <c r="B67" s="23">
        <v>172</v>
      </c>
      <c r="C67" s="23" t="s">
        <v>49</v>
      </c>
      <c r="D67" s="23"/>
      <c r="E67" s="23">
        <v>1</v>
      </c>
      <c r="F67" s="23">
        <v>0.12670000000000001</v>
      </c>
      <c r="G67" s="25">
        <v>1.4179999999999999</v>
      </c>
    </row>
    <row r="68" spans="2:7" x14ac:dyDescent="0.25">
      <c r="B68" s="23">
        <v>174</v>
      </c>
      <c r="C68" s="23" t="s">
        <v>49</v>
      </c>
      <c r="D68" s="23"/>
      <c r="E68" s="23">
        <v>1</v>
      </c>
      <c r="F68" s="23">
        <v>0.13040000000000002</v>
      </c>
      <c r="G68" s="25">
        <v>1.3859999999999999</v>
      </c>
    </row>
    <row r="69" spans="2:7" x14ac:dyDescent="0.25">
      <c r="B69" s="23">
        <v>179</v>
      </c>
      <c r="C69" s="23" t="s">
        <v>49</v>
      </c>
      <c r="D69" s="23"/>
      <c r="E69" s="23">
        <v>1</v>
      </c>
      <c r="F69" s="23">
        <v>0.1181</v>
      </c>
      <c r="G69" s="25">
        <v>1.3380000000000001</v>
      </c>
    </row>
    <row r="70" spans="2:7" x14ac:dyDescent="0.25">
      <c r="B70" s="23">
        <v>191</v>
      </c>
      <c r="C70" s="23" t="s">
        <v>49</v>
      </c>
      <c r="D70" s="23"/>
      <c r="E70" s="23">
        <v>1</v>
      </c>
      <c r="F70" s="23">
        <v>0.1242</v>
      </c>
      <c r="G70" s="25">
        <v>1.431</v>
      </c>
    </row>
    <row r="71" spans="2:7" x14ac:dyDescent="0.25">
      <c r="B71" s="23">
        <v>192</v>
      </c>
      <c r="C71" s="23" t="s">
        <v>49</v>
      </c>
      <c r="D71" s="23"/>
      <c r="E71" s="23">
        <v>1</v>
      </c>
      <c r="F71" s="23">
        <v>0.12509999999999999</v>
      </c>
      <c r="G71" s="25">
        <v>1.61</v>
      </c>
    </row>
    <row r="72" spans="2:7" x14ac:dyDescent="0.25">
      <c r="B72" s="23">
        <v>196</v>
      </c>
      <c r="C72" s="23" t="s">
        <v>49</v>
      </c>
      <c r="D72" s="23"/>
      <c r="E72" s="23">
        <v>1</v>
      </c>
      <c r="F72" s="23">
        <v>0.1258</v>
      </c>
      <c r="G72" s="25">
        <v>1.264</v>
      </c>
    </row>
    <row r="73" spans="2:7" x14ac:dyDescent="0.25">
      <c r="B73" s="23">
        <v>198</v>
      </c>
      <c r="C73" s="23" t="s">
        <v>49</v>
      </c>
      <c r="D73" s="23"/>
      <c r="E73" s="23">
        <v>1</v>
      </c>
      <c r="F73" s="23">
        <v>0.1149</v>
      </c>
      <c r="G73" s="25">
        <v>1.375</v>
      </c>
    </row>
    <row r="74" spans="2:7" x14ac:dyDescent="0.25">
      <c r="B74" s="23">
        <v>204</v>
      </c>
      <c r="C74" s="23" t="s">
        <v>49</v>
      </c>
      <c r="D74" s="23"/>
      <c r="E74" s="23">
        <v>1</v>
      </c>
      <c r="F74" s="23">
        <v>0.13019999999999998</v>
      </c>
      <c r="G74" s="25">
        <v>1.522</v>
      </c>
    </row>
    <row r="75" spans="2:7" x14ac:dyDescent="0.25">
      <c r="B75" s="23">
        <v>207</v>
      </c>
      <c r="C75" s="23" t="s">
        <v>49</v>
      </c>
      <c r="D75" s="23"/>
      <c r="E75" s="23">
        <v>1</v>
      </c>
      <c r="F75" s="23">
        <v>0.13090000000000002</v>
      </c>
      <c r="G75" s="25">
        <v>1.387</v>
      </c>
    </row>
    <row r="76" spans="2:7" x14ac:dyDescent="0.25">
      <c r="B76" s="23">
        <v>212</v>
      </c>
      <c r="C76" s="23" t="s">
        <v>49</v>
      </c>
      <c r="D76" s="23"/>
      <c r="E76" s="23">
        <v>1</v>
      </c>
      <c r="F76" s="23">
        <v>0.13269999999999998</v>
      </c>
      <c r="G76" s="25">
        <v>1.508</v>
      </c>
    </row>
    <row r="77" spans="2:7" x14ac:dyDescent="0.25">
      <c r="B77" s="23">
        <v>217</v>
      </c>
      <c r="C77" s="23" t="s">
        <v>49</v>
      </c>
      <c r="D77" s="23"/>
      <c r="E77" s="23">
        <v>1</v>
      </c>
      <c r="F77" s="23">
        <v>0.1331</v>
      </c>
      <c r="G77" s="25">
        <v>1.5389999999999999</v>
      </c>
    </row>
    <row r="78" spans="2:7" x14ac:dyDescent="0.25">
      <c r="B78" s="23">
        <v>219</v>
      </c>
      <c r="C78" s="23" t="s">
        <v>49</v>
      </c>
      <c r="D78" s="23"/>
      <c r="E78" s="23">
        <v>1</v>
      </c>
      <c r="F78" s="23">
        <v>0.12479999999999999</v>
      </c>
      <c r="G78" s="25">
        <v>1.325</v>
      </c>
    </row>
    <row r="79" spans="2:7" x14ac:dyDescent="0.25">
      <c r="B79" s="23">
        <v>221</v>
      </c>
      <c r="C79" s="23" t="s">
        <v>49</v>
      </c>
      <c r="D79" s="23"/>
      <c r="E79" s="23">
        <v>1</v>
      </c>
      <c r="F79" s="23">
        <v>0.13540000000000002</v>
      </c>
      <c r="G79" s="25">
        <v>1.4830000000000001</v>
      </c>
    </row>
    <row r="80" spans="2:7" x14ac:dyDescent="0.25">
      <c r="B80" s="23">
        <v>223</v>
      </c>
      <c r="C80" s="23" t="s">
        <v>49</v>
      </c>
      <c r="D80" s="23"/>
      <c r="E80" s="23">
        <v>1</v>
      </c>
      <c r="F80" s="23">
        <v>0.12880000000000003</v>
      </c>
      <c r="G80" s="25">
        <v>1.397</v>
      </c>
    </row>
    <row r="81" spans="2:7" x14ac:dyDescent="0.25">
      <c r="B81" s="23">
        <v>225</v>
      </c>
      <c r="C81" s="23" t="s">
        <v>49</v>
      </c>
      <c r="D81" s="23"/>
      <c r="E81" s="23">
        <v>1</v>
      </c>
      <c r="F81" s="23">
        <v>0.1245</v>
      </c>
      <c r="G81" s="25">
        <v>1.405</v>
      </c>
    </row>
    <row r="82" spans="2:7" x14ac:dyDescent="0.25">
      <c r="B82" s="23">
        <v>226</v>
      </c>
      <c r="C82" s="23" t="s">
        <v>49</v>
      </c>
      <c r="D82" s="23"/>
      <c r="E82" s="23">
        <v>1</v>
      </c>
      <c r="F82" s="23">
        <v>0.12640000000000001</v>
      </c>
      <c r="G82" s="25">
        <v>1.4750000000000001</v>
      </c>
    </row>
    <row r="83" spans="2:7" x14ac:dyDescent="0.25">
      <c r="B83" s="23">
        <v>237</v>
      </c>
      <c r="C83" s="23" t="s">
        <v>49</v>
      </c>
      <c r="D83" s="23"/>
      <c r="E83" s="23">
        <v>1</v>
      </c>
      <c r="F83" s="23">
        <v>0.12709999999999999</v>
      </c>
      <c r="G83" s="25">
        <v>1.448</v>
      </c>
    </row>
    <row r="84" spans="2:7" x14ac:dyDescent="0.25">
      <c r="B84" s="23">
        <v>241</v>
      </c>
      <c r="C84" s="23" t="s">
        <v>49</v>
      </c>
      <c r="D84" s="23"/>
      <c r="E84" s="23">
        <v>1</v>
      </c>
      <c r="F84" s="23">
        <v>0.12340000000000001</v>
      </c>
      <c r="G84" s="25">
        <v>1.302</v>
      </c>
    </row>
    <row r="85" spans="2:7" x14ac:dyDescent="0.25">
      <c r="B85" s="23">
        <v>242</v>
      </c>
      <c r="C85" s="23" t="s">
        <v>49</v>
      </c>
      <c r="D85" s="23"/>
      <c r="E85" s="23">
        <v>1</v>
      </c>
      <c r="F85" s="23">
        <v>0.1295</v>
      </c>
      <c r="G85" s="25">
        <v>1.4530000000000001</v>
      </c>
    </row>
    <row r="86" spans="2:7" x14ac:dyDescent="0.25">
      <c r="B86" s="23">
        <v>243</v>
      </c>
      <c r="C86" s="23" t="s">
        <v>49</v>
      </c>
      <c r="D86" s="23"/>
      <c r="E86" s="23">
        <v>1</v>
      </c>
      <c r="F86" s="23">
        <v>0.12890000000000001</v>
      </c>
      <c r="G86" s="25">
        <v>1.302</v>
      </c>
    </row>
    <row r="87" spans="2:7" x14ac:dyDescent="0.25">
      <c r="B87" s="23">
        <v>244</v>
      </c>
      <c r="C87" s="23" t="s">
        <v>49</v>
      </c>
      <c r="D87" s="23"/>
      <c r="E87" s="23">
        <v>1</v>
      </c>
      <c r="F87" s="23">
        <v>0.129</v>
      </c>
      <c r="G87" s="25">
        <v>1.5029999999999999</v>
      </c>
    </row>
    <row r="88" spans="2:7" x14ac:dyDescent="0.25">
      <c r="B88" s="23">
        <v>246</v>
      </c>
      <c r="C88" s="23" t="s">
        <v>49</v>
      </c>
      <c r="D88" s="23"/>
      <c r="E88" s="23">
        <v>1</v>
      </c>
      <c r="F88" s="23">
        <v>0.12329999999999999</v>
      </c>
      <c r="G88" s="25">
        <v>1.3979999999999999</v>
      </c>
    </row>
    <row r="89" spans="2:7" x14ac:dyDescent="0.25">
      <c r="B89" s="23">
        <v>248</v>
      </c>
      <c r="C89" s="23" t="s">
        <v>49</v>
      </c>
      <c r="D89" s="23"/>
      <c r="E89" s="23">
        <v>1</v>
      </c>
      <c r="F89" s="23">
        <v>0.12709999999999999</v>
      </c>
      <c r="G89" s="25">
        <v>1.516</v>
      </c>
    </row>
    <row r="90" spans="2:7" x14ac:dyDescent="0.25">
      <c r="B90" s="23">
        <v>251</v>
      </c>
      <c r="C90" s="23" t="s">
        <v>49</v>
      </c>
      <c r="D90" s="23"/>
      <c r="E90" s="23">
        <v>1</v>
      </c>
      <c r="F90" s="23">
        <v>0.14250000000000002</v>
      </c>
      <c r="G90" s="25">
        <v>1.389</v>
      </c>
    </row>
    <row r="91" spans="2:7" x14ac:dyDescent="0.25">
      <c r="B91" s="23">
        <v>252</v>
      </c>
      <c r="C91" s="23" t="s">
        <v>49</v>
      </c>
      <c r="D91" s="23"/>
      <c r="E91" s="23">
        <v>1</v>
      </c>
      <c r="F91" s="23">
        <v>0.1246</v>
      </c>
      <c r="G91" s="25">
        <v>1.329</v>
      </c>
    </row>
    <row r="92" spans="2:7" x14ac:dyDescent="0.25">
      <c r="B92" s="23">
        <v>253</v>
      </c>
      <c r="C92" s="23" t="s">
        <v>49</v>
      </c>
      <c r="D92" s="23"/>
      <c r="E92" s="23">
        <v>1</v>
      </c>
      <c r="F92" s="23">
        <v>0.1331</v>
      </c>
      <c r="G92" s="25">
        <v>1.2929999999999999</v>
      </c>
    </row>
    <row r="93" spans="2:7" x14ac:dyDescent="0.25">
      <c r="B93" s="23">
        <v>254</v>
      </c>
      <c r="C93" s="23" t="s">
        <v>49</v>
      </c>
      <c r="D93" s="23"/>
      <c r="E93" s="23">
        <v>1</v>
      </c>
      <c r="F93" s="23">
        <v>0.12340000000000001</v>
      </c>
      <c r="G93" s="25">
        <v>1.389</v>
      </c>
    </row>
    <row r="94" spans="2:7" x14ac:dyDescent="0.25">
      <c r="B94" s="23">
        <v>255</v>
      </c>
      <c r="C94" s="23" t="s">
        <v>49</v>
      </c>
      <c r="D94" s="23"/>
      <c r="E94" s="23">
        <v>1</v>
      </c>
      <c r="F94" s="23">
        <v>0.13250000000000001</v>
      </c>
      <c r="G94" s="25">
        <v>1.544</v>
      </c>
    </row>
    <row r="95" spans="2:7" x14ac:dyDescent="0.25">
      <c r="B95" s="23">
        <v>256</v>
      </c>
      <c r="C95" s="23" t="s">
        <v>49</v>
      </c>
      <c r="D95" s="23"/>
      <c r="E95" s="23">
        <v>1</v>
      </c>
      <c r="F95" s="23">
        <v>0.13130000000000003</v>
      </c>
      <c r="G95" s="25">
        <v>1.552</v>
      </c>
    </row>
    <row r="96" spans="2:7" x14ac:dyDescent="0.25">
      <c r="B96" s="23">
        <v>257</v>
      </c>
      <c r="C96" s="23" t="s">
        <v>49</v>
      </c>
      <c r="D96" s="23"/>
      <c r="E96" s="23">
        <v>1</v>
      </c>
      <c r="F96" s="23">
        <v>0.1217</v>
      </c>
      <c r="G96" s="25">
        <v>1.3280000000000001</v>
      </c>
    </row>
    <row r="97" spans="2:7" x14ac:dyDescent="0.25">
      <c r="B97" s="23">
        <v>264</v>
      </c>
      <c r="C97" s="23" t="s">
        <v>49</v>
      </c>
      <c r="D97" s="23"/>
      <c r="E97" s="23">
        <v>1</v>
      </c>
      <c r="F97" s="23">
        <v>0.13</v>
      </c>
      <c r="G97" s="25">
        <v>1.355</v>
      </c>
    </row>
    <row r="98" spans="2:7" x14ac:dyDescent="0.25">
      <c r="B98" s="23">
        <v>266</v>
      </c>
      <c r="C98" s="23" t="s">
        <v>49</v>
      </c>
      <c r="D98" s="23"/>
      <c r="E98" s="23">
        <v>1</v>
      </c>
      <c r="F98" s="23">
        <v>0.12759999999999999</v>
      </c>
      <c r="G98" s="25">
        <v>1.4410000000000001</v>
      </c>
    </row>
    <row r="99" spans="2:7" x14ac:dyDescent="0.25">
      <c r="B99" s="23">
        <v>269</v>
      </c>
      <c r="C99" s="23" t="s">
        <v>49</v>
      </c>
      <c r="D99" s="23"/>
      <c r="E99" s="23">
        <v>1</v>
      </c>
      <c r="F99" s="23">
        <v>0.12440000000000001</v>
      </c>
      <c r="G99" s="25">
        <v>1.3009999999999999</v>
      </c>
    </row>
    <row r="100" spans="2:7" x14ac:dyDescent="0.25">
      <c r="B100" s="23">
        <v>270</v>
      </c>
      <c r="C100" s="23" t="s">
        <v>49</v>
      </c>
      <c r="D100" s="23"/>
      <c r="E100" s="23">
        <v>1</v>
      </c>
      <c r="F100" s="23">
        <v>0.12959999999999999</v>
      </c>
      <c r="G100" s="25">
        <v>1.319</v>
      </c>
    </row>
    <row r="101" spans="2:7" x14ac:dyDescent="0.25">
      <c r="B101" s="23">
        <v>272</v>
      </c>
      <c r="C101" s="23" t="s">
        <v>49</v>
      </c>
      <c r="D101" s="23"/>
      <c r="E101" s="23">
        <v>1</v>
      </c>
      <c r="F101" s="23">
        <v>0.127</v>
      </c>
      <c r="G101" s="25">
        <v>1.56</v>
      </c>
    </row>
    <row r="102" spans="2:7" x14ac:dyDescent="0.25">
      <c r="B102" s="23">
        <v>275</v>
      </c>
      <c r="C102" s="23" t="s">
        <v>49</v>
      </c>
      <c r="D102" s="23"/>
      <c r="E102" s="23">
        <v>1</v>
      </c>
      <c r="F102" s="23">
        <v>0.13269999999999998</v>
      </c>
      <c r="G102" s="25">
        <v>1.4239999999999999</v>
      </c>
    </row>
    <row r="103" spans="2:7" x14ac:dyDescent="0.25">
      <c r="B103" s="23">
        <v>277</v>
      </c>
      <c r="C103" s="23" t="s">
        <v>49</v>
      </c>
      <c r="D103" s="23"/>
      <c r="E103" s="23">
        <v>1</v>
      </c>
      <c r="F103" s="23">
        <v>0.13</v>
      </c>
      <c r="G103" s="25">
        <v>1.5</v>
      </c>
    </row>
    <row r="104" spans="2:7" x14ac:dyDescent="0.25">
      <c r="B104" s="23">
        <v>280</v>
      </c>
      <c r="C104" s="23" t="s">
        <v>49</v>
      </c>
      <c r="D104" s="23"/>
      <c r="E104" s="23">
        <v>1</v>
      </c>
      <c r="F104" s="23">
        <v>0.1341</v>
      </c>
      <c r="G104" s="25">
        <v>1.5720000000000001</v>
      </c>
    </row>
    <row r="105" spans="2:7" x14ac:dyDescent="0.25">
      <c r="B105" s="23">
        <v>288</v>
      </c>
      <c r="C105" s="23" t="s">
        <v>49</v>
      </c>
      <c r="D105" s="23"/>
      <c r="E105" s="23">
        <v>1</v>
      </c>
      <c r="F105" s="23">
        <v>0.12770000000000001</v>
      </c>
      <c r="G105" s="25">
        <v>1.385</v>
      </c>
    </row>
    <row r="106" spans="2:7" x14ac:dyDescent="0.25">
      <c r="B106" s="23">
        <v>290</v>
      </c>
      <c r="C106" s="23" t="s">
        <v>49</v>
      </c>
      <c r="D106" s="23"/>
      <c r="E106" s="23">
        <v>1</v>
      </c>
      <c r="F106" s="23">
        <v>0.13390000000000002</v>
      </c>
      <c r="G106" s="25">
        <v>1.304</v>
      </c>
    </row>
    <row r="107" spans="2:7" x14ac:dyDescent="0.25">
      <c r="B107" s="23">
        <v>291</v>
      </c>
      <c r="C107" s="23" t="s">
        <v>49</v>
      </c>
      <c r="D107" s="23"/>
      <c r="E107" s="23">
        <v>1</v>
      </c>
      <c r="F107" s="23">
        <v>0.12290000000000001</v>
      </c>
      <c r="G107" s="25">
        <v>1.379</v>
      </c>
    </row>
    <row r="108" spans="2:7" x14ac:dyDescent="0.25">
      <c r="B108" s="23">
        <v>293</v>
      </c>
      <c r="C108" s="23" t="s">
        <v>49</v>
      </c>
      <c r="D108" s="23"/>
      <c r="E108" s="23">
        <v>1</v>
      </c>
      <c r="F108" s="23">
        <v>0.13250000000000001</v>
      </c>
      <c r="G108" s="25">
        <v>1.4930000000000001</v>
      </c>
    </row>
    <row r="109" spans="2:7" x14ac:dyDescent="0.25">
      <c r="B109" s="23">
        <v>294</v>
      </c>
      <c r="C109" s="23" t="s">
        <v>49</v>
      </c>
      <c r="D109" s="23"/>
      <c r="E109" s="23">
        <v>1</v>
      </c>
      <c r="F109" s="23">
        <v>0.1348</v>
      </c>
      <c r="G109" s="25">
        <v>1.5029999999999999</v>
      </c>
    </row>
    <row r="110" spans="2:7" x14ac:dyDescent="0.25">
      <c r="B110" s="23">
        <v>296</v>
      </c>
      <c r="C110" s="23" t="s">
        <v>49</v>
      </c>
      <c r="D110" s="23"/>
      <c r="E110" s="23">
        <v>1</v>
      </c>
      <c r="F110" s="23">
        <v>0.1245</v>
      </c>
      <c r="G110" s="25">
        <v>1.4219999999999999</v>
      </c>
    </row>
    <row r="111" spans="2:7" x14ac:dyDescent="0.25">
      <c r="B111" s="23">
        <v>300</v>
      </c>
      <c r="C111" s="23" t="s">
        <v>49</v>
      </c>
      <c r="D111" s="23"/>
      <c r="E111" s="23">
        <v>1</v>
      </c>
      <c r="F111" s="23">
        <v>0.12520000000000001</v>
      </c>
      <c r="G111" s="25">
        <v>1.323</v>
      </c>
    </row>
    <row r="112" spans="2:7" x14ac:dyDescent="0.25">
      <c r="B112" s="23">
        <v>304</v>
      </c>
      <c r="C112" s="23" t="s">
        <v>49</v>
      </c>
      <c r="D112" s="23"/>
      <c r="E112" s="23">
        <v>1</v>
      </c>
      <c r="F112" s="23">
        <v>0.1333</v>
      </c>
      <c r="G112" s="25">
        <v>1.355</v>
      </c>
    </row>
    <row r="113" spans="2:7" x14ac:dyDescent="0.25">
      <c r="B113" s="23">
        <v>305</v>
      </c>
      <c r="C113" s="23" t="s">
        <v>49</v>
      </c>
      <c r="D113" s="23"/>
      <c r="E113" s="23">
        <v>1</v>
      </c>
      <c r="F113" s="23">
        <v>0.12379999999999999</v>
      </c>
      <c r="G113" s="25">
        <v>1.35</v>
      </c>
    </row>
    <row r="114" spans="2:7" x14ac:dyDescent="0.25">
      <c r="B114" s="23">
        <v>307</v>
      </c>
      <c r="C114" s="23" t="s">
        <v>49</v>
      </c>
      <c r="D114" s="23"/>
      <c r="E114" s="23">
        <v>1</v>
      </c>
      <c r="F114" s="23">
        <v>0.1246</v>
      </c>
      <c r="G114" s="25">
        <v>1.3280000000000001</v>
      </c>
    </row>
    <row r="115" spans="2:7" x14ac:dyDescent="0.25">
      <c r="B115" s="23">
        <v>310</v>
      </c>
      <c r="C115" s="23" t="s">
        <v>49</v>
      </c>
      <c r="D115" s="23"/>
      <c r="E115" s="23">
        <v>1</v>
      </c>
      <c r="F115" s="23">
        <v>0.127</v>
      </c>
      <c r="G115" s="25">
        <v>1.4279999999999999</v>
      </c>
    </row>
    <row r="116" spans="2:7" x14ac:dyDescent="0.25">
      <c r="B116" s="23">
        <v>312</v>
      </c>
      <c r="C116" s="23" t="s">
        <v>49</v>
      </c>
      <c r="D116" s="23"/>
      <c r="E116" s="23">
        <v>1</v>
      </c>
      <c r="F116" s="23">
        <v>0.1348</v>
      </c>
      <c r="G116" s="25">
        <v>1.353</v>
      </c>
    </row>
    <row r="117" spans="2:7" x14ac:dyDescent="0.25">
      <c r="B117" s="23">
        <v>315</v>
      </c>
      <c r="C117" s="23" t="s">
        <v>49</v>
      </c>
      <c r="D117" s="23"/>
      <c r="E117" s="23">
        <v>1</v>
      </c>
      <c r="F117" s="23">
        <v>0.13369999999999999</v>
      </c>
      <c r="G117" s="25">
        <v>1.4830000000000001</v>
      </c>
    </row>
    <row r="118" spans="2:7" x14ac:dyDescent="0.25">
      <c r="B118" s="23">
        <v>316</v>
      </c>
      <c r="C118" s="23" t="s">
        <v>49</v>
      </c>
      <c r="D118" s="23"/>
      <c r="E118" s="23">
        <v>1</v>
      </c>
      <c r="F118" s="23">
        <v>0.129</v>
      </c>
      <c r="G118" s="25">
        <v>1.4810000000000001</v>
      </c>
    </row>
    <row r="119" spans="2:7" x14ac:dyDescent="0.25">
      <c r="B119" s="23">
        <v>317</v>
      </c>
      <c r="C119" s="23" t="s">
        <v>49</v>
      </c>
      <c r="D119" s="23"/>
      <c r="E119" s="23">
        <v>1</v>
      </c>
      <c r="F119" s="23">
        <v>0.1236</v>
      </c>
      <c r="G119" s="25">
        <v>1.4990000000000001</v>
      </c>
    </row>
    <row r="120" spans="2:7" x14ac:dyDescent="0.25">
      <c r="B120" s="23">
        <v>320</v>
      </c>
      <c r="C120" s="23" t="s">
        <v>49</v>
      </c>
      <c r="D120" s="23"/>
      <c r="E120" s="23">
        <v>1</v>
      </c>
      <c r="F120" s="23">
        <v>0.12329999999999999</v>
      </c>
      <c r="G120" s="25">
        <v>1.3620000000000001</v>
      </c>
    </row>
    <row r="121" spans="2:7" x14ac:dyDescent="0.25">
      <c r="B121" s="23">
        <v>324</v>
      </c>
      <c r="C121" s="23" t="s">
        <v>49</v>
      </c>
      <c r="D121" s="23"/>
      <c r="E121" s="23">
        <v>1</v>
      </c>
      <c r="F121" s="23">
        <v>0.1371</v>
      </c>
      <c r="G121" s="25">
        <v>1.4690000000000001</v>
      </c>
    </row>
    <row r="122" spans="2:7" x14ac:dyDescent="0.25">
      <c r="B122" s="23">
        <v>327</v>
      </c>
      <c r="C122" s="23" t="s">
        <v>49</v>
      </c>
      <c r="D122" s="23"/>
      <c r="E122" s="23">
        <v>1</v>
      </c>
      <c r="F122" s="23">
        <v>0.1245</v>
      </c>
      <c r="G122" s="25">
        <v>1.3879999999999999</v>
      </c>
    </row>
    <row r="123" spans="2:7" x14ac:dyDescent="0.25">
      <c r="B123" s="23">
        <v>328</v>
      </c>
      <c r="C123" s="23" t="s">
        <v>49</v>
      </c>
      <c r="D123" s="23"/>
      <c r="E123" s="23">
        <v>1</v>
      </c>
      <c r="F123" s="23">
        <v>0.128</v>
      </c>
      <c r="G123" s="25">
        <v>1.423</v>
      </c>
    </row>
    <row r="124" spans="2:7" x14ac:dyDescent="0.25">
      <c r="B124" s="23">
        <v>329</v>
      </c>
      <c r="C124" s="23" t="s">
        <v>49</v>
      </c>
      <c r="D124" s="23"/>
      <c r="E124" s="23">
        <v>1</v>
      </c>
      <c r="F124" s="23">
        <v>0.12379999999999999</v>
      </c>
      <c r="G124" s="25">
        <v>1.4610000000000001</v>
      </c>
    </row>
    <row r="125" spans="2:7" x14ac:dyDescent="0.25">
      <c r="B125" s="23">
        <v>330</v>
      </c>
      <c r="C125" s="23" t="s">
        <v>49</v>
      </c>
      <c r="D125" s="23"/>
      <c r="E125" s="23">
        <v>1</v>
      </c>
      <c r="F125" s="23">
        <v>0.13469999999999999</v>
      </c>
      <c r="G125" s="25">
        <v>1.3720000000000001</v>
      </c>
    </row>
    <row r="126" spans="2:7" x14ac:dyDescent="0.25">
      <c r="B126" s="23">
        <v>331</v>
      </c>
      <c r="C126" s="23" t="s">
        <v>49</v>
      </c>
      <c r="D126" s="23"/>
      <c r="E126" s="23">
        <v>1</v>
      </c>
      <c r="F126" s="23">
        <v>0.12809999999999999</v>
      </c>
      <c r="G126" s="25">
        <v>1.56</v>
      </c>
    </row>
    <row r="127" spans="2:7" x14ac:dyDescent="0.25">
      <c r="B127" s="23">
        <v>336</v>
      </c>
      <c r="C127" s="23" t="s">
        <v>49</v>
      </c>
      <c r="D127" s="23"/>
      <c r="E127" s="23">
        <v>1</v>
      </c>
      <c r="F127" s="23">
        <v>0.1348</v>
      </c>
      <c r="G127" s="25">
        <v>1.3560000000000001</v>
      </c>
    </row>
    <row r="128" spans="2:7" x14ac:dyDescent="0.25">
      <c r="B128" s="23">
        <v>337</v>
      </c>
      <c r="C128" s="23" t="s">
        <v>49</v>
      </c>
      <c r="D128" s="23"/>
      <c r="E128" s="23">
        <v>1</v>
      </c>
      <c r="F128" s="23">
        <v>0.13150000000000001</v>
      </c>
      <c r="G128" s="25">
        <v>1.542</v>
      </c>
    </row>
    <row r="129" spans="2:7" x14ac:dyDescent="0.25">
      <c r="B129" s="23">
        <v>339</v>
      </c>
      <c r="C129" s="23" t="s">
        <v>49</v>
      </c>
      <c r="D129" s="23"/>
      <c r="E129" s="23">
        <v>1</v>
      </c>
      <c r="F129" s="23">
        <v>0.11950000000000001</v>
      </c>
      <c r="G129" s="25">
        <v>1.585</v>
      </c>
    </row>
  </sheetData>
  <sheetProtection algorithmName="SHA-512" hashValue="ltja+kp+dudr32JuHJVXkmhIfDaZx2iLrjCWqYNkpXcq7ybIQqqSlPkHMuRr5Uxmxj+tnRFpH1/VJ1xsBgzARg==" saltValue="1mu303M7kUY7G+ww4HMl7Q==" spinCount="100000" sheet="1" objects="1" scenarios="1" sort="0" autoFilter="0"/>
  <autoFilter ref="A13:G129" xr:uid="{6BF51DBC-7FC3-45C3-9372-5CC31EB75BE7}"/>
  <mergeCells count="12">
    <mergeCell ref="A4:G4"/>
    <mergeCell ref="A5:G5"/>
    <mergeCell ref="A6:G6"/>
    <mergeCell ref="A7:G7"/>
    <mergeCell ref="A1:C1"/>
    <mergeCell ref="D1:G1"/>
    <mergeCell ref="A2:B2"/>
    <mergeCell ref="C2:D2"/>
    <mergeCell ref="E2:F2"/>
    <mergeCell ref="A3:B3"/>
    <mergeCell ref="C3:D3"/>
    <mergeCell ref="E3:F3"/>
  </mergeCells>
  <conditionalFormatting sqref="A14:A64">
    <cfRule type="duplicateValues" dxfId="24" priority="11"/>
  </conditionalFormatting>
  <conditionalFormatting sqref="E3:G3">
    <cfRule type="cellIs" dxfId="23" priority="2" operator="equal">
      <formula>0</formula>
    </cfRule>
  </conditionalFormatting>
  <conditionalFormatting sqref="B13">
    <cfRule type="cellIs" dxfId="22" priority="10" operator="equal">
      <formula>"All Pass"</formula>
    </cfRule>
  </conditionalFormatting>
  <conditionalFormatting sqref="B14:B64">
    <cfRule type="duplicateValues" dxfId="21" priority="12"/>
  </conditionalFormatting>
  <conditionalFormatting sqref="C14:C1356">
    <cfRule type="containsBlanks" dxfId="20" priority="6">
      <formula>LEN(TRIM(C14))=0</formula>
    </cfRule>
    <cfRule type="cellIs" dxfId="19" priority="7" operator="equal">
      <formula>"ALL PASS"</formula>
    </cfRule>
    <cfRule type="cellIs" dxfId="18" priority="8" stopIfTrue="1" operator="equal">
      <formula>"ND"</formula>
    </cfRule>
    <cfRule type="cellIs" dxfId="17" priority="9" operator="notEqual">
      <formula>"ALL PASS"</formula>
    </cfRule>
  </conditionalFormatting>
  <conditionalFormatting sqref="E14:E4356">
    <cfRule type="cellIs" dxfId="16" priority="3" stopIfTrue="1" operator="equal">
      <formula>99</formula>
    </cfRule>
    <cfRule type="cellIs" dxfId="15" priority="4" operator="between">
      <formula>2</formula>
      <formula>98</formula>
    </cfRule>
    <cfRule type="cellIs" dxfId="14" priority="5" operator="equal">
      <formula>1</formula>
    </cfRule>
  </conditionalFormatting>
  <conditionalFormatting sqref="A3:D3">
    <cfRule type="cellIs" dxfId="0" priority="1" operator="equal">
      <formula>0</formula>
    </cfRule>
  </conditionalFormatting>
  <hyperlinks>
    <hyperlink ref="D1" location="INDEX!A1" display="RETURN TO INDEX" xr:uid="{458EB806-44AE-4FB6-9F6E-59E2D9581428}"/>
    <hyperlink ref="D1:E1" location="INDEX!A1" display="RETURN TO INDEX" xr:uid="{E4B7F0CF-A7A4-41B7-8F1D-99A7FF8C07D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0127-6D4B-4C23-9A97-C0046A0F362C}">
  <sheetPr>
    <tabColor theme="4" tint="-0.249977111117893"/>
    <pageSetUpPr fitToPage="1"/>
  </sheetPr>
  <dimension ref="A1:E123"/>
  <sheetViews>
    <sheetView zoomScaleNormal="100" workbookViewId="0">
      <pane xSplit="1" ySplit="9" topLeftCell="B10" activePane="bottomRight" state="frozen"/>
      <selection activeCell="B4" sqref="B4:E4"/>
      <selection pane="topRight" activeCell="B4" sqref="B4:E4"/>
      <selection pane="bottomLeft" activeCell="B4" sqref="B4:E4"/>
      <selection pane="bottomRight" activeCell="B4" sqref="B4"/>
    </sheetView>
  </sheetViews>
  <sheetFormatPr defaultColWidth="0" defaultRowHeight="15" zeroHeight="1" x14ac:dyDescent="0.25"/>
  <cols>
    <col min="1" max="1" width="30.140625" customWidth="1"/>
    <col min="2" max="2" width="21" bestFit="1" customWidth="1"/>
    <col min="3" max="3" width="13.5703125" style="22" bestFit="1" customWidth="1"/>
    <col min="4" max="4" width="12" style="22" bestFit="1" customWidth="1"/>
    <col min="5" max="5" width="20" style="22" bestFit="1" customWidth="1"/>
    <col min="6" max="16384" width="9.140625" hidden="1"/>
  </cols>
  <sheetData>
    <row r="1" spans="1:5" ht="26.25" customHeight="1" x14ac:dyDescent="0.25">
      <c r="A1" s="2" t="s">
        <v>71</v>
      </c>
      <c r="B1" s="74" t="s">
        <v>3</v>
      </c>
      <c r="C1" s="74"/>
      <c r="D1" s="74" t="s">
        <v>4</v>
      </c>
      <c r="E1" s="74"/>
    </row>
    <row r="2" spans="1:5" ht="15.75" x14ac:dyDescent="0.25">
      <c r="A2" s="39" t="s">
        <v>97</v>
      </c>
      <c r="B2" s="40" t="s">
        <v>98</v>
      </c>
      <c r="C2" s="40" t="s">
        <v>99</v>
      </c>
      <c r="D2" s="40" t="s">
        <v>100</v>
      </c>
      <c r="E2" s="41"/>
    </row>
    <row r="3" spans="1:5" ht="18.75" x14ac:dyDescent="0.25">
      <c r="A3" s="42" t="s">
        <v>101</v>
      </c>
      <c r="B3" s="43" t="s">
        <v>102</v>
      </c>
      <c r="C3" s="43" t="s">
        <v>103</v>
      </c>
      <c r="D3" s="43">
        <v>2418</v>
      </c>
      <c r="E3" s="41"/>
    </row>
    <row r="4" spans="1:5" ht="27.6" customHeight="1" x14ac:dyDescent="0.35">
      <c r="A4" s="44" t="str">
        <f>"N= " &amp; COUNT($A$10:$A$123)</f>
        <v>N= 45</v>
      </c>
      <c r="B4" s="45"/>
      <c r="C4" s="46" t="s">
        <v>72</v>
      </c>
      <c r="D4" s="47"/>
      <c r="E4" s="47"/>
    </row>
    <row r="5" spans="1:5" ht="27.6" customHeight="1" x14ac:dyDescent="0.4">
      <c r="A5" s="48" t="str">
        <f>IF(COUNTIF($E$11:$E$123,"FAIL")=0,"PASS","FAIL")</f>
        <v>PASS</v>
      </c>
      <c r="B5" s="45"/>
      <c r="C5" s="49">
        <v>45443.504861111112</v>
      </c>
      <c r="D5" s="47"/>
      <c r="E5" s="47"/>
    </row>
    <row r="6" spans="1:5" ht="27.6" customHeight="1" x14ac:dyDescent="0.25">
      <c r="A6" s="50" t="s">
        <v>73</v>
      </c>
      <c r="B6" s="50" t="s">
        <v>74</v>
      </c>
      <c r="C6" s="50" t="s">
        <v>75</v>
      </c>
      <c r="D6" s="51"/>
      <c r="E6" s="52"/>
    </row>
    <row r="7" spans="1:5" ht="27.6" customHeight="1" x14ac:dyDescent="0.25">
      <c r="A7" s="50"/>
      <c r="B7" s="53" t="s">
        <v>76</v>
      </c>
      <c r="C7" s="53">
        <v>150</v>
      </c>
      <c r="D7" s="54" t="s">
        <v>77</v>
      </c>
      <c r="E7" s="52"/>
    </row>
    <row r="8" spans="1:5" ht="27.6" customHeight="1" x14ac:dyDescent="0.25">
      <c r="A8" s="55" t="s">
        <v>78</v>
      </c>
      <c r="B8" s="56">
        <v>4.5E-10</v>
      </c>
      <c r="C8" s="56">
        <v>7.5E-11</v>
      </c>
      <c r="D8" s="56">
        <v>9.9999999999999994E-12</v>
      </c>
      <c r="E8" s="52"/>
    </row>
    <row r="9" spans="1:5" ht="27.6" customHeight="1" x14ac:dyDescent="0.25">
      <c r="A9" s="55" t="s">
        <v>79</v>
      </c>
      <c r="B9" s="57" t="s">
        <v>80</v>
      </c>
      <c r="C9" s="57" t="s">
        <v>81</v>
      </c>
      <c r="D9" s="57" t="s">
        <v>82</v>
      </c>
      <c r="E9" s="58" t="s">
        <v>83</v>
      </c>
    </row>
    <row r="10" spans="1:5" ht="27.6" customHeight="1" x14ac:dyDescent="0.25">
      <c r="A10" s="59">
        <v>907</v>
      </c>
      <c r="B10" s="60">
        <v>3.8300000000000002E-10</v>
      </c>
      <c r="C10" s="60">
        <v>5.8500000000000005E-11</v>
      </c>
      <c r="D10" s="60">
        <v>6.6999999999999997E-13</v>
      </c>
      <c r="E10" s="61" t="str">
        <f>IF(AND(B10&lt;&gt;"", B10&gt;0,B10&lt;=B$8,C10&lt;&gt;"",C10&gt;0,C10&lt;=C$8,D10&lt;&gt;"",D10&gt;0,D10&lt;=D$8),"PASS","FAIL")</f>
        <v>PASS</v>
      </c>
    </row>
    <row r="11" spans="1:5" s="1" customFormat="1" ht="27.6" customHeight="1" x14ac:dyDescent="0.25">
      <c r="A11" s="62">
        <v>909</v>
      </c>
      <c r="B11" s="60">
        <v>1.9799999999999999E-10</v>
      </c>
      <c r="C11" s="60">
        <v>5.8800000000000006E-11</v>
      </c>
      <c r="D11" s="60">
        <v>7.2700000000000003E-13</v>
      </c>
      <c r="E11" s="61" t="str">
        <f t="shared" ref="E11:E54" si="0">IF(AND(B11&lt;&gt;"", B11&gt;0,B11&lt;=B$8,C11&lt;&gt;"",C11&gt;0,C11&lt;=C$8,D11&lt;&gt;"",D11&gt;0,D11&lt;=D$8),"PASS","FAIL")</f>
        <v>PASS</v>
      </c>
    </row>
    <row r="12" spans="1:5" s="1" customFormat="1" ht="27.6" customHeight="1" x14ac:dyDescent="0.25">
      <c r="A12" s="62">
        <v>910</v>
      </c>
      <c r="B12" s="60">
        <v>2.2300000000000001E-10</v>
      </c>
      <c r="C12" s="60">
        <v>5.76E-11</v>
      </c>
      <c r="D12" s="60">
        <v>7.11E-13</v>
      </c>
      <c r="E12" s="61" t="str">
        <f t="shared" si="0"/>
        <v>PASS</v>
      </c>
    </row>
    <row r="13" spans="1:5" s="1" customFormat="1" ht="27.6" customHeight="1" x14ac:dyDescent="0.25">
      <c r="A13" s="62">
        <v>912</v>
      </c>
      <c r="B13" s="60">
        <v>1.9699999999999999E-10</v>
      </c>
      <c r="C13" s="60">
        <v>6.1200000000000006E-11</v>
      </c>
      <c r="D13" s="60">
        <v>7.5600000000000001E-13</v>
      </c>
      <c r="E13" s="61" t="str">
        <f t="shared" si="0"/>
        <v>PASS</v>
      </c>
    </row>
    <row r="14" spans="1:5" s="1" customFormat="1" ht="27.6" customHeight="1" x14ac:dyDescent="0.25">
      <c r="A14" s="62">
        <v>914</v>
      </c>
      <c r="B14" s="60">
        <v>1.9699999999999999E-10</v>
      </c>
      <c r="C14" s="60">
        <v>5.9000000000000003E-11</v>
      </c>
      <c r="D14" s="60">
        <v>6.7700000000000004E-13</v>
      </c>
      <c r="E14" s="61" t="str">
        <f t="shared" si="0"/>
        <v>PASS</v>
      </c>
    </row>
    <row r="15" spans="1:5" s="1" customFormat="1" ht="27.6" customHeight="1" x14ac:dyDescent="0.25">
      <c r="A15" s="62">
        <v>916</v>
      </c>
      <c r="B15" s="60">
        <v>1.96E-10</v>
      </c>
      <c r="C15" s="60">
        <v>5.9800000000000003E-11</v>
      </c>
      <c r="D15" s="60">
        <v>7.12E-13</v>
      </c>
      <c r="E15" s="61" t="str">
        <f t="shared" si="0"/>
        <v>PASS</v>
      </c>
    </row>
    <row r="16" spans="1:5" s="1" customFormat="1" ht="27.6" customHeight="1" x14ac:dyDescent="0.25">
      <c r="A16" s="62">
        <v>918</v>
      </c>
      <c r="B16" s="60">
        <v>1.9699999999999999E-10</v>
      </c>
      <c r="C16" s="60">
        <v>5.8E-11</v>
      </c>
      <c r="D16" s="60">
        <v>6.5300000000000004E-13</v>
      </c>
      <c r="E16" s="61" t="str">
        <f t="shared" si="0"/>
        <v>PASS</v>
      </c>
    </row>
    <row r="17" spans="1:5" s="1" customFormat="1" ht="27.6" customHeight="1" x14ac:dyDescent="0.25">
      <c r="A17" s="62">
        <v>920</v>
      </c>
      <c r="B17" s="60">
        <v>1.9699999999999999E-10</v>
      </c>
      <c r="C17" s="60">
        <v>5.9399999999999997E-11</v>
      </c>
      <c r="D17" s="60">
        <v>7.6499999999999997E-13</v>
      </c>
      <c r="E17" s="61" t="str">
        <f t="shared" si="0"/>
        <v>PASS</v>
      </c>
    </row>
    <row r="18" spans="1:5" s="1" customFormat="1" ht="27.6" customHeight="1" x14ac:dyDescent="0.25">
      <c r="A18" s="62">
        <v>921</v>
      </c>
      <c r="B18" s="60">
        <v>1.96E-10</v>
      </c>
      <c r="C18" s="60">
        <v>6.2500000000000004E-11</v>
      </c>
      <c r="D18" s="60">
        <v>8.0999999999999998E-13</v>
      </c>
      <c r="E18" s="61" t="str">
        <f t="shared" si="0"/>
        <v>PASS</v>
      </c>
    </row>
    <row r="19" spans="1:5" s="1" customFormat="1" ht="27.6" customHeight="1" x14ac:dyDescent="0.25">
      <c r="A19" s="62">
        <v>925</v>
      </c>
      <c r="B19" s="60">
        <v>1.95E-10</v>
      </c>
      <c r="C19" s="60">
        <v>6.2099999999999998E-11</v>
      </c>
      <c r="D19" s="60">
        <v>7.2700000000000003E-13</v>
      </c>
      <c r="E19" s="61" t="str">
        <f t="shared" si="0"/>
        <v>PASS</v>
      </c>
    </row>
    <row r="20" spans="1:5" s="1" customFormat="1" ht="27.6" customHeight="1" x14ac:dyDescent="0.25">
      <c r="A20" s="62">
        <v>926</v>
      </c>
      <c r="B20" s="60">
        <v>1.96E-10</v>
      </c>
      <c r="C20" s="60">
        <v>6.0499999999999998E-11</v>
      </c>
      <c r="D20" s="60">
        <v>6.17E-13</v>
      </c>
      <c r="E20" s="61" t="str">
        <f t="shared" si="0"/>
        <v>PASS</v>
      </c>
    </row>
    <row r="21" spans="1:5" s="1" customFormat="1" ht="27.6" customHeight="1" x14ac:dyDescent="0.25">
      <c r="A21" s="59">
        <v>927</v>
      </c>
      <c r="B21" s="60">
        <v>1.9300000000000001E-10</v>
      </c>
      <c r="C21" s="60">
        <v>6.2200000000000002E-11</v>
      </c>
      <c r="D21" s="60">
        <v>6.2499999999999996E-13</v>
      </c>
      <c r="E21" s="61" t="str">
        <f t="shared" si="0"/>
        <v>PASS</v>
      </c>
    </row>
    <row r="22" spans="1:5" s="1" customFormat="1" ht="27.6" customHeight="1" x14ac:dyDescent="0.25">
      <c r="A22" s="62">
        <v>929</v>
      </c>
      <c r="B22" s="63">
        <v>1.9799999999999999E-10</v>
      </c>
      <c r="C22" s="63">
        <v>6.1700000000000004E-11</v>
      </c>
      <c r="D22" s="63">
        <v>6.2699999999999995E-13</v>
      </c>
      <c r="E22" s="61" t="str">
        <f t="shared" si="0"/>
        <v>PASS</v>
      </c>
    </row>
    <row r="23" spans="1:5" s="1" customFormat="1" ht="27.6" customHeight="1" x14ac:dyDescent="0.25">
      <c r="A23" s="62">
        <v>931</v>
      </c>
      <c r="B23" s="63">
        <v>1.9799999999999999E-10</v>
      </c>
      <c r="C23" s="63">
        <v>5.6300000000000002E-11</v>
      </c>
      <c r="D23" s="63">
        <v>4.39E-13</v>
      </c>
      <c r="E23" s="61" t="str">
        <f t="shared" si="0"/>
        <v>PASS</v>
      </c>
    </row>
    <row r="24" spans="1:5" s="1" customFormat="1" ht="27.6" customHeight="1" x14ac:dyDescent="0.25">
      <c r="A24" s="62">
        <v>934</v>
      </c>
      <c r="B24" s="63">
        <v>1.9799999999999999E-10</v>
      </c>
      <c r="C24" s="63">
        <v>5.7399999999999997E-11</v>
      </c>
      <c r="D24" s="63">
        <v>6.6899999999999998E-13</v>
      </c>
      <c r="E24" s="61" t="str">
        <f t="shared" si="0"/>
        <v>PASS</v>
      </c>
    </row>
    <row r="25" spans="1:5" s="1" customFormat="1" ht="27.6" customHeight="1" x14ac:dyDescent="0.25">
      <c r="A25" s="62">
        <v>935</v>
      </c>
      <c r="B25" s="63">
        <v>1.9200000000000001E-10</v>
      </c>
      <c r="C25" s="63">
        <v>6.2800000000000005E-11</v>
      </c>
      <c r="D25" s="63">
        <v>8.4800000000000002E-13</v>
      </c>
      <c r="E25" s="61" t="str">
        <f t="shared" si="0"/>
        <v>PASS</v>
      </c>
    </row>
    <row r="26" spans="1:5" s="1" customFormat="1" ht="27.6" customHeight="1" x14ac:dyDescent="0.25">
      <c r="A26" s="62">
        <v>936</v>
      </c>
      <c r="B26" s="63">
        <v>1.9699999999999999E-10</v>
      </c>
      <c r="C26" s="63">
        <v>5.9699999999999998E-11</v>
      </c>
      <c r="D26" s="63">
        <v>7.8599999999999998E-13</v>
      </c>
      <c r="E26" s="61" t="str">
        <f t="shared" si="0"/>
        <v>PASS</v>
      </c>
    </row>
    <row r="27" spans="1:5" s="1" customFormat="1" ht="27.6" customHeight="1" x14ac:dyDescent="0.25">
      <c r="A27" s="62">
        <v>937</v>
      </c>
      <c r="B27" s="63">
        <v>1.9300000000000001E-10</v>
      </c>
      <c r="C27" s="63">
        <v>6.0799999999999999E-11</v>
      </c>
      <c r="D27" s="63">
        <v>8.4800000000000002E-13</v>
      </c>
      <c r="E27" s="61" t="str">
        <f t="shared" si="0"/>
        <v>PASS</v>
      </c>
    </row>
    <row r="28" spans="1:5" s="1" customFormat="1" ht="27.6" customHeight="1" x14ac:dyDescent="0.25">
      <c r="A28" s="62">
        <v>938</v>
      </c>
      <c r="B28" s="63">
        <v>1.9699999999999999E-10</v>
      </c>
      <c r="C28" s="63">
        <v>6.1400000000000003E-11</v>
      </c>
      <c r="D28" s="63">
        <v>7.9099999999999996E-13</v>
      </c>
      <c r="E28" s="61" t="str">
        <f t="shared" si="0"/>
        <v>PASS</v>
      </c>
    </row>
    <row r="29" spans="1:5" s="1" customFormat="1" ht="27.6" customHeight="1" x14ac:dyDescent="0.25">
      <c r="A29" s="62">
        <v>941</v>
      </c>
      <c r="B29" s="63">
        <v>1.9200000000000001E-10</v>
      </c>
      <c r="C29" s="63">
        <v>6.0900000000000004E-11</v>
      </c>
      <c r="D29" s="63">
        <v>8.5000000000000001E-13</v>
      </c>
      <c r="E29" s="61" t="str">
        <f t="shared" si="0"/>
        <v>PASS</v>
      </c>
    </row>
    <row r="30" spans="1:5" s="1" customFormat="1" ht="27.6" customHeight="1" x14ac:dyDescent="0.25">
      <c r="A30" s="62">
        <v>942</v>
      </c>
      <c r="B30" s="63">
        <v>1.96E-10</v>
      </c>
      <c r="C30" s="63">
        <v>5.9800000000000003E-11</v>
      </c>
      <c r="D30" s="63">
        <v>7.9299999999999995E-13</v>
      </c>
      <c r="E30" s="61" t="str">
        <f t="shared" si="0"/>
        <v>PASS</v>
      </c>
    </row>
    <row r="31" spans="1:5" s="1" customFormat="1" ht="27.6" customHeight="1" x14ac:dyDescent="0.25">
      <c r="A31" s="62">
        <v>943</v>
      </c>
      <c r="B31" s="63">
        <v>1.9799999999999999E-10</v>
      </c>
      <c r="C31" s="63">
        <v>5.8299999999999995E-11</v>
      </c>
      <c r="D31" s="63">
        <v>7.35E-13</v>
      </c>
      <c r="E31" s="61" t="str">
        <f t="shared" si="0"/>
        <v>PASS</v>
      </c>
    </row>
    <row r="32" spans="1:5" s="1" customFormat="1" ht="27.6" customHeight="1" x14ac:dyDescent="0.25">
      <c r="A32" s="62">
        <v>944</v>
      </c>
      <c r="B32" s="63">
        <v>1.9799999999999999E-10</v>
      </c>
      <c r="C32" s="63">
        <v>5.76E-11</v>
      </c>
      <c r="D32" s="63">
        <v>6.4999999999999996E-13</v>
      </c>
      <c r="E32" s="61" t="str">
        <f t="shared" si="0"/>
        <v>PASS</v>
      </c>
    </row>
    <row r="33" spans="1:5" s="1" customFormat="1" ht="27.6" customHeight="1" x14ac:dyDescent="0.25">
      <c r="A33" s="62">
        <v>945</v>
      </c>
      <c r="B33" s="63">
        <v>1.96E-10</v>
      </c>
      <c r="C33" s="63">
        <v>6.2500000000000004E-11</v>
      </c>
      <c r="D33" s="63">
        <v>8.7200000000000002E-13</v>
      </c>
      <c r="E33" s="61" t="str">
        <f t="shared" si="0"/>
        <v>PASS</v>
      </c>
    </row>
    <row r="34" spans="1:5" s="1" customFormat="1" ht="27.6" customHeight="1" x14ac:dyDescent="0.25">
      <c r="A34" s="62">
        <v>946</v>
      </c>
      <c r="B34" s="63">
        <v>1.96E-10</v>
      </c>
      <c r="C34" s="63">
        <v>6.1200000000000006E-11</v>
      </c>
      <c r="D34" s="63">
        <v>8.5100000000000001E-13</v>
      </c>
      <c r="E34" s="61" t="str">
        <f t="shared" si="0"/>
        <v>PASS</v>
      </c>
    </row>
    <row r="35" spans="1:5" s="1" customFormat="1" ht="27.6" customHeight="1" x14ac:dyDescent="0.25">
      <c r="A35" s="62">
        <v>947</v>
      </c>
      <c r="B35" s="63">
        <v>1.9699999999999999E-10</v>
      </c>
      <c r="C35" s="63">
        <v>6.1900000000000001E-11</v>
      </c>
      <c r="D35" s="63">
        <v>8.7500000000000001E-13</v>
      </c>
      <c r="E35" s="61" t="str">
        <f t="shared" si="0"/>
        <v>PASS</v>
      </c>
    </row>
    <row r="36" spans="1:5" s="1" customFormat="1" ht="27.6" customHeight="1" x14ac:dyDescent="0.25">
      <c r="A36" s="62">
        <v>948</v>
      </c>
      <c r="B36" s="63">
        <v>1.9699999999999999E-10</v>
      </c>
      <c r="C36" s="63">
        <v>6.0799999999999999E-11</v>
      </c>
      <c r="D36" s="63">
        <v>8.1800000000000005E-13</v>
      </c>
      <c r="E36" s="61" t="str">
        <f t="shared" si="0"/>
        <v>PASS</v>
      </c>
    </row>
    <row r="37" spans="1:5" s="1" customFormat="1" ht="27.6" customHeight="1" x14ac:dyDescent="0.25">
      <c r="A37" s="62">
        <v>949</v>
      </c>
      <c r="B37" s="63">
        <v>1.9799999999999999E-10</v>
      </c>
      <c r="C37" s="63">
        <v>5.7500000000000002E-11</v>
      </c>
      <c r="D37" s="63">
        <v>6.88E-13</v>
      </c>
      <c r="E37" s="61" t="str">
        <f t="shared" si="0"/>
        <v>PASS</v>
      </c>
    </row>
    <row r="38" spans="1:5" s="1" customFormat="1" ht="27.6" customHeight="1" x14ac:dyDescent="0.25">
      <c r="A38" s="62">
        <v>951</v>
      </c>
      <c r="B38" s="63">
        <v>1.94E-10</v>
      </c>
      <c r="C38" s="63">
        <v>6.2099999999999998E-11</v>
      </c>
      <c r="D38" s="63">
        <v>9.1300000000000005E-13</v>
      </c>
      <c r="E38" s="61" t="str">
        <f t="shared" si="0"/>
        <v>PASS</v>
      </c>
    </row>
    <row r="39" spans="1:5" s="1" customFormat="1" ht="27.6" customHeight="1" x14ac:dyDescent="0.25">
      <c r="A39" s="62">
        <v>953</v>
      </c>
      <c r="B39" s="63">
        <v>1.96E-10</v>
      </c>
      <c r="C39" s="63">
        <v>5.6599999999999997E-11</v>
      </c>
      <c r="D39" s="63">
        <v>6.5500000000000004E-13</v>
      </c>
      <c r="E39" s="61" t="str">
        <f t="shared" si="0"/>
        <v>PASS</v>
      </c>
    </row>
    <row r="40" spans="1:5" s="1" customFormat="1" ht="27.6" customHeight="1" x14ac:dyDescent="0.25">
      <c r="A40" s="62">
        <v>954</v>
      </c>
      <c r="B40" s="63">
        <v>1.94E-10</v>
      </c>
      <c r="C40" s="63">
        <v>6.1200000000000006E-11</v>
      </c>
      <c r="D40" s="63">
        <v>8.4500000000000003E-13</v>
      </c>
      <c r="E40" s="61" t="str">
        <f t="shared" si="0"/>
        <v>PASS</v>
      </c>
    </row>
    <row r="41" spans="1:5" s="1" customFormat="1" ht="27.6" customHeight="1" x14ac:dyDescent="0.25">
      <c r="A41" s="62">
        <v>955</v>
      </c>
      <c r="B41" s="63">
        <v>1.9900000000000001E-10</v>
      </c>
      <c r="C41" s="63">
        <v>5.6999999999999997E-11</v>
      </c>
      <c r="D41" s="63">
        <v>6.7800000000000004E-13</v>
      </c>
      <c r="E41" s="61" t="str">
        <f t="shared" si="0"/>
        <v>PASS</v>
      </c>
    </row>
    <row r="42" spans="1:5" s="1" customFormat="1" ht="27.6" customHeight="1" x14ac:dyDescent="0.25">
      <c r="A42" s="62">
        <v>957</v>
      </c>
      <c r="B42" s="63">
        <v>1.96E-10</v>
      </c>
      <c r="C42" s="63">
        <v>5.9699999999999998E-11</v>
      </c>
      <c r="D42" s="63">
        <v>7.7600000000000003E-13</v>
      </c>
      <c r="E42" s="61" t="str">
        <f t="shared" si="0"/>
        <v>PASS</v>
      </c>
    </row>
    <row r="43" spans="1:5" s="1" customFormat="1" ht="27.6" customHeight="1" x14ac:dyDescent="0.25">
      <c r="A43" s="62">
        <v>958</v>
      </c>
      <c r="B43" s="63">
        <v>1.9699999999999999E-10</v>
      </c>
      <c r="C43" s="63">
        <v>5.7399999999999997E-11</v>
      </c>
      <c r="D43" s="63">
        <v>6.7700000000000004E-13</v>
      </c>
      <c r="E43" s="61" t="str">
        <f t="shared" si="0"/>
        <v>PASS</v>
      </c>
    </row>
    <row r="44" spans="1:5" s="1" customFormat="1" ht="27.6" customHeight="1" x14ac:dyDescent="0.25">
      <c r="A44" s="62">
        <v>959</v>
      </c>
      <c r="B44" s="63">
        <v>1.9900000000000001E-10</v>
      </c>
      <c r="C44" s="63">
        <v>5.6599999999999997E-11</v>
      </c>
      <c r="D44" s="63">
        <v>6.6699999999999999E-13</v>
      </c>
      <c r="E44" s="61" t="str">
        <f t="shared" si="0"/>
        <v>PASS</v>
      </c>
    </row>
    <row r="45" spans="1:5" s="1" customFormat="1" ht="27.6" customHeight="1" x14ac:dyDescent="0.25">
      <c r="A45" s="62">
        <v>960</v>
      </c>
      <c r="B45" s="63">
        <v>1.9100000000000001E-10</v>
      </c>
      <c r="C45" s="63">
        <v>6.3399999999999996E-11</v>
      </c>
      <c r="D45" s="63">
        <v>8.3299999999999998E-13</v>
      </c>
      <c r="E45" s="61" t="str">
        <f t="shared" si="0"/>
        <v>PASS</v>
      </c>
    </row>
    <row r="46" spans="1:5" s="1" customFormat="1" ht="27.6" customHeight="1" x14ac:dyDescent="0.25">
      <c r="A46" s="62">
        <v>961</v>
      </c>
      <c r="B46" s="63">
        <v>1.9799999999999999E-10</v>
      </c>
      <c r="C46" s="63">
        <v>6.0199999999999996E-11</v>
      </c>
      <c r="D46" s="63">
        <v>7.5100000000000003E-13</v>
      </c>
      <c r="E46" s="61" t="str">
        <f t="shared" si="0"/>
        <v>PASS</v>
      </c>
    </row>
    <row r="47" spans="1:5" s="1" customFormat="1" ht="27.6" customHeight="1" x14ac:dyDescent="0.25">
      <c r="A47" s="62">
        <v>962</v>
      </c>
      <c r="B47" s="63">
        <v>1.9900000000000001E-10</v>
      </c>
      <c r="C47" s="63">
        <v>5.6599999999999997E-11</v>
      </c>
      <c r="D47" s="63">
        <v>6.4899999999999996E-13</v>
      </c>
      <c r="E47" s="61" t="str">
        <f t="shared" si="0"/>
        <v>PASS</v>
      </c>
    </row>
    <row r="48" spans="1:5" s="1" customFormat="1" ht="27.6" customHeight="1" x14ac:dyDescent="0.25">
      <c r="A48" s="62">
        <v>963</v>
      </c>
      <c r="B48" s="63">
        <v>1.96E-10</v>
      </c>
      <c r="C48" s="63">
        <v>6.0499999999999998E-11</v>
      </c>
      <c r="D48" s="63">
        <v>8.2000000000000004E-13</v>
      </c>
      <c r="E48" s="61" t="str">
        <f t="shared" si="0"/>
        <v>PASS</v>
      </c>
    </row>
    <row r="49" spans="1:5" s="1" customFormat="1" ht="27.6" customHeight="1" x14ac:dyDescent="0.25">
      <c r="A49" s="62">
        <v>964</v>
      </c>
      <c r="B49" s="63">
        <v>1.9699999999999999E-10</v>
      </c>
      <c r="C49" s="63">
        <v>5.92E-11</v>
      </c>
      <c r="D49" s="63">
        <v>6.7900000000000004E-13</v>
      </c>
      <c r="E49" s="61" t="str">
        <f t="shared" si="0"/>
        <v>PASS</v>
      </c>
    </row>
    <row r="50" spans="1:5" s="1" customFormat="1" ht="27.6" customHeight="1" x14ac:dyDescent="0.25">
      <c r="A50" s="62">
        <v>965</v>
      </c>
      <c r="B50" s="63">
        <v>1.9900000000000001E-10</v>
      </c>
      <c r="C50" s="63">
        <v>5.6999999999999997E-11</v>
      </c>
      <c r="D50" s="63">
        <v>6.5200000000000005E-13</v>
      </c>
      <c r="E50" s="61" t="str">
        <f t="shared" si="0"/>
        <v>PASS</v>
      </c>
    </row>
    <row r="51" spans="1:5" s="1" customFormat="1" ht="27.6" customHeight="1" x14ac:dyDescent="0.25">
      <c r="A51" s="62">
        <v>966</v>
      </c>
      <c r="B51" s="63">
        <v>1.9200000000000001E-10</v>
      </c>
      <c r="C51" s="63">
        <v>6.1100000000000001E-11</v>
      </c>
      <c r="D51" s="63">
        <v>8.4500000000000003E-13</v>
      </c>
      <c r="E51" s="61" t="str">
        <f t="shared" si="0"/>
        <v>PASS</v>
      </c>
    </row>
    <row r="52" spans="1:5" s="1" customFormat="1" ht="27.6" customHeight="1" x14ac:dyDescent="0.25">
      <c r="A52" s="62">
        <v>967</v>
      </c>
      <c r="B52" s="63">
        <v>1.9799999999999999E-10</v>
      </c>
      <c r="C52" s="63">
        <v>5.8E-11</v>
      </c>
      <c r="D52" s="63">
        <v>7.1799999999999997E-13</v>
      </c>
      <c r="E52" s="61" t="str">
        <f t="shared" si="0"/>
        <v>PASS</v>
      </c>
    </row>
    <row r="53" spans="1:5" s="1" customFormat="1" ht="27.6" customHeight="1" x14ac:dyDescent="0.25">
      <c r="A53" s="62">
        <v>969</v>
      </c>
      <c r="B53" s="63">
        <v>1.9799999999999999E-10</v>
      </c>
      <c r="C53" s="63">
        <v>5.8099999999999998E-11</v>
      </c>
      <c r="D53" s="63">
        <v>6.63E-13</v>
      </c>
      <c r="E53" s="61" t="str">
        <f t="shared" si="0"/>
        <v>PASS</v>
      </c>
    </row>
    <row r="54" spans="1:5" s="1" customFormat="1" ht="27.6" customHeight="1" x14ac:dyDescent="0.25">
      <c r="A54" s="62">
        <v>972</v>
      </c>
      <c r="B54" s="63">
        <v>1.9200000000000001E-10</v>
      </c>
      <c r="C54" s="63">
        <v>6.0999999999999996E-11</v>
      </c>
      <c r="D54" s="63">
        <v>8.5000000000000001E-13</v>
      </c>
      <c r="E54" s="61" t="str">
        <f t="shared" si="0"/>
        <v>PASS</v>
      </c>
    </row>
    <row r="55" spans="1:5" s="1" customFormat="1" ht="27.6" hidden="1" customHeight="1" x14ac:dyDescent="0.25">
      <c r="A55" s="64"/>
      <c r="B55" s="65"/>
      <c r="C55" s="65"/>
      <c r="D55" s="65"/>
      <c r="E55" s="61"/>
    </row>
    <row r="56" spans="1:5" s="66" customFormat="1" ht="27.6" hidden="1" customHeight="1" x14ac:dyDescent="0.25">
      <c r="A56" s="64"/>
      <c r="B56" s="65"/>
      <c r="C56" s="65"/>
      <c r="D56" s="65"/>
      <c r="E56" s="61"/>
    </row>
    <row r="57" spans="1:5" s="66" customFormat="1" ht="27.6" hidden="1" customHeight="1" x14ac:dyDescent="0.25">
      <c r="A57" s="64"/>
      <c r="B57" s="65"/>
      <c r="C57" s="65"/>
      <c r="D57" s="65"/>
      <c r="E57" s="61"/>
    </row>
    <row r="58" spans="1:5" s="66" customFormat="1" ht="27.6" hidden="1" customHeight="1" x14ac:dyDescent="0.25">
      <c r="A58" s="64"/>
      <c r="B58" s="65"/>
      <c r="C58" s="65"/>
      <c r="D58" s="65"/>
      <c r="E58" s="61"/>
    </row>
    <row r="59" spans="1:5" s="66" customFormat="1" ht="27.6" hidden="1" customHeight="1" x14ac:dyDescent="0.25">
      <c r="A59" s="64"/>
      <c r="B59" s="65"/>
      <c r="C59" s="65"/>
      <c r="D59" s="65"/>
      <c r="E59" s="61"/>
    </row>
    <row r="60" spans="1:5" s="66" customFormat="1" ht="27.6" hidden="1" customHeight="1" x14ac:dyDescent="0.25">
      <c r="A60" s="64"/>
      <c r="B60" s="65"/>
      <c r="C60" s="65"/>
      <c r="D60" s="65"/>
      <c r="E60" s="61"/>
    </row>
    <row r="61" spans="1:5" s="66" customFormat="1" ht="27.6" hidden="1" customHeight="1" x14ac:dyDescent="0.25">
      <c r="A61" s="64"/>
      <c r="B61" s="65"/>
      <c r="C61" s="65"/>
      <c r="D61" s="65"/>
      <c r="E61" s="61"/>
    </row>
    <row r="62" spans="1:5" s="66" customFormat="1" ht="27.6" hidden="1" customHeight="1" x14ac:dyDescent="0.25">
      <c r="A62" s="64"/>
      <c r="B62" s="65"/>
      <c r="C62" s="65"/>
      <c r="D62" s="65"/>
      <c r="E62" s="61"/>
    </row>
    <row r="63" spans="1:5" s="66" customFormat="1" ht="27.6" hidden="1" customHeight="1" x14ac:dyDescent="0.25">
      <c r="A63" s="64"/>
      <c r="B63" s="65"/>
      <c r="C63" s="65"/>
      <c r="D63" s="65"/>
      <c r="E63" s="61"/>
    </row>
    <row r="64" spans="1:5" s="66" customFormat="1" ht="27.6" hidden="1" customHeight="1" x14ac:dyDescent="0.25">
      <c r="A64" s="64"/>
      <c r="B64" s="65"/>
      <c r="C64" s="65"/>
      <c r="D64" s="65"/>
      <c r="E64" s="61"/>
    </row>
    <row r="65" spans="1:5" s="66" customFormat="1" ht="27.6" hidden="1" customHeight="1" x14ac:dyDescent="0.25">
      <c r="A65" s="64"/>
      <c r="B65" s="65"/>
      <c r="C65" s="65"/>
      <c r="D65" s="65"/>
      <c r="E65" s="61"/>
    </row>
    <row r="66" spans="1:5" s="66" customFormat="1" ht="27.6" hidden="1" customHeight="1" x14ac:dyDescent="0.25">
      <c r="A66" s="64"/>
      <c r="B66" s="65"/>
      <c r="C66" s="65"/>
      <c r="D66" s="65"/>
      <c r="E66" s="61"/>
    </row>
    <row r="67" spans="1:5" s="66" customFormat="1" ht="27.6" hidden="1" customHeight="1" x14ac:dyDescent="0.25">
      <c r="A67" s="64"/>
      <c r="B67" s="65"/>
      <c r="C67" s="65"/>
      <c r="D67" s="65"/>
      <c r="E67" s="61"/>
    </row>
    <row r="68" spans="1:5" s="66" customFormat="1" ht="27.6" hidden="1" customHeight="1" x14ac:dyDescent="0.25">
      <c r="A68" s="64"/>
      <c r="B68" s="65"/>
      <c r="C68" s="65"/>
      <c r="D68" s="65"/>
      <c r="E68" s="61"/>
    </row>
    <row r="69" spans="1:5" s="66" customFormat="1" ht="27.6" hidden="1" customHeight="1" x14ac:dyDescent="0.25">
      <c r="A69" s="64"/>
      <c r="B69" s="65"/>
      <c r="C69" s="65"/>
      <c r="D69" s="65"/>
      <c r="E69" s="61"/>
    </row>
    <row r="70" spans="1:5" s="66" customFormat="1" ht="27.6" hidden="1" customHeight="1" x14ac:dyDescent="0.25">
      <c r="A70" s="64"/>
      <c r="B70" s="65"/>
      <c r="C70" s="65"/>
      <c r="D70" s="65"/>
      <c r="E70" s="61"/>
    </row>
    <row r="71" spans="1:5" s="66" customFormat="1" ht="27.6" hidden="1" customHeight="1" x14ac:dyDescent="0.25">
      <c r="A71" s="64"/>
      <c r="B71" s="65"/>
      <c r="C71" s="65"/>
      <c r="D71" s="65"/>
      <c r="E71" s="61"/>
    </row>
    <row r="72" spans="1:5" s="66" customFormat="1" ht="27.6" hidden="1" customHeight="1" x14ac:dyDescent="0.25">
      <c r="A72" s="64"/>
      <c r="B72" s="65"/>
      <c r="C72" s="65"/>
      <c r="D72" s="65"/>
      <c r="E72" s="61"/>
    </row>
    <row r="73" spans="1:5" s="66" customFormat="1" ht="27.6" hidden="1" customHeight="1" x14ac:dyDescent="0.25">
      <c r="A73" s="64"/>
      <c r="B73" s="65"/>
      <c r="C73" s="65"/>
      <c r="D73" s="65"/>
      <c r="E73" s="61"/>
    </row>
    <row r="74" spans="1:5" s="66" customFormat="1" ht="27.6" hidden="1" customHeight="1" x14ac:dyDescent="0.25">
      <c r="A74" s="64"/>
      <c r="B74" s="65"/>
      <c r="C74" s="65"/>
      <c r="D74" s="65"/>
      <c r="E74" s="61"/>
    </row>
    <row r="75" spans="1:5" s="66" customFormat="1" ht="27.6" hidden="1" customHeight="1" x14ac:dyDescent="0.25">
      <c r="A75" s="64"/>
      <c r="B75" s="65"/>
      <c r="C75" s="65"/>
      <c r="D75" s="65"/>
      <c r="E75" s="61"/>
    </row>
    <row r="76" spans="1:5" s="66" customFormat="1" ht="27.6" hidden="1" customHeight="1" x14ac:dyDescent="0.25">
      <c r="A76" s="64"/>
      <c r="B76" s="65"/>
      <c r="C76" s="65"/>
      <c r="D76" s="65"/>
      <c r="E76" s="61"/>
    </row>
    <row r="77" spans="1:5" s="66" customFormat="1" ht="27.6" hidden="1" customHeight="1" x14ac:dyDescent="0.25">
      <c r="A77" s="64"/>
      <c r="B77" s="65"/>
      <c r="C77" s="65"/>
      <c r="D77" s="65"/>
      <c r="E77" s="61"/>
    </row>
    <row r="78" spans="1:5" s="66" customFormat="1" ht="27.6" hidden="1" customHeight="1" x14ac:dyDescent="0.25">
      <c r="A78" s="64"/>
      <c r="B78" s="65"/>
      <c r="C78" s="65"/>
      <c r="D78" s="65"/>
      <c r="E78" s="61"/>
    </row>
    <row r="79" spans="1:5" s="66" customFormat="1" ht="27.6" hidden="1" customHeight="1" x14ac:dyDescent="0.25">
      <c r="A79" s="64"/>
      <c r="B79" s="65"/>
      <c r="C79" s="65"/>
      <c r="D79" s="65"/>
      <c r="E79" s="61"/>
    </row>
    <row r="80" spans="1:5" s="66" customFormat="1" ht="27.6" hidden="1" customHeight="1" x14ac:dyDescent="0.25">
      <c r="A80" s="64"/>
      <c r="B80" s="65"/>
      <c r="C80" s="65"/>
      <c r="D80" s="65"/>
      <c r="E80" s="61"/>
    </row>
    <row r="81" spans="1:5" s="66" customFormat="1" ht="27.6" hidden="1" customHeight="1" x14ac:dyDescent="0.25">
      <c r="A81" s="64"/>
      <c r="B81" s="65"/>
      <c r="C81" s="65"/>
      <c r="D81" s="65"/>
      <c r="E81" s="61"/>
    </row>
    <row r="82" spans="1:5" s="66" customFormat="1" ht="27.6" hidden="1" customHeight="1" x14ac:dyDescent="0.25">
      <c r="A82" s="64"/>
      <c r="B82" s="65"/>
      <c r="C82" s="65"/>
      <c r="D82" s="65"/>
      <c r="E82" s="61"/>
    </row>
    <row r="83" spans="1:5" s="66" customFormat="1" ht="27.6" hidden="1" customHeight="1" x14ac:dyDescent="0.25">
      <c r="A83" s="64"/>
      <c r="B83" s="65"/>
      <c r="C83" s="65"/>
      <c r="D83" s="65"/>
      <c r="E83" s="61"/>
    </row>
    <row r="84" spans="1:5" s="66" customFormat="1" ht="27.6" hidden="1" customHeight="1" x14ac:dyDescent="0.25">
      <c r="A84" s="64"/>
      <c r="B84" s="65"/>
      <c r="C84" s="65"/>
      <c r="D84" s="65"/>
      <c r="E84" s="61"/>
    </row>
    <row r="85" spans="1:5" s="66" customFormat="1" ht="27.6" hidden="1" customHeight="1" x14ac:dyDescent="0.25">
      <c r="A85" s="64"/>
      <c r="B85" s="65"/>
      <c r="C85" s="65"/>
      <c r="D85" s="65"/>
      <c r="E85" s="61"/>
    </row>
    <row r="86" spans="1:5" s="66" customFormat="1" ht="27.6" hidden="1" customHeight="1" x14ac:dyDescent="0.25">
      <c r="A86" s="64"/>
      <c r="B86" s="65"/>
      <c r="C86" s="65"/>
      <c r="D86" s="65"/>
      <c r="E86" s="61"/>
    </row>
    <row r="87" spans="1:5" s="66" customFormat="1" ht="27.6" hidden="1" customHeight="1" x14ac:dyDescent="0.25">
      <c r="A87" s="64"/>
      <c r="B87" s="65"/>
      <c r="C87" s="65"/>
      <c r="D87" s="65"/>
      <c r="E87" s="61"/>
    </row>
    <row r="88" spans="1:5" s="66" customFormat="1" ht="27.6" hidden="1" customHeight="1" x14ac:dyDescent="0.25">
      <c r="A88" s="64"/>
      <c r="B88" s="65"/>
      <c r="C88" s="65"/>
      <c r="D88" s="65"/>
      <c r="E88" s="61"/>
    </row>
    <row r="89" spans="1:5" s="66" customFormat="1" ht="27.6" hidden="1" customHeight="1" x14ac:dyDescent="0.25">
      <c r="A89" s="64"/>
      <c r="B89" s="65"/>
      <c r="C89" s="65"/>
      <c r="D89" s="65"/>
      <c r="E89" s="61"/>
    </row>
    <row r="90" spans="1:5" s="66" customFormat="1" ht="27.6" hidden="1" customHeight="1" x14ac:dyDescent="0.25">
      <c r="A90" s="64"/>
      <c r="B90" s="65"/>
      <c r="C90" s="65"/>
      <c r="D90" s="65"/>
      <c r="E90" s="61"/>
    </row>
    <row r="91" spans="1:5" s="66" customFormat="1" ht="27.6" hidden="1" customHeight="1" x14ac:dyDescent="0.25">
      <c r="A91" s="64"/>
      <c r="B91" s="65"/>
      <c r="C91" s="65"/>
      <c r="D91" s="65"/>
      <c r="E91" s="61"/>
    </row>
    <row r="92" spans="1:5" s="66" customFormat="1" ht="27.6" hidden="1" customHeight="1" x14ac:dyDescent="0.25">
      <c r="A92" s="64"/>
      <c r="B92" s="65"/>
      <c r="C92" s="65"/>
      <c r="D92" s="65"/>
      <c r="E92" s="61"/>
    </row>
    <row r="93" spans="1:5" s="66" customFormat="1" ht="27.6" hidden="1" customHeight="1" x14ac:dyDescent="0.25">
      <c r="A93" s="64"/>
      <c r="B93" s="65"/>
      <c r="C93" s="65"/>
      <c r="D93" s="65"/>
      <c r="E93" s="61"/>
    </row>
    <row r="94" spans="1:5" s="66" customFormat="1" ht="27.6" hidden="1" customHeight="1" x14ac:dyDescent="0.25">
      <c r="A94" s="64"/>
      <c r="B94" s="65"/>
      <c r="C94" s="65"/>
      <c r="D94" s="65"/>
      <c r="E94" s="61"/>
    </row>
    <row r="95" spans="1:5" s="66" customFormat="1" ht="27.6" hidden="1" customHeight="1" x14ac:dyDescent="0.25">
      <c r="A95" s="64"/>
      <c r="B95" s="65"/>
      <c r="C95" s="65"/>
      <c r="D95" s="65"/>
      <c r="E95" s="61"/>
    </row>
    <row r="96" spans="1:5" s="66" customFormat="1" ht="27.6" hidden="1" customHeight="1" x14ac:dyDescent="0.25">
      <c r="A96" s="64"/>
      <c r="B96" s="65"/>
      <c r="C96" s="65"/>
      <c r="D96" s="65"/>
      <c r="E96" s="61"/>
    </row>
    <row r="97" spans="1:5" s="66" customFormat="1" ht="27.6" hidden="1" customHeight="1" x14ac:dyDescent="0.25">
      <c r="A97" s="64"/>
      <c r="B97" s="65"/>
      <c r="C97" s="65"/>
      <c r="D97" s="65"/>
      <c r="E97" s="61"/>
    </row>
    <row r="98" spans="1:5" s="66" customFormat="1" ht="27.6" hidden="1" customHeight="1" x14ac:dyDescent="0.25">
      <c r="A98" s="64"/>
      <c r="B98" s="65"/>
      <c r="C98" s="65"/>
      <c r="D98" s="65"/>
      <c r="E98" s="61"/>
    </row>
    <row r="99" spans="1:5" s="66" customFormat="1" ht="27.6" hidden="1" customHeight="1" x14ac:dyDescent="0.25">
      <c r="A99" s="64"/>
      <c r="B99" s="65"/>
      <c r="C99" s="65"/>
      <c r="D99" s="65"/>
      <c r="E99" s="61"/>
    </row>
    <row r="100" spans="1:5" s="66" customFormat="1" ht="27.6" hidden="1" customHeight="1" x14ac:dyDescent="0.25">
      <c r="A100" s="64"/>
      <c r="B100" s="65"/>
      <c r="C100" s="65"/>
      <c r="D100" s="65"/>
      <c r="E100" s="61"/>
    </row>
    <row r="101" spans="1:5" s="66" customFormat="1" ht="27.6" hidden="1" customHeight="1" x14ac:dyDescent="0.25">
      <c r="A101" s="64"/>
      <c r="B101" s="65"/>
      <c r="C101" s="65"/>
      <c r="D101" s="65"/>
      <c r="E101" s="61"/>
    </row>
    <row r="102" spans="1:5" s="66" customFormat="1" ht="27.6" hidden="1" customHeight="1" x14ac:dyDescent="0.25">
      <c r="A102" s="64"/>
      <c r="B102" s="65"/>
      <c r="C102" s="65"/>
      <c r="D102" s="65"/>
      <c r="E102" s="61"/>
    </row>
    <row r="103" spans="1:5" s="66" customFormat="1" ht="27.6" hidden="1" customHeight="1" x14ac:dyDescent="0.25">
      <c r="A103" s="64"/>
      <c r="B103" s="65"/>
      <c r="C103" s="65"/>
      <c r="D103" s="65"/>
      <c r="E103" s="61"/>
    </row>
    <row r="104" spans="1:5" s="66" customFormat="1" ht="27.6" hidden="1" customHeight="1" x14ac:dyDescent="0.25">
      <c r="A104" s="64"/>
      <c r="B104" s="65"/>
      <c r="C104" s="65"/>
      <c r="D104" s="65"/>
      <c r="E104" s="61"/>
    </row>
    <row r="105" spans="1:5" s="66" customFormat="1" ht="27.6" hidden="1" customHeight="1" x14ac:dyDescent="0.25">
      <c r="A105" s="64"/>
      <c r="B105" s="65"/>
      <c r="C105" s="65"/>
      <c r="D105" s="65"/>
      <c r="E105" s="61"/>
    </row>
    <row r="106" spans="1:5" s="66" customFormat="1" ht="27.6" hidden="1" customHeight="1" x14ac:dyDescent="0.25">
      <c r="A106" s="64"/>
      <c r="B106" s="65"/>
      <c r="C106" s="65"/>
      <c r="D106" s="65"/>
      <c r="E106" s="61"/>
    </row>
    <row r="107" spans="1:5" s="66" customFormat="1" ht="27.6" hidden="1" customHeight="1" x14ac:dyDescent="0.25">
      <c r="A107" s="64"/>
      <c r="B107" s="65"/>
      <c r="C107" s="65"/>
      <c r="D107" s="65"/>
      <c r="E107" s="61"/>
    </row>
    <row r="108" spans="1:5" s="66" customFormat="1" ht="27.6" hidden="1" customHeight="1" x14ac:dyDescent="0.25">
      <c r="A108" s="64"/>
      <c r="B108" s="65"/>
      <c r="C108" s="65"/>
      <c r="D108" s="65"/>
      <c r="E108" s="61"/>
    </row>
    <row r="109" spans="1:5" s="66" customFormat="1" ht="27.6" hidden="1" customHeight="1" x14ac:dyDescent="0.25">
      <c r="A109" s="64"/>
      <c r="B109" s="65"/>
      <c r="C109" s="65"/>
      <c r="D109" s="65"/>
      <c r="E109" s="61"/>
    </row>
    <row r="110" spans="1:5" s="66" customFormat="1" ht="27.6" hidden="1" customHeight="1" x14ac:dyDescent="0.25">
      <c r="A110" s="64"/>
      <c r="B110" s="65"/>
      <c r="C110" s="65"/>
      <c r="D110" s="65"/>
      <c r="E110" s="61"/>
    </row>
    <row r="111" spans="1:5" s="66" customFormat="1" ht="27.6" hidden="1" customHeight="1" x14ac:dyDescent="0.25">
      <c r="A111" s="64"/>
      <c r="B111" s="65"/>
      <c r="C111" s="65"/>
      <c r="D111" s="65"/>
      <c r="E111" s="61"/>
    </row>
    <row r="112" spans="1:5" s="66" customFormat="1" ht="27.6" hidden="1" customHeight="1" x14ac:dyDescent="0.25">
      <c r="A112" s="64"/>
      <c r="B112" s="65"/>
      <c r="C112" s="65"/>
      <c r="D112" s="65"/>
      <c r="E112" s="61"/>
    </row>
    <row r="113" spans="1:5" s="66" customFormat="1" ht="27.6" hidden="1" customHeight="1" x14ac:dyDescent="0.25">
      <c r="A113" s="64"/>
      <c r="B113" s="65"/>
      <c r="C113" s="65"/>
      <c r="D113" s="65"/>
      <c r="E113" s="61"/>
    </row>
    <row r="114" spans="1:5" s="66" customFormat="1" ht="27.6" hidden="1" customHeight="1" x14ac:dyDescent="0.25">
      <c r="A114" s="64"/>
      <c r="B114" s="65"/>
      <c r="C114" s="65"/>
      <c r="D114" s="65"/>
      <c r="E114" s="61"/>
    </row>
    <row r="115" spans="1:5" s="66" customFormat="1" ht="27.6" hidden="1" customHeight="1" x14ac:dyDescent="0.25">
      <c r="A115" s="64"/>
      <c r="B115" s="65"/>
      <c r="C115" s="65"/>
      <c r="D115" s="65"/>
      <c r="E115" s="61"/>
    </row>
    <row r="116" spans="1:5" s="66" customFormat="1" ht="27.6" hidden="1" customHeight="1" x14ac:dyDescent="0.25">
      <c r="A116" s="64"/>
      <c r="B116" s="65"/>
      <c r="C116" s="65"/>
      <c r="D116" s="65"/>
      <c r="E116" s="61"/>
    </row>
    <row r="117" spans="1:5" s="66" customFormat="1" ht="27.6" hidden="1" customHeight="1" x14ac:dyDescent="0.25">
      <c r="A117" s="64"/>
      <c r="B117" s="65"/>
      <c r="C117" s="65"/>
      <c r="D117" s="65"/>
      <c r="E117" s="61"/>
    </row>
    <row r="118" spans="1:5" s="66" customFormat="1" ht="27.6" hidden="1" customHeight="1" x14ac:dyDescent="0.25">
      <c r="A118" s="64"/>
      <c r="B118" s="65"/>
      <c r="C118" s="65"/>
      <c r="D118" s="65"/>
      <c r="E118" s="61"/>
    </row>
    <row r="119" spans="1:5" s="66" customFormat="1" ht="27.6" hidden="1" customHeight="1" x14ac:dyDescent="0.25">
      <c r="A119" s="64"/>
      <c r="B119" s="65"/>
      <c r="C119" s="65"/>
      <c r="D119" s="65"/>
      <c r="E119" s="61"/>
    </row>
    <row r="120" spans="1:5" s="66" customFormat="1" ht="27.6" hidden="1" customHeight="1" x14ac:dyDescent="0.25">
      <c r="A120" s="64"/>
      <c r="B120" s="65"/>
      <c r="C120" s="65"/>
      <c r="D120" s="65"/>
      <c r="E120" s="61"/>
    </row>
    <row r="121" spans="1:5" s="66" customFormat="1" ht="27.6" hidden="1" customHeight="1" x14ac:dyDescent="0.25">
      <c r="A121" s="64"/>
      <c r="B121" s="65"/>
      <c r="C121" s="65"/>
      <c r="D121" s="65"/>
      <c r="E121" s="61"/>
    </row>
    <row r="122" spans="1:5" s="66" customFormat="1" ht="27.6" hidden="1" customHeight="1" x14ac:dyDescent="0.25">
      <c r="A122" s="64"/>
      <c r="B122" s="65"/>
      <c r="C122" s="65"/>
      <c r="D122" s="65"/>
      <c r="E122" s="61"/>
    </row>
    <row r="123" spans="1:5" s="66" customFormat="1" ht="27.6" hidden="1" customHeight="1" x14ac:dyDescent="0.25">
      <c r="A123" s="64"/>
      <c r="B123" s="65"/>
      <c r="C123" s="65"/>
      <c r="D123" s="65"/>
      <c r="E123" s="61"/>
    </row>
  </sheetData>
  <sheetProtection algorithmName="SHA-512" hashValue="Ja/RqzV9W8Ab3ODo/9CMAHg03WbEd5QjHHmaSGG8/+bxBJJ2Oibyx11k75Io2ZfXfK28oXy5EOO+tlSZkkIEMQ==" saltValue="QL7bt+eAljnhxTq285sX6g==" spinCount="100000" sheet="1" objects="1" scenarios="1" sort="0" autoFilter="0"/>
  <mergeCells count="2">
    <mergeCell ref="B1:C1"/>
    <mergeCell ref="D1:E1"/>
  </mergeCells>
  <conditionalFormatting sqref="A10:A123">
    <cfRule type="duplicateValues" dxfId="13" priority="2"/>
  </conditionalFormatting>
  <conditionalFormatting sqref="A3:D3">
    <cfRule type="cellIs" dxfId="12" priority="1" operator="equal">
      <formula>0</formula>
    </cfRule>
  </conditionalFormatting>
  <conditionalFormatting sqref="E10:E123">
    <cfRule type="cellIs" dxfId="11" priority="3" operator="equal">
      <formula>"F"</formula>
    </cfRule>
    <cfRule type="cellIs" dxfId="10" priority="4" operator="equal">
      <formula>"FAIL"</formula>
    </cfRule>
    <cfRule type="cellIs" dxfId="9" priority="5" operator="equal">
      <formula>"P"</formula>
    </cfRule>
    <cfRule type="cellIs" dxfId="8" priority="6" operator="equal">
      <formula>"PASS"</formula>
    </cfRule>
  </conditionalFormatting>
  <hyperlinks>
    <hyperlink ref="B1" location="INDEX!A1" display="RETURN TO INDEX" xr:uid="{0350457E-EE8E-4916-AF07-D599F0EB59E0}"/>
    <hyperlink ref="D1:E1" location="'QCI Sample Selection'!A1" display="QCI SAMPLE SELECTION" xr:uid="{A753DE3A-C7C8-4059-9D37-ABFC2FAA225F}"/>
  </hyperlinks>
  <printOptions horizontalCentered="1" verticalCentered="1"/>
  <pageMargins left="0.25" right="0.25" top="0.75" bottom="0.75" header="0.3" footer="0.3"/>
  <pageSetup scale="27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0618-FEAF-4585-AC21-6F17E9081B01}">
  <sheetPr>
    <tabColor theme="4" tint="-0.249977111117893"/>
  </sheetPr>
  <dimension ref="A1:K54"/>
  <sheetViews>
    <sheetView workbookViewId="0">
      <pane ySplit="9" topLeftCell="A10" activePane="bottomLeft" state="frozen"/>
      <selection activeCell="B4" sqref="B4:E4"/>
      <selection pane="bottomLeft" activeCell="B4" sqref="B4"/>
    </sheetView>
  </sheetViews>
  <sheetFormatPr defaultColWidth="0" defaultRowHeight="15" zeroHeight="1" x14ac:dyDescent="0.25"/>
  <cols>
    <col min="1" max="1" width="27.5703125" customWidth="1"/>
    <col min="2" max="2" width="21.5703125" customWidth="1"/>
    <col min="3" max="3" width="17.7109375" customWidth="1"/>
    <col min="4" max="4" width="14.7109375" bestFit="1" customWidth="1"/>
    <col min="5" max="5" width="15" customWidth="1"/>
    <col min="6" max="6" width="9.140625" hidden="1" customWidth="1"/>
    <col min="7" max="11" width="0" hidden="1" customWidth="1"/>
    <col min="12" max="16384" width="9.140625" hidden="1"/>
  </cols>
  <sheetData>
    <row r="1" spans="1:5" s="68" customFormat="1" ht="27.75" customHeight="1" x14ac:dyDescent="0.25">
      <c r="A1" s="67" t="s">
        <v>84</v>
      </c>
      <c r="B1" s="74" t="s">
        <v>3</v>
      </c>
      <c r="C1" s="74"/>
      <c r="D1" s="74" t="s">
        <v>4</v>
      </c>
      <c r="E1" s="74"/>
    </row>
    <row r="2" spans="1:5" ht="15.75" x14ac:dyDescent="0.25">
      <c r="A2" s="39" t="s">
        <v>97</v>
      </c>
      <c r="B2" s="40" t="s">
        <v>98</v>
      </c>
      <c r="C2" s="40" t="s">
        <v>99</v>
      </c>
      <c r="D2" s="40" t="s">
        <v>100</v>
      </c>
      <c r="E2" s="7"/>
    </row>
    <row r="3" spans="1:5" ht="18.75" x14ac:dyDescent="0.25">
      <c r="A3" s="42" t="s">
        <v>101</v>
      </c>
      <c r="B3" s="43" t="s">
        <v>102</v>
      </c>
      <c r="C3" s="43" t="s">
        <v>103</v>
      </c>
      <c r="D3" s="43">
        <v>2418</v>
      </c>
      <c r="E3" s="43"/>
    </row>
    <row r="4" spans="1:5" ht="27.6" customHeight="1" x14ac:dyDescent="0.35">
      <c r="A4" s="44" t="str">
        <f>"N= " &amp; COUNT($A$10:$A$54)</f>
        <v>N= 45</v>
      </c>
      <c r="B4" s="45" t="s">
        <v>85</v>
      </c>
      <c r="C4" s="46" t="s">
        <v>72</v>
      </c>
      <c r="D4" s="69"/>
      <c r="E4" s="70"/>
    </row>
    <row r="5" spans="1:5" ht="27.6" customHeight="1" x14ac:dyDescent="0.4">
      <c r="A5" s="48" t="str">
        <f>IF(COUNT($A$11:$A$54)=COUNTIF($E$11:$E$54,"PASS"),"PASS","FAIL")</f>
        <v>PASS</v>
      </c>
      <c r="B5" s="45" t="s">
        <v>86</v>
      </c>
      <c r="C5" s="49">
        <v>45446.450694444444</v>
      </c>
      <c r="D5" s="69"/>
      <c r="E5" s="69"/>
    </row>
    <row r="6" spans="1:5" ht="27.6" customHeight="1" x14ac:dyDescent="0.25">
      <c r="A6" s="55"/>
      <c r="B6" s="55" t="s">
        <v>87</v>
      </c>
      <c r="C6" s="55" t="s">
        <v>88</v>
      </c>
      <c r="D6" s="55" t="s">
        <v>89</v>
      </c>
      <c r="E6" s="55" t="s">
        <v>90</v>
      </c>
    </row>
    <row r="7" spans="1:5" ht="27.6" customHeight="1" x14ac:dyDescent="0.25">
      <c r="A7" s="55"/>
      <c r="B7" s="55" t="s">
        <v>91</v>
      </c>
      <c r="C7" s="55" t="s">
        <v>92</v>
      </c>
      <c r="D7" s="55" t="s">
        <v>93</v>
      </c>
      <c r="E7" s="55" t="s">
        <v>83</v>
      </c>
    </row>
    <row r="8" spans="1:5" ht="27.6" customHeight="1" x14ac:dyDescent="0.25">
      <c r="A8" s="55" t="s">
        <v>94</v>
      </c>
      <c r="B8" s="55" t="s">
        <v>95</v>
      </c>
      <c r="C8" s="55" t="s">
        <v>95</v>
      </c>
      <c r="D8" s="55" t="s">
        <v>95</v>
      </c>
      <c r="E8" s="55"/>
    </row>
    <row r="9" spans="1:5" ht="27.6" customHeight="1" x14ac:dyDescent="0.25">
      <c r="A9" s="55" t="s">
        <v>96</v>
      </c>
      <c r="B9" s="71">
        <v>1.7</v>
      </c>
      <c r="C9" s="71">
        <v>1.3</v>
      </c>
      <c r="D9" s="71">
        <v>2.6</v>
      </c>
      <c r="E9" s="55"/>
    </row>
    <row r="10" spans="1:5" ht="27.6" customHeight="1" x14ac:dyDescent="0.25">
      <c r="A10" s="59">
        <v>907</v>
      </c>
      <c r="B10" s="72">
        <v>0.78303999999999996</v>
      </c>
      <c r="C10" s="72">
        <v>0.33951999999999999</v>
      </c>
      <c r="D10" s="72">
        <v>1.8944000000000001</v>
      </c>
      <c r="E10" s="60" t="str">
        <f>IF(AND(B10&lt;&gt;"", B10&gt;0,B10&lt;=B$9,C10&lt;&gt;"",C10&gt;0,C10&lt;=C$9,D10&lt;&gt;"",D10&gt;0,D10&lt;=D$9),"PASS","FAIL")</f>
        <v>PASS</v>
      </c>
    </row>
    <row r="11" spans="1:5" ht="27.6" customHeight="1" x14ac:dyDescent="0.25">
      <c r="A11" s="59">
        <v>909</v>
      </c>
      <c r="B11" s="72">
        <v>0.98143999999999998</v>
      </c>
      <c r="C11" s="72">
        <v>0.21471999999999999</v>
      </c>
      <c r="D11" s="72">
        <v>1.9939199999999999</v>
      </c>
      <c r="E11" s="60" t="str">
        <f t="shared" ref="E11:E54" si="0">IF(AND(B11&lt;&gt;"", B11&gt;0,B11&lt;=B$9,C11&lt;&gt;"",C11&gt;0,C11&lt;=C$9,D11&lt;&gt;"",D11&gt;0,D11&lt;=D$9),"PASS","FAIL")</f>
        <v>PASS</v>
      </c>
    </row>
    <row r="12" spans="1:5" ht="27.6" customHeight="1" x14ac:dyDescent="0.25">
      <c r="A12" s="59">
        <v>910</v>
      </c>
      <c r="B12" s="72">
        <v>0.75680000000000003</v>
      </c>
      <c r="C12" s="72">
        <v>0.14527999999999999</v>
      </c>
      <c r="D12" s="72">
        <v>1.7654399999999999</v>
      </c>
      <c r="E12" s="60" t="str">
        <f t="shared" si="0"/>
        <v>PASS</v>
      </c>
    </row>
    <row r="13" spans="1:5" ht="27.6" customHeight="1" x14ac:dyDescent="0.25">
      <c r="A13" s="59">
        <v>912</v>
      </c>
      <c r="B13" s="72">
        <v>0.88288</v>
      </c>
      <c r="C13" s="72">
        <v>0.21471999999999999</v>
      </c>
      <c r="D13" s="72">
        <v>1.89984</v>
      </c>
      <c r="E13" s="60" t="str">
        <f t="shared" si="0"/>
        <v>PASS</v>
      </c>
    </row>
    <row r="14" spans="1:5" ht="27.6" customHeight="1" x14ac:dyDescent="0.25">
      <c r="A14" s="59">
        <v>914</v>
      </c>
      <c r="B14" s="72">
        <v>0.85343999999999998</v>
      </c>
      <c r="C14" s="72">
        <v>0.14016000000000001</v>
      </c>
      <c r="D14" s="72">
        <v>1.7974399999999999</v>
      </c>
      <c r="E14" s="60" t="str">
        <f t="shared" si="0"/>
        <v>PASS</v>
      </c>
    </row>
    <row r="15" spans="1:5" ht="27.6" customHeight="1" x14ac:dyDescent="0.25">
      <c r="A15" s="59">
        <v>916</v>
      </c>
      <c r="B15" s="72">
        <v>0.87424000000000002</v>
      </c>
      <c r="C15" s="72">
        <v>0.16224</v>
      </c>
      <c r="D15" s="72">
        <v>1.8204800000000001</v>
      </c>
      <c r="E15" s="60" t="str">
        <f t="shared" si="0"/>
        <v>PASS</v>
      </c>
    </row>
    <row r="16" spans="1:5" ht="27.6" customHeight="1" x14ac:dyDescent="0.25">
      <c r="A16" s="59">
        <v>918</v>
      </c>
      <c r="B16" s="72">
        <v>0.87360000000000004</v>
      </c>
      <c r="C16" s="72">
        <v>0.19136</v>
      </c>
      <c r="D16" s="72">
        <v>1.84768</v>
      </c>
      <c r="E16" s="60" t="str">
        <f t="shared" si="0"/>
        <v>PASS</v>
      </c>
    </row>
    <row r="17" spans="1:5" ht="27.6" customHeight="1" x14ac:dyDescent="0.25">
      <c r="A17" s="59">
        <v>920</v>
      </c>
      <c r="B17" s="72">
        <v>0.78688000000000002</v>
      </c>
      <c r="C17" s="72">
        <v>0.19136</v>
      </c>
      <c r="D17" s="72">
        <v>1.81856</v>
      </c>
      <c r="E17" s="60" t="str">
        <f t="shared" si="0"/>
        <v>PASS</v>
      </c>
    </row>
    <row r="18" spans="1:5" ht="27.6" customHeight="1" x14ac:dyDescent="0.25">
      <c r="A18" s="59">
        <v>921</v>
      </c>
      <c r="B18" s="72">
        <v>0.91935999999999996</v>
      </c>
      <c r="C18" s="72">
        <v>0.33312000000000003</v>
      </c>
      <c r="D18" s="72">
        <v>1.9945600000000001</v>
      </c>
      <c r="E18" s="60" t="str">
        <f t="shared" si="0"/>
        <v>PASS</v>
      </c>
    </row>
    <row r="19" spans="1:5" ht="27.6" customHeight="1" x14ac:dyDescent="0.25">
      <c r="A19" s="59">
        <v>925</v>
      </c>
      <c r="B19" s="72">
        <v>0.71743999999999997</v>
      </c>
      <c r="C19" s="72">
        <v>0.23744000000000001</v>
      </c>
      <c r="D19" s="72">
        <v>1.8806400000000001</v>
      </c>
      <c r="E19" s="60" t="str">
        <f t="shared" si="0"/>
        <v>PASS</v>
      </c>
    </row>
    <row r="20" spans="1:5" ht="27.6" customHeight="1" x14ac:dyDescent="0.25">
      <c r="A20" s="59">
        <v>926</v>
      </c>
      <c r="B20" s="72">
        <v>0.68767999999999996</v>
      </c>
      <c r="C20" s="72">
        <v>0.25440000000000002</v>
      </c>
      <c r="D20" s="72">
        <v>1.8486400000000001</v>
      </c>
      <c r="E20" s="60" t="str">
        <f t="shared" si="0"/>
        <v>PASS</v>
      </c>
    </row>
    <row r="21" spans="1:5" ht="27.6" customHeight="1" x14ac:dyDescent="0.25">
      <c r="A21" s="59">
        <v>927</v>
      </c>
      <c r="B21" s="72">
        <v>0.872</v>
      </c>
      <c r="C21" s="72">
        <v>0.29024</v>
      </c>
      <c r="D21" s="72">
        <v>1.9721599999999999</v>
      </c>
      <c r="E21" s="60" t="str">
        <f t="shared" si="0"/>
        <v>PASS</v>
      </c>
    </row>
    <row r="22" spans="1:5" ht="27.6" customHeight="1" x14ac:dyDescent="0.25">
      <c r="A22" s="59">
        <v>929</v>
      </c>
      <c r="B22" s="72">
        <v>0.93023999999999996</v>
      </c>
      <c r="C22" s="72">
        <v>0.21312</v>
      </c>
      <c r="D22" s="72">
        <v>1.96224</v>
      </c>
      <c r="E22" s="60" t="str">
        <f t="shared" si="0"/>
        <v>PASS</v>
      </c>
    </row>
    <row r="23" spans="1:5" ht="27.6" customHeight="1" x14ac:dyDescent="0.25">
      <c r="A23" s="59">
        <v>931</v>
      </c>
      <c r="B23" s="72">
        <v>0.81855999999999995</v>
      </c>
      <c r="C23" s="72">
        <v>0.13344</v>
      </c>
      <c r="D23" s="72">
        <v>1.7814399999999999</v>
      </c>
      <c r="E23" s="60" t="str">
        <f t="shared" si="0"/>
        <v>PASS</v>
      </c>
    </row>
    <row r="24" spans="1:5" ht="27.6" customHeight="1" x14ac:dyDescent="0.25">
      <c r="A24" s="59">
        <v>934</v>
      </c>
      <c r="B24" s="72">
        <v>0.85311999999999999</v>
      </c>
      <c r="C24" s="72">
        <v>0.16896</v>
      </c>
      <c r="D24" s="72">
        <v>1.8208</v>
      </c>
      <c r="E24" s="60" t="str">
        <f t="shared" si="0"/>
        <v>PASS</v>
      </c>
    </row>
    <row r="25" spans="1:5" ht="27.6" customHeight="1" x14ac:dyDescent="0.25">
      <c r="A25" s="59">
        <v>935</v>
      </c>
      <c r="B25" s="72">
        <v>0.91391999999999995</v>
      </c>
      <c r="C25" s="72">
        <v>0.18912000000000001</v>
      </c>
      <c r="D25" s="72">
        <v>1.9379200000000001</v>
      </c>
      <c r="E25" s="60" t="str">
        <f t="shared" si="0"/>
        <v>PASS</v>
      </c>
    </row>
    <row r="26" spans="1:5" ht="27.6" customHeight="1" x14ac:dyDescent="0.25">
      <c r="A26" s="59">
        <v>936</v>
      </c>
      <c r="B26" s="72">
        <v>0.74848000000000003</v>
      </c>
      <c r="C26" s="72">
        <v>0.27039999999999997</v>
      </c>
      <c r="D26" s="72">
        <v>1.8502400000000001</v>
      </c>
      <c r="E26" s="60" t="str">
        <f t="shared" si="0"/>
        <v>PASS</v>
      </c>
    </row>
    <row r="27" spans="1:5" ht="27.6" customHeight="1" x14ac:dyDescent="0.25">
      <c r="A27" s="59">
        <v>937</v>
      </c>
      <c r="B27" s="72">
        <v>1.01664</v>
      </c>
      <c r="C27" s="72">
        <v>0.25984000000000002</v>
      </c>
      <c r="D27" s="72">
        <v>2.0518399999999999</v>
      </c>
      <c r="E27" s="60" t="str">
        <f t="shared" si="0"/>
        <v>PASS</v>
      </c>
    </row>
    <row r="28" spans="1:5" ht="27.6" customHeight="1" x14ac:dyDescent="0.25">
      <c r="A28" s="59">
        <v>938</v>
      </c>
      <c r="B28" s="72">
        <v>0.93472</v>
      </c>
      <c r="C28" s="72">
        <v>0.10847999999999999</v>
      </c>
      <c r="D28" s="72">
        <v>1.8787199999999999</v>
      </c>
      <c r="E28" s="60" t="str">
        <f t="shared" si="0"/>
        <v>PASS</v>
      </c>
    </row>
    <row r="29" spans="1:5" ht="27.6" customHeight="1" x14ac:dyDescent="0.25">
      <c r="A29" s="59">
        <v>941</v>
      </c>
      <c r="B29" s="72">
        <v>0.83711999999999998</v>
      </c>
      <c r="C29" s="72">
        <v>0.33407999999999999</v>
      </c>
      <c r="D29" s="72">
        <v>1.94784</v>
      </c>
      <c r="E29" s="60" t="str">
        <f t="shared" si="0"/>
        <v>PASS</v>
      </c>
    </row>
    <row r="30" spans="1:5" ht="27.6" customHeight="1" x14ac:dyDescent="0.25">
      <c r="A30" s="59">
        <v>942</v>
      </c>
      <c r="B30" s="72">
        <v>0.84416000000000002</v>
      </c>
      <c r="C30" s="72">
        <v>0.1696</v>
      </c>
      <c r="D30" s="72">
        <v>1.8617600000000001</v>
      </c>
      <c r="E30" s="60" t="str">
        <f t="shared" si="0"/>
        <v>PASS</v>
      </c>
    </row>
    <row r="31" spans="1:5" ht="27.6" customHeight="1" x14ac:dyDescent="0.25">
      <c r="A31" s="59">
        <v>943</v>
      </c>
      <c r="B31" s="72">
        <v>0.83391999999999999</v>
      </c>
      <c r="C31" s="72">
        <v>0.16928000000000001</v>
      </c>
      <c r="D31" s="72">
        <v>1.86144</v>
      </c>
      <c r="E31" s="60" t="str">
        <f t="shared" si="0"/>
        <v>PASS</v>
      </c>
    </row>
    <row r="32" spans="1:5" ht="27.6" customHeight="1" x14ac:dyDescent="0.25">
      <c r="A32" s="59">
        <v>944</v>
      </c>
      <c r="B32" s="72">
        <v>0.86495999999999995</v>
      </c>
      <c r="C32" s="72">
        <v>0.18751999999999999</v>
      </c>
      <c r="D32" s="72">
        <v>1.84768</v>
      </c>
      <c r="E32" s="60" t="str">
        <f t="shared" si="0"/>
        <v>PASS</v>
      </c>
    </row>
    <row r="33" spans="1:5" ht="27.6" customHeight="1" x14ac:dyDescent="0.25">
      <c r="A33" s="59">
        <v>945</v>
      </c>
      <c r="B33" s="72">
        <v>0.92064000000000001</v>
      </c>
      <c r="C33" s="72">
        <v>0.23455999999999999</v>
      </c>
      <c r="D33" s="72">
        <v>1.9686399999999999</v>
      </c>
      <c r="E33" s="60" t="str">
        <f t="shared" si="0"/>
        <v>PASS</v>
      </c>
    </row>
    <row r="34" spans="1:5" ht="27.6" customHeight="1" x14ac:dyDescent="0.25">
      <c r="A34" s="59">
        <v>946</v>
      </c>
      <c r="B34" s="72">
        <v>0.77503999999999995</v>
      </c>
      <c r="C34" s="72">
        <v>0.31680000000000003</v>
      </c>
      <c r="D34" s="72">
        <v>1.9459200000000001</v>
      </c>
      <c r="E34" s="60" t="str">
        <f t="shared" si="0"/>
        <v>PASS</v>
      </c>
    </row>
    <row r="35" spans="1:5" ht="27.6" customHeight="1" x14ac:dyDescent="0.25">
      <c r="A35" s="59">
        <v>947</v>
      </c>
      <c r="B35" s="72">
        <v>0.83584000000000003</v>
      </c>
      <c r="C35" s="72">
        <v>0.32544000000000001</v>
      </c>
      <c r="D35" s="72">
        <v>1.9769600000000001</v>
      </c>
      <c r="E35" s="60" t="str">
        <f t="shared" si="0"/>
        <v>PASS</v>
      </c>
    </row>
    <row r="36" spans="1:5" ht="27.6" customHeight="1" x14ac:dyDescent="0.25">
      <c r="A36" s="59">
        <v>948</v>
      </c>
      <c r="B36" s="72">
        <v>0.83264000000000005</v>
      </c>
      <c r="C36" s="72">
        <v>0.21632000000000001</v>
      </c>
      <c r="D36" s="72">
        <v>1.8841600000000001</v>
      </c>
      <c r="E36" s="60" t="str">
        <f t="shared" si="0"/>
        <v>PASS</v>
      </c>
    </row>
    <row r="37" spans="1:5" ht="27.6" customHeight="1" x14ac:dyDescent="0.25">
      <c r="A37" s="59">
        <v>949</v>
      </c>
      <c r="B37" s="72">
        <v>0.82816000000000001</v>
      </c>
      <c r="C37" s="72">
        <v>0.13855999999999999</v>
      </c>
      <c r="D37" s="72">
        <v>1.7833600000000001</v>
      </c>
      <c r="E37" s="60" t="str">
        <f t="shared" si="0"/>
        <v>PASS</v>
      </c>
    </row>
    <row r="38" spans="1:5" ht="27.6" customHeight="1" x14ac:dyDescent="0.25">
      <c r="A38" s="59">
        <v>951</v>
      </c>
      <c r="B38" s="72">
        <v>0.66496</v>
      </c>
      <c r="C38" s="72">
        <v>0.23744000000000001</v>
      </c>
      <c r="D38" s="72">
        <v>1.8329599999999999</v>
      </c>
      <c r="E38" s="60" t="str">
        <f t="shared" si="0"/>
        <v>PASS</v>
      </c>
    </row>
    <row r="39" spans="1:5" ht="27.6" customHeight="1" x14ac:dyDescent="0.25">
      <c r="A39" s="59">
        <v>953</v>
      </c>
      <c r="B39" s="72">
        <v>0.74175999999999997</v>
      </c>
      <c r="C39" s="72">
        <v>0.12703999999999999</v>
      </c>
      <c r="D39" s="72">
        <v>1.7145600000000001</v>
      </c>
      <c r="E39" s="60" t="str">
        <f t="shared" si="0"/>
        <v>PASS</v>
      </c>
    </row>
    <row r="40" spans="1:5" ht="27.6" customHeight="1" x14ac:dyDescent="0.25">
      <c r="A40" s="59">
        <v>954</v>
      </c>
      <c r="B40" s="72">
        <v>1.08832</v>
      </c>
      <c r="C40" s="72">
        <v>0.28223999999999999</v>
      </c>
      <c r="D40" s="72">
        <v>2.09632</v>
      </c>
      <c r="E40" s="60" t="str">
        <f t="shared" si="0"/>
        <v>PASS</v>
      </c>
    </row>
    <row r="41" spans="1:5" ht="27.6" customHeight="1" x14ac:dyDescent="0.25">
      <c r="A41" s="59">
        <v>955</v>
      </c>
      <c r="B41" s="72">
        <v>0.77759999999999996</v>
      </c>
      <c r="C41" s="72">
        <v>0.13216</v>
      </c>
      <c r="D41" s="72">
        <v>1.7580800000000001</v>
      </c>
      <c r="E41" s="60" t="str">
        <f t="shared" si="0"/>
        <v>PASS</v>
      </c>
    </row>
    <row r="42" spans="1:5" ht="27.6" customHeight="1" x14ac:dyDescent="0.25">
      <c r="A42" s="59">
        <v>957</v>
      </c>
      <c r="B42" s="72">
        <v>0.79039999999999999</v>
      </c>
      <c r="C42" s="72">
        <v>0.16896</v>
      </c>
      <c r="D42" s="72">
        <v>1.7904</v>
      </c>
      <c r="E42" s="60" t="str">
        <f t="shared" si="0"/>
        <v>PASS</v>
      </c>
    </row>
    <row r="43" spans="1:5" ht="27.6" customHeight="1" x14ac:dyDescent="0.25">
      <c r="A43" s="59">
        <v>958</v>
      </c>
      <c r="B43" s="72">
        <v>0.90080000000000005</v>
      </c>
      <c r="C43" s="72">
        <v>0.36287999999999998</v>
      </c>
      <c r="D43" s="72">
        <v>2.0207999999999999</v>
      </c>
      <c r="E43" s="60" t="str">
        <f t="shared" si="0"/>
        <v>PASS</v>
      </c>
    </row>
    <row r="44" spans="1:5" ht="27.6" customHeight="1" x14ac:dyDescent="0.25">
      <c r="A44" s="59">
        <v>959</v>
      </c>
      <c r="B44" s="72">
        <v>0.70304</v>
      </c>
      <c r="C44" s="72">
        <v>0.11008</v>
      </c>
      <c r="D44" s="72">
        <v>1.65472</v>
      </c>
      <c r="E44" s="60" t="str">
        <f t="shared" si="0"/>
        <v>PASS</v>
      </c>
    </row>
    <row r="45" spans="1:5" ht="27.6" customHeight="1" x14ac:dyDescent="0.25">
      <c r="A45" s="59">
        <v>960</v>
      </c>
      <c r="B45" s="72">
        <v>0.96416000000000002</v>
      </c>
      <c r="C45" s="72">
        <v>0.20032</v>
      </c>
      <c r="D45" s="72">
        <v>1.9635199999999999</v>
      </c>
      <c r="E45" s="60" t="str">
        <f t="shared" si="0"/>
        <v>PASS</v>
      </c>
    </row>
    <row r="46" spans="1:5" ht="27.6" customHeight="1" x14ac:dyDescent="0.25">
      <c r="A46" s="59">
        <v>961</v>
      </c>
      <c r="B46" s="72">
        <v>0.81567999999999996</v>
      </c>
      <c r="C46" s="72">
        <v>0.18368000000000001</v>
      </c>
      <c r="D46" s="72">
        <v>1.8163199999999999</v>
      </c>
      <c r="E46" s="60" t="str">
        <f t="shared" si="0"/>
        <v>PASS</v>
      </c>
    </row>
    <row r="47" spans="1:5" ht="27.6" customHeight="1" x14ac:dyDescent="0.25">
      <c r="A47" s="59">
        <v>962</v>
      </c>
      <c r="B47" s="72">
        <v>0.81759999999999999</v>
      </c>
      <c r="C47" s="72">
        <v>0.16575999999999999</v>
      </c>
      <c r="D47" s="72">
        <v>1.8096000000000001</v>
      </c>
      <c r="E47" s="60" t="str">
        <f t="shared" si="0"/>
        <v>PASS</v>
      </c>
    </row>
    <row r="48" spans="1:5" ht="27.6" customHeight="1" x14ac:dyDescent="0.25">
      <c r="A48" s="59">
        <v>963</v>
      </c>
      <c r="B48" s="72">
        <v>0.83072000000000001</v>
      </c>
      <c r="C48" s="72">
        <v>0.2208</v>
      </c>
      <c r="D48" s="72">
        <v>1.8912</v>
      </c>
      <c r="E48" s="60" t="str">
        <f t="shared" si="0"/>
        <v>PASS</v>
      </c>
    </row>
    <row r="49" spans="1:5" ht="27.6" customHeight="1" x14ac:dyDescent="0.25">
      <c r="A49" s="59">
        <v>964</v>
      </c>
      <c r="B49" s="72">
        <v>0.80544000000000004</v>
      </c>
      <c r="C49" s="72">
        <v>0.19103999999999999</v>
      </c>
      <c r="D49" s="72">
        <v>1.7865599999999999</v>
      </c>
      <c r="E49" s="60" t="str">
        <f t="shared" si="0"/>
        <v>PASS</v>
      </c>
    </row>
    <row r="50" spans="1:5" ht="27.6" customHeight="1" x14ac:dyDescent="0.25">
      <c r="A50" s="59">
        <v>965</v>
      </c>
      <c r="B50" s="72">
        <v>0.80191999999999997</v>
      </c>
      <c r="C50" s="72">
        <v>0.17280000000000001</v>
      </c>
      <c r="D50" s="72">
        <v>1.80928</v>
      </c>
      <c r="E50" s="60" t="str">
        <f t="shared" si="0"/>
        <v>PASS</v>
      </c>
    </row>
    <row r="51" spans="1:5" ht="27.6" customHeight="1" x14ac:dyDescent="0.25">
      <c r="A51" s="59">
        <v>966</v>
      </c>
      <c r="B51" s="72">
        <v>0.85663999999999996</v>
      </c>
      <c r="C51" s="72">
        <v>0.34655999999999998</v>
      </c>
      <c r="D51" s="72">
        <v>1.9740800000000001</v>
      </c>
      <c r="E51" s="60" t="str">
        <f t="shared" si="0"/>
        <v>PASS</v>
      </c>
    </row>
    <row r="52" spans="1:5" ht="27.6" customHeight="1" x14ac:dyDescent="0.25">
      <c r="A52" s="59">
        <v>967</v>
      </c>
      <c r="B52" s="72">
        <v>0.85087999999999997</v>
      </c>
      <c r="C52" s="72">
        <v>0.20096</v>
      </c>
      <c r="D52" s="72">
        <v>1.8828800000000001</v>
      </c>
      <c r="E52" s="60" t="str">
        <f t="shared" si="0"/>
        <v>PASS</v>
      </c>
    </row>
    <row r="53" spans="1:5" ht="27.6" customHeight="1" x14ac:dyDescent="0.25">
      <c r="A53" s="59">
        <v>969</v>
      </c>
      <c r="B53" s="72">
        <v>0.58016000000000001</v>
      </c>
      <c r="C53" s="72">
        <v>0.48064000000000001</v>
      </c>
      <c r="D53" s="72">
        <v>1.60608</v>
      </c>
      <c r="E53" s="60" t="str">
        <f t="shared" si="0"/>
        <v>PASS</v>
      </c>
    </row>
    <row r="54" spans="1:5" ht="27.6" customHeight="1" x14ac:dyDescent="0.25">
      <c r="A54" s="59">
        <v>972</v>
      </c>
      <c r="B54" s="72">
        <v>1.0083200000000001</v>
      </c>
      <c r="C54" s="72">
        <v>0.24576000000000001</v>
      </c>
      <c r="D54" s="72">
        <v>2.0422400000000001</v>
      </c>
      <c r="E54" s="60" t="str">
        <f t="shared" si="0"/>
        <v>PASS</v>
      </c>
    </row>
  </sheetData>
  <sheetProtection algorithmName="SHA-512" hashValue="pBj9iFZ4mV8iQz4ulR2BckxxiXmowCaHH9snA+ARSGzjPZi3be6fujnPyNlh0hlbqCSXn8Jg/wSVdkNPAQVIvw==" saltValue="psneKB4eFtiqgMTTuPhLSg==" spinCount="100000" sheet="1" objects="1" scenarios="1" sort="0" autoFilter="0"/>
  <mergeCells count="2">
    <mergeCell ref="B1:C1"/>
    <mergeCell ref="D1:E1"/>
  </mergeCells>
  <conditionalFormatting sqref="A10:A54">
    <cfRule type="duplicateValues" dxfId="7" priority="6"/>
  </conditionalFormatting>
  <conditionalFormatting sqref="A3:D3">
    <cfRule type="cellIs" dxfId="6" priority="1" operator="equal">
      <formula>0</formula>
    </cfRule>
  </conditionalFormatting>
  <conditionalFormatting sqref="E10:E54">
    <cfRule type="cellIs" dxfId="5" priority="2" operator="equal">
      <formula>"F"</formula>
    </cfRule>
    <cfRule type="cellIs" dxfId="4" priority="3" operator="equal">
      <formula>"FAIL"</formula>
    </cfRule>
    <cfRule type="cellIs" dxfId="3" priority="4" operator="equal">
      <formula>"P"</formula>
    </cfRule>
    <cfRule type="cellIs" dxfId="2" priority="5" operator="equal">
      <formula>"PASS"</formula>
    </cfRule>
  </conditionalFormatting>
  <hyperlinks>
    <hyperlink ref="B1" location="INDEX!A1" display="RETURN TO INDEX" xr:uid="{1933BF64-1BF5-4E50-AAFF-149BFC212701}"/>
    <hyperlink ref="D1:E1" location="'QCI Sample Selection'!A1" display="QCI SAMPLE SELECTION" xr:uid="{541F510B-A920-44BB-8C33-FB019E2D867C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A Traveler</vt:lpstr>
      <vt:lpstr>GROUP A1</vt:lpstr>
      <vt:lpstr>GROUP A2 25C</vt:lpstr>
      <vt:lpstr>GROUP A3 125C</vt:lpstr>
      <vt:lpstr>GROUP A3 -55C</vt:lpstr>
      <vt:lpstr>GROUP A7 CAPACITANCE</vt:lpstr>
      <vt:lpstr>GROUP A7 GATE 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2024-09-18T16:01:25Z</dcterms:created>
  <dcterms:modified xsi:type="dcterms:W3CDTF">2024-09-19T17:16:40Z</dcterms:modified>
</cp:coreProperties>
</file>